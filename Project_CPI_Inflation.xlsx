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tables/table3.xml" ContentType="application/vnd.openxmlformats-officedocument.spreadsheetml.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BU AYAAN BHAT\Downloads\"/>
    </mc:Choice>
  </mc:AlternateContent>
  <xr:revisionPtr revIDLastSave="0" documentId="13_ncr:1_{7BBA6708-11F0-4C1A-8BC0-D14E9C77D400}" xr6:coauthVersionLast="47" xr6:coauthVersionMax="47" xr10:uidLastSave="{00000000-0000-0000-0000-000000000000}"/>
  <bookViews>
    <workbookView xWindow="-108" yWindow="-108" windowWidth="23256" windowHeight="12456" firstSheet="5" activeTab="7" xr2:uid="{D16CAF02-98CB-404C-B4B1-83A8F786A70C}"/>
  </bookViews>
  <sheets>
    <sheet name="Sheet3" sheetId="8" r:id="rId1"/>
    <sheet name="Dataset(Highest Inflation rate " sheetId="3" r:id="rId2"/>
    <sheet name="Highest Category Contributor in" sheetId="6" r:id="rId3"/>
    <sheet name="PROBLEM_STATEMENT_1" sheetId="2" r:id="rId4"/>
    <sheet name="Problem Statement 3)" sheetId="1" r:id="rId5"/>
    <sheet name="PROBLEM_STATEMENT3 SOLUTIONS" sheetId="9" r:id="rId6"/>
    <sheet name="PROBLEM STATEMENT-SOLUTIONS-4" sheetId="11" r:id="rId7"/>
    <sheet name="PROBLEM_STATEMENT4" sheetId="10" r:id="rId8"/>
    <sheet name="Problem_Statement5" sheetId="12" r:id="rId9"/>
    <sheet name="Problem_Satement_Solution 5" sheetId="13" r:id="rId10"/>
  </sheets>
  <definedNames>
    <definedName name="Slicer_Calculate_Each_Price_Index_Category_Percentage_Value">#N/A</definedName>
    <definedName name="Slicer_List_of_Categories">#N/A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 i="13" l="1"/>
  <c r="P8" i="13"/>
  <c r="P7" i="13"/>
  <c r="P6" i="13"/>
  <c r="P5" i="13"/>
  <c r="P4" i="13"/>
  <c r="P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372" i="13"/>
  <c r="M373" i="13"/>
  <c r="M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263" i="13"/>
  <c r="L264" i="13"/>
  <c r="L265" i="13"/>
  <c r="L266" i="13"/>
  <c r="L267" i="13"/>
  <c r="L268" i="13"/>
  <c r="L269" i="13"/>
  <c r="L270" i="13"/>
  <c r="L271" i="13"/>
  <c r="L272" i="13"/>
  <c r="L273" i="13"/>
  <c r="L274" i="13"/>
  <c r="L275" i="13"/>
  <c r="L276" i="13"/>
  <c r="L277" i="13"/>
  <c r="L278" i="13"/>
  <c r="L279" i="13"/>
  <c r="L280" i="13"/>
  <c r="L281" i="13"/>
  <c r="L282" i="13"/>
  <c r="L283" i="13"/>
  <c r="L284" i="13"/>
  <c r="L285" i="13"/>
  <c r="L286" i="13"/>
  <c r="L287" i="13"/>
  <c r="L288" i="13"/>
  <c r="L289" i="13"/>
  <c r="L290" i="13"/>
  <c r="L291" i="13"/>
  <c r="L292" i="13"/>
  <c r="L293" i="13"/>
  <c r="L294" i="13"/>
  <c r="L295" i="13"/>
  <c r="L296" i="13"/>
  <c r="L297" i="13"/>
  <c r="L298" i="13"/>
  <c r="L299" i="13"/>
  <c r="L300" i="13"/>
  <c r="L301" i="13"/>
  <c r="L302" i="13"/>
  <c r="L303" i="13"/>
  <c r="L304" i="13"/>
  <c r="L305" i="13"/>
  <c r="L306" i="13"/>
  <c r="L307" i="13"/>
  <c r="L308" i="13"/>
  <c r="L309" i="13"/>
  <c r="L310" i="13"/>
  <c r="L311" i="13"/>
  <c r="L312" i="13"/>
  <c r="L313" i="13"/>
  <c r="L314" i="13"/>
  <c r="L315" i="13"/>
  <c r="L316" i="13"/>
  <c r="L317" i="13"/>
  <c r="L318" i="13"/>
  <c r="L319" i="13"/>
  <c r="L320" i="13"/>
  <c r="L321" i="13"/>
  <c r="L322" i="13"/>
  <c r="L323" i="13"/>
  <c r="L324" i="13"/>
  <c r="L325" i="13"/>
  <c r="L326" i="13"/>
  <c r="L327" i="13"/>
  <c r="L328" i="13"/>
  <c r="L329" i="13"/>
  <c r="L330" i="13"/>
  <c r="L331" i="13"/>
  <c r="L332" i="13"/>
  <c r="L333" i="13"/>
  <c r="L334" i="13"/>
  <c r="L335" i="13"/>
  <c r="L336" i="13"/>
  <c r="L337" i="13"/>
  <c r="L338" i="13"/>
  <c r="L339" i="13"/>
  <c r="L340" i="13"/>
  <c r="L341" i="13"/>
  <c r="L342" i="13"/>
  <c r="L343" i="13"/>
  <c r="L344" i="13"/>
  <c r="L345" i="13"/>
  <c r="L346" i="13"/>
  <c r="L347" i="13"/>
  <c r="L348" i="13"/>
  <c r="L349" i="13"/>
  <c r="L350" i="13"/>
  <c r="L351" i="13"/>
  <c r="L352" i="13"/>
  <c r="L353" i="13"/>
  <c r="L354" i="13"/>
  <c r="L355" i="13"/>
  <c r="L356" i="13"/>
  <c r="L357" i="13"/>
  <c r="L358" i="13"/>
  <c r="L359" i="13"/>
  <c r="L360" i="13"/>
  <c r="L361" i="13"/>
  <c r="L362" i="13"/>
  <c r="L363" i="13"/>
  <c r="L364" i="13"/>
  <c r="L365" i="13"/>
  <c r="L366" i="13"/>
  <c r="L367" i="13"/>
  <c r="L368" i="13"/>
  <c r="L369" i="13"/>
  <c r="L370" i="13"/>
  <c r="L371" i="13"/>
  <c r="L372" i="13"/>
  <c r="L373" i="13"/>
  <c r="L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 i="13"/>
  <c r="H9" i="13"/>
  <c r="H12" i="13"/>
  <c r="H20" i="13"/>
  <c r="H28" i="13"/>
  <c r="H36" i="13"/>
  <c r="H40" i="13"/>
  <c r="H41" i="13"/>
  <c r="H44" i="13"/>
  <c r="H56" i="13"/>
  <c r="H57" i="13"/>
  <c r="H58" i="13"/>
  <c r="H65" i="13"/>
  <c r="H68" i="13"/>
  <c r="H72" i="13"/>
  <c r="H76" i="13"/>
  <c r="H81" i="13"/>
  <c r="H82" i="13"/>
  <c r="H84" i="13"/>
  <c r="H92" i="13"/>
  <c r="H100" i="13"/>
  <c r="H108" i="13"/>
  <c r="H112" i="13"/>
  <c r="H113" i="13"/>
  <c r="H114" i="13"/>
  <c r="H128" i="13"/>
  <c r="H129" i="13"/>
  <c r="H130" i="13"/>
  <c r="H132" i="13"/>
  <c r="H140" i="13"/>
  <c r="H145" i="13"/>
  <c r="H148" i="13"/>
  <c r="H156" i="13"/>
  <c r="H160" i="13"/>
  <c r="H163" i="13"/>
  <c r="H164" i="13"/>
  <c r="H168" i="13"/>
  <c r="H172" i="13"/>
  <c r="H176" i="13"/>
  <c r="H187" i="13"/>
  <c r="H191" i="13"/>
  <c r="H192" i="13"/>
  <c r="H196" i="13"/>
  <c r="H203" i="13"/>
  <c r="H204" i="13"/>
  <c r="H210" i="13"/>
  <c r="H212" i="13"/>
  <c r="H220" i="13"/>
  <c r="H221" i="13"/>
  <c r="H228" i="13"/>
  <c r="H233" i="13"/>
  <c r="H236" i="13"/>
  <c r="H248" i="13"/>
  <c r="H249" i="13"/>
  <c r="H250" i="13"/>
  <c r="H251" i="13"/>
  <c r="H260" i="13"/>
  <c r="H264" i="13"/>
  <c r="H265" i="13"/>
  <c r="H266" i="13"/>
  <c r="H268" i="13"/>
  <c r="H276" i="13"/>
  <c r="H283" i="13"/>
  <c r="H284" i="13"/>
  <c r="H291" i="13"/>
  <c r="H292" i="13"/>
  <c r="H296" i="13"/>
  <c r="H297" i="13"/>
  <c r="H300" i="13"/>
  <c r="H312" i="13"/>
  <c r="H313" i="13"/>
  <c r="H314" i="13"/>
  <c r="H323" i="13"/>
  <c r="H329" i="13"/>
  <c r="H330" i="13"/>
  <c r="H331" i="13"/>
  <c r="H336" i="13"/>
  <c r="H339" i="13"/>
  <c r="H344" i="13"/>
  <c r="H352" i="13"/>
  <c r="H353" i="13"/>
  <c r="H354" i="13"/>
  <c r="H355" i="13"/>
  <c r="H363" i="13"/>
  <c r="H368" i="13"/>
  <c r="H371" i="13"/>
  <c r="H3" i="13"/>
  <c r="G373" i="13"/>
  <c r="F373" i="13"/>
  <c r="E373" i="13"/>
  <c r="D373" i="13"/>
  <c r="C373" i="13"/>
  <c r="B373" i="13"/>
  <c r="A373" i="13"/>
  <c r="H373" i="13" s="1"/>
  <c r="G372" i="13"/>
  <c r="F372" i="13"/>
  <c r="E372" i="13"/>
  <c r="D372" i="13"/>
  <c r="C372" i="13"/>
  <c r="B372" i="13"/>
  <c r="A372" i="13"/>
  <c r="G371" i="13"/>
  <c r="F371" i="13"/>
  <c r="E371" i="13"/>
  <c r="D371" i="13"/>
  <c r="C371" i="13"/>
  <c r="B371" i="13"/>
  <c r="A371" i="13"/>
  <c r="H372" i="13" s="1"/>
  <c r="G370" i="13"/>
  <c r="F370" i="13"/>
  <c r="E370" i="13"/>
  <c r="D370" i="13"/>
  <c r="C370" i="13"/>
  <c r="B370" i="13"/>
  <c r="A370" i="13"/>
  <c r="G369" i="13"/>
  <c r="F369" i="13"/>
  <c r="E369" i="13"/>
  <c r="D369" i="13"/>
  <c r="C369" i="13"/>
  <c r="B369" i="13"/>
  <c r="A369" i="13"/>
  <c r="G368" i="13"/>
  <c r="F368" i="13"/>
  <c r="E368" i="13"/>
  <c r="D368" i="13"/>
  <c r="C368" i="13"/>
  <c r="B368" i="13"/>
  <c r="A368" i="13"/>
  <c r="G367" i="13"/>
  <c r="F367" i="13"/>
  <c r="E367" i="13"/>
  <c r="D367" i="13"/>
  <c r="C367" i="13"/>
  <c r="B367" i="13"/>
  <c r="A367" i="13"/>
  <c r="G366" i="13"/>
  <c r="F366" i="13"/>
  <c r="E366" i="13"/>
  <c r="D366" i="13"/>
  <c r="C366" i="13"/>
  <c r="B366" i="13"/>
  <c r="A366" i="13"/>
  <c r="G365" i="13"/>
  <c r="F365" i="13"/>
  <c r="E365" i="13"/>
  <c r="D365" i="13"/>
  <c r="C365" i="13"/>
  <c r="B365" i="13"/>
  <c r="A365" i="13"/>
  <c r="H365" i="13" s="1"/>
  <c r="G364" i="13"/>
  <c r="F364" i="13"/>
  <c r="E364" i="13"/>
  <c r="D364" i="13"/>
  <c r="C364" i="13"/>
  <c r="B364" i="13"/>
  <c r="A364" i="13"/>
  <c r="H364" i="13" s="1"/>
  <c r="G363" i="13"/>
  <c r="F363" i="13"/>
  <c r="E363" i="13"/>
  <c r="D363" i="13"/>
  <c r="C363" i="13"/>
  <c r="B363" i="13"/>
  <c r="A363" i="13"/>
  <c r="G362" i="13"/>
  <c r="F362" i="13"/>
  <c r="E362" i="13"/>
  <c r="D362" i="13"/>
  <c r="C362" i="13"/>
  <c r="B362" i="13"/>
  <c r="A362" i="13"/>
  <c r="G361" i="13"/>
  <c r="F361" i="13"/>
  <c r="E361" i="13"/>
  <c r="D361" i="13"/>
  <c r="C361" i="13"/>
  <c r="B361" i="13"/>
  <c r="A361" i="13"/>
  <c r="H361" i="13" s="1"/>
  <c r="G360" i="13"/>
  <c r="F360" i="13"/>
  <c r="E360" i="13"/>
  <c r="D360" i="13"/>
  <c r="C360" i="13"/>
  <c r="B360" i="13"/>
  <c r="A360" i="13"/>
  <c r="H360" i="13" s="1"/>
  <c r="G359" i="13"/>
  <c r="F359" i="13"/>
  <c r="E359" i="13"/>
  <c r="D359" i="13"/>
  <c r="C359" i="13"/>
  <c r="B359" i="13"/>
  <c r="A359" i="13"/>
  <c r="G358" i="13"/>
  <c r="F358" i="13"/>
  <c r="E358" i="13"/>
  <c r="D358" i="13"/>
  <c r="C358" i="13"/>
  <c r="B358" i="13"/>
  <c r="A358" i="13"/>
  <c r="H358" i="13" s="1"/>
  <c r="G357" i="13"/>
  <c r="F357" i="13"/>
  <c r="E357" i="13"/>
  <c r="D357" i="13"/>
  <c r="C357" i="13"/>
  <c r="B357" i="13"/>
  <c r="A357" i="13"/>
  <c r="H357" i="13" s="1"/>
  <c r="G356" i="13"/>
  <c r="F356" i="13"/>
  <c r="E356" i="13"/>
  <c r="D356" i="13"/>
  <c r="C356" i="13"/>
  <c r="B356" i="13"/>
  <c r="A356" i="13"/>
  <c r="H356" i="13" s="1"/>
  <c r="G355" i="13"/>
  <c r="F355" i="13"/>
  <c r="E355" i="13"/>
  <c r="D355" i="13"/>
  <c r="C355" i="13"/>
  <c r="B355" i="13"/>
  <c r="A355" i="13"/>
  <c r="G354" i="13"/>
  <c r="F354" i="13"/>
  <c r="E354" i="13"/>
  <c r="D354" i="13"/>
  <c r="C354" i="13"/>
  <c r="B354" i="13"/>
  <c r="A354" i="13"/>
  <c r="G353" i="13"/>
  <c r="F353" i="13"/>
  <c r="E353" i="13"/>
  <c r="D353" i="13"/>
  <c r="C353" i="13"/>
  <c r="B353" i="13"/>
  <c r="A353" i="13"/>
  <c r="G352" i="13"/>
  <c r="F352" i="13"/>
  <c r="E352" i="13"/>
  <c r="D352" i="13"/>
  <c r="C352" i="13"/>
  <c r="B352" i="13"/>
  <c r="A352" i="13"/>
  <c r="G351" i="13"/>
  <c r="F351" i="13"/>
  <c r="E351" i="13"/>
  <c r="D351" i="13"/>
  <c r="C351" i="13"/>
  <c r="B351" i="13"/>
  <c r="A351" i="13"/>
  <c r="G350" i="13"/>
  <c r="F350" i="13"/>
  <c r="E350" i="13"/>
  <c r="D350" i="13"/>
  <c r="C350" i="13"/>
  <c r="B350" i="13"/>
  <c r="A350" i="13"/>
  <c r="G349" i="13"/>
  <c r="F349" i="13"/>
  <c r="E349" i="13"/>
  <c r="D349" i="13"/>
  <c r="C349" i="13"/>
  <c r="B349" i="13"/>
  <c r="A349" i="13"/>
  <c r="H349" i="13" s="1"/>
  <c r="G348" i="13"/>
  <c r="F348" i="13"/>
  <c r="E348" i="13"/>
  <c r="D348" i="13"/>
  <c r="C348" i="13"/>
  <c r="B348" i="13"/>
  <c r="A348" i="13"/>
  <c r="H348" i="13" s="1"/>
  <c r="G347" i="13"/>
  <c r="F347" i="13"/>
  <c r="E347" i="13"/>
  <c r="D347" i="13"/>
  <c r="C347" i="13"/>
  <c r="B347" i="13"/>
  <c r="A347" i="13"/>
  <c r="G346" i="13"/>
  <c r="F346" i="13"/>
  <c r="E346" i="13"/>
  <c r="D346" i="13"/>
  <c r="C346" i="13"/>
  <c r="B346" i="13"/>
  <c r="A346" i="13"/>
  <c r="H347" i="13" s="1"/>
  <c r="G345" i="13"/>
  <c r="F345" i="13"/>
  <c r="E345" i="13"/>
  <c r="D345" i="13"/>
  <c r="C345" i="13"/>
  <c r="B345" i="13"/>
  <c r="A345" i="13"/>
  <c r="H345" i="13" s="1"/>
  <c r="G344" i="13"/>
  <c r="F344" i="13"/>
  <c r="E344" i="13"/>
  <c r="D344" i="13"/>
  <c r="C344" i="13"/>
  <c r="B344" i="13"/>
  <c r="A344" i="13"/>
  <c r="G343" i="13"/>
  <c r="F343" i="13"/>
  <c r="E343" i="13"/>
  <c r="D343" i="13"/>
  <c r="C343" i="13"/>
  <c r="B343" i="13"/>
  <c r="A343" i="13"/>
  <c r="G342" i="13"/>
  <c r="F342" i="13"/>
  <c r="E342" i="13"/>
  <c r="D342" i="13"/>
  <c r="C342" i="13"/>
  <c r="B342" i="13"/>
  <c r="A342" i="13"/>
  <c r="H342" i="13" s="1"/>
  <c r="G341" i="13"/>
  <c r="F341" i="13"/>
  <c r="E341" i="13"/>
  <c r="D341" i="13"/>
  <c r="C341" i="13"/>
  <c r="B341" i="13"/>
  <c r="A341" i="13"/>
  <c r="H341" i="13" s="1"/>
  <c r="G340" i="13"/>
  <c r="F340" i="13"/>
  <c r="E340" i="13"/>
  <c r="D340" i="13"/>
  <c r="C340" i="13"/>
  <c r="B340" i="13"/>
  <c r="A340" i="13"/>
  <c r="H340" i="13" s="1"/>
  <c r="G339" i="13"/>
  <c r="F339" i="13"/>
  <c r="E339" i="13"/>
  <c r="D339" i="13"/>
  <c r="C339" i="13"/>
  <c r="B339" i="13"/>
  <c r="A339" i="13"/>
  <c r="G338" i="13"/>
  <c r="F338" i="13"/>
  <c r="E338" i="13"/>
  <c r="D338" i="13"/>
  <c r="C338" i="13"/>
  <c r="B338" i="13"/>
  <c r="A338" i="13"/>
  <c r="H338" i="13" s="1"/>
  <c r="G337" i="13"/>
  <c r="F337" i="13"/>
  <c r="E337" i="13"/>
  <c r="D337" i="13"/>
  <c r="C337" i="13"/>
  <c r="B337" i="13"/>
  <c r="A337" i="13"/>
  <c r="H337" i="13" s="1"/>
  <c r="G336" i="13"/>
  <c r="F336" i="13"/>
  <c r="E336" i="13"/>
  <c r="D336" i="13"/>
  <c r="C336" i="13"/>
  <c r="B336" i="13"/>
  <c r="A336" i="13"/>
  <c r="G335" i="13"/>
  <c r="F335" i="13"/>
  <c r="E335" i="13"/>
  <c r="D335" i="13"/>
  <c r="C335" i="13"/>
  <c r="B335" i="13"/>
  <c r="A335" i="13"/>
  <c r="G334" i="13"/>
  <c r="F334" i="13"/>
  <c r="E334" i="13"/>
  <c r="D334" i="13"/>
  <c r="C334" i="13"/>
  <c r="B334" i="13"/>
  <c r="A334" i="13"/>
  <c r="G333" i="13"/>
  <c r="F333" i="13"/>
  <c r="E333" i="13"/>
  <c r="D333" i="13"/>
  <c r="C333" i="13"/>
  <c r="B333" i="13"/>
  <c r="A333" i="13"/>
  <c r="H333" i="13" s="1"/>
  <c r="G332" i="13"/>
  <c r="F332" i="13"/>
  <c r="E332" i="13"/>
  <c r="D332" i="13"/>
  <c r="C332" i="13"/>
  <c r="B332" i="13"/>
  <c r="A332" i="13"/>
  <c r="H332" i="13" s="1"/>
  <c r="G331" i="13"/>
  <c r="F331" i="13"/>
  <c r="E331" i="13"/>
  <c r="D331" i="13"/>
  <c r="C331" i="13"/>
  <c r="B331" i="13"/>
  <c r="A331" i="13"/>
  <c r="G330" i="13"/>
  <c r="F330" i="13"/>
  <c r="E330" i="13"/>
  <c r="D330" i="13"/>
  <c r="C330" i="13"/>
  <c r="B330" i="13"/>
  <c r="A330" i="13"/>
  <c r="G329" i="13"/>
  <c r="F329" i="13"/>
  <c r="E329" i="13"/>
  <c r="D329" i="13"/>
  <c r="C329" i="13"/>
  <c r="B329" i="13"/>
  <c r="A329" i="13"/>
  <c r="G328" i="13"/>
  <c r="F328" i="13"/>
  <c r="E328" i="13"/>
  <c r="D328" i="13"/>
  <c r="C328" i="13"/>
  <c r="B328" i="13"/>
  <c r="A328" i="13"/>
  <c r="H328" i="13" s="1"/>
  <c r="G327" i="13"/>
  <c r="F327" i="13"/>
  <c r="E327" i="13"/>
  <c r="D327" i="13"/>
  <c r="C327" i="13"/>
  <c r="B327" i="13"/>
  <c r="A327" i="13"/>
  <c r="G326" i="13"/>
  <c r="F326" i="13"/>
  <c r="E326" i="13"/>
  <c r="D326" i="13"/>
  <c r="C326" i="13"/>
  <c r="B326" i="13"/>
  <c r="A326" i="13"/>
  <c r="H326" i="13" s="1"/>
  <c r="G325" i="13"/>
  <c r="F325" i="13"/>
  <c r="E325" i="13"/>
  <c r="D325" i="13"/>
  <c r="C325" i="13"/>
  <c r="B325" i="13"/>
  <c r="A325" i="13"/>
  <c r="H325" i="13" s="1"/>
  <c r="G324" i="13"/>
  <c r="F324" i="13"/>
  <c r="E324" i="13"/>
  <c r="D324" i="13"/>
  <c r="C324" i="13"/>
  <c r="B324" i="13"/>
  <c r="A324" i="13"/>
  <c r="H324" i="13" s="1"/>
  <c r="G323" i="13"/>
  <c r="F323" i="13"/>
  <c r="E323" i="13"/>
  <c r="D323" i="13"/>
  <c r="C323" i="13"/>
  <c r="B323" i="13"/>
  <c r="A323" i="13"/>
  <c r="G322" i="13"/>
  <c r="F322" i="13"/>
  <c r="E322" i="13"/>
  <c r="D322" i="13"/>
  <c r="C322" i="13"/>
  <c r="B322" i="13"/>
  <c r="A322" i="13"/>
  <c r="G321" i="13"/>
  <c r="F321" i="13"/>
  <c r="E321" i="13"/>
  <c r="D321" i="13"/>
  <c r="C321" i="13"/>
  <c r="B321" i="13"/>
  <c r="A321" i="13"/>
  <c r="H321" i="13" s="1"/>
  <c r="G320" i="13"/>
  <c r="F320" i="13"/>
  <c r="E320" i="13"/>
  <c r="D320" i="13"/>
  <c r="C320" i="13"/>
  <c r="B320" i="13"/>
  <c r="A320" i="13"/>
  <c r="H320" i="13" s="1"/>
  <c r="G319" i="13"/>
  <c r="F319" i="13"/>
  <c r="E319" i="13"/>
  <c r="D319" i="13"/>
  <c r="C319" i="13"/>
  <c r="B319" i="13"/>
  <c r="A319" i="13"/>
  <c r="H319" i="13" s="1"/>
  <c r="G318" i="13"/>
  <c r="F318" i="13"/>
  <c r="E318" i="13"/>
  <c r="D318" i="13"/>
  <c r="C318" i="13"/>
  <c r="B318" i="13"/>
  <c r="A318" i="13"/>
  <c r="H318" i="13" s="1"/>
  <c r="G317" i="13"/>
  <c r="F317" i="13"/>
  <c r="E317" i="13"/>
  <c r="D317" i="13"/>
  <c r="C317" i="13"/>
  <c r="B317" i="13"/>
  <c r="A317" i="13"/>
  <c r="H317" i="13" s="1"/>
  <c r="G316" i="13"/>
  <c r="F316" i="13"/>
  <c r="E316" i="13"/>
  <c r="D316" i="13"/>
  <c r="C316" i="13"/>
  <c r="B316" i="13"/>
  <c r="A316" i="13"/>
  <c r="H316" i="13" s="1"/>
  <c r="G315" i="13"/>
  <c r="F315" i="13"/>
  <c r="E315" i="13"/>
  <c r="D315" i="13"/>
  <c r="C315" i="13"/>
  <c r="B315" i="13"/>
  <c r="A315" i="13"/>
  <c r="G314" i="13"/>
  <c r="F314" i="13"/>
  <c r="E314" i="13"/>
  <c r="D314" i="13"/>
  <c r="C314" i="13"/>
  <c r="B314" i="13"/>
  <c r="A314" i="13"/>
  <c r="H315" i="13" s="1"/>
  <c r="G313" i="13"/>
  <c r="F313" i="13"/>
  <c r="E313" i="13"/>
  <c r="D313" i="13"/>
  <c r="C313" i="13"/>
  <c r="B313" i="13"/>
  <c r="A313" i="13"/>
  <c r="G312" i="13"/>
  <c r="F312" i="13"/>
  <c r="E312" i="13"/>
  <c r="D312" i="13"/>
  <c r="C312" i="13"/>
  <c r="B312" i="13"/>
  <c r="A312" i="13"/>
  <c r="G311" i="13"/>
  <c r="F311" i="13"/>
  <c r="E311" i="13"/>
  <c r="D311" i="13"/>
  <c r="C311" i="13"/>
  <c r="B311" i="13"/>
  <c r="A311" i="13"/>
  <c r="G310" i="13"/>
  <c r="F310" i="13"/>
  <c r="E310" i="13"/>
  <c r="D310" i="13"/>
  <c r="C310" i="13"/>
  <c r="B310" i="13"/>
  <c r="A310" i="13"/>
  <c r="G309" i="13"/>
  <c r="F309" i="13"/>
  <c r="E309" i="13"/>
  <c r="D309" i="13"/>
  <c r="C309" i="13"/>
  <c r="B309" i="13"/>
  <c r="A309" i="13"/>
  <c r="H309" i="13" s="1"/>
  <c r="G308" i="13"/>
  <c r="F308" i="13"/>
  <c r="E308" i="13"/>
  <c r="D308" i="13"/>
  <c r="C308" i="13"/>
  <c r="B308" i="13"/>
  <c r="A308" i="13"/>
  <c r="H308" i="13" s="1"/>
  <c r="G307" i="13"/>
  <c r="F307" i="13"/>
  <c r="E307" i="13"/>
  <c r="D307" i="13"/>
  <c r="C307" i="13"/>
  <c r="B307" i="13"/>
  <c r="A307" i="13"/>
  <c r="G306" i="13"/>
  <c r="F306" i="13"/>
  <c r="E306" i="13"/>
  <c r="D306" i="13"/>
  <c r="C306" i="13"/>
  <c r="B306" i="13"/>
  <c r="A306" i="13"/>
  <c r="G305" i="13"/>
  <c r="F305" i="13"/>
  <c r="E305" i="13"/>
  <c r="D305" i="13"/>
  <c r="C305" i="13"/>
  <c r="B305" i="13"/>
  <c r="A305" i="13"/>
  <c r="H305" i="13" s="1"/>
  <c r="G304" i="13"/>
  <c r="F304" i="13"/>
  <c r="E304" i="13"/>
  <c r="D304" i="13"/>
  <c r="C304" i="13"/>
  <c r="B304" i="13"/>
  <c r="A304" i="13"/>
  <c r="H304" i="13" s="1"/>
  <c r="G303" i="13"/>
  <c r="F303" i="13"/>
  <c r="E303" i="13"/>
  <c r="D303" i="13"/>
  <c r="C303" i="13"/>
  <c r="B303" i="13"/>
  <c r="A303" i="13"/>
  <c r="H303" i="13" s="1"/>
  <c r="G302" i="13"/>
  <c r="F302" i="13"/>
  <c r="E302" i="13"/>
  <c r="D302" i="13"/>
  <c r="C302" i="13"/>
  <c r="B302" i="13"/>
  <c r="A302" i="13"/>
  <c r="H302" i="13" s="1"/>
  <c r="G301" i="13"/>
  <c r="F301" i="13"/>
  <c r="E301" i="13"/>
  <c r="D301" i="13"/>
  <c r="C301" i="13"/>
  <c r="B301" i="13"/>
  <c r="A301" i="13"/>
  <c r="H301" i="13" s="1"/>
  <c r="G300" i="13"/>
  <c r="F300" i="13"/>
  <c r="E300" i="13"/>
  <c r="D300" i="13"/>
  <c r="C300" i="13"/>
  <c r="B300" i="13"/>
  <c r="A300" i="13"/>
  <c r="G299" i="13"/>
  <c r="F299" i="13"/>
  <c r="E299" i="13"/>
  <c r="D299" i="13"/>
  <c r="C299" i="13"/>
  <c r="B299" i="13"/>
  <c r="A299" i="13"/>
  <c r="G298" i="13"/>
  <c r="F298" i="13"/>
  <c r="E298" i="13"/>
  <c r="D298" i="13"/>
  <c r="C298" i="13"/>
  <c r="B298" i="13"/>
  <c r="A298" i="13"/>
  <c r="G297" i="13"/>
  <c r="F297" i="13"/>
  <c r="E297" i="13"/>
  <c r="D297" i="13"/>
  <c r="C297" i="13"/>
  <c r="B297" i="13"/>
  <c r="A297" i="13"/>
  <c r="G296" i="13"/>
  <c r="F296" i="13"/>
  <c r="E296" i="13"/>
  <c r="D296" i="13"/>
  <c r="C296" i="13"/>
  <c r="B296" i="13"/>
  <c r="A296" i="13"/>
  <c r="G295" i="13"/>
  <c r="F295" i="13"/>
  <c r="E295" i="13"/>
  <c r="D295" i="13"/>
  <c r="C295" i="13"/>
  <c r="B295" i="13"/>
  <c r="A295" i="13"/>
  <c r="G294" i="13"/>
  <c r="F294" i="13"/>
  <c r="E294" i="13"/>
  <c r="D294" i="13"/>
  <c r="C294" i="13"/>
  <c r="B294" i="13"/>
  <c r="A294" i="13"/>
  <c r="G293" i="13"/>
  <c r="F293" i="13"/>
  <c r="E293" i="13"/>
  <c r="D293" i="13"/>
  <c r="C293" i="13"/>
  <c r="B293" i="13"/>
  <c r="A293" i="13"/>
  <c r="H293" i="13" s="1"/>
  <c r="G292" i="13"/>
  <c r="F292" i="13"/>
  <c r="E292" i="13"/>
  <c r="D292" i="13"/>
  <c r="C292" i="13"/>
  <c r="B292" i="13"/>
  <c r="A292" i="13"/>
  <c r="G291" i="13"/>
  <c r="F291" i="13"/>
  <c r="E291" i="13"/>
  <c r="D291" i="13"/>
  <c r="C291" i="13"/>
  <c r="B291" i="13"/>
  <c r="A291" i="13"/>
  <c r="G290" i="13"/>
  <c r="F290" i="13"/>
  <c r="E290" i="13"/>
  <c r="D290" i="13"/>
  <c r="C290" i="13"/>
  <c r="B290" i="13"/>
  <c r="A290" i="13"/>
  <c r="G289" i="13"/>
  <c r="F289" i="13"/>
  <c r="E289" i="13"/>
  <c r="D289" i="13"/>
  <c r="C289" i="13"/>
  <c r="B289" i="13"/>
  <c r="A289" i="13"/>
  <c r="H289" i="13" s="1"/>
  <c r="G288" i="13"/>
  <c r="F288" i="13"/>
  <c r="E288" i="13"/>
  <c r="D288" i="13"/>
  <c r="C288" i="13"/>
  <c r="B288" i="13"/>
  <c r="A288" i="13"/>
  <c r="H288" i="13" s="1"/>
  <c r="G287" i="13"/>
  <c r="F287" i="13"/>
  <c r="E287" i="13"/>
  <c r="D287" i="13"/>
  <c r="C287" i="13"/>
  <c r="B287" i="13"/>
  <c r="A287" i="13"/>
  <c r="H287" i="13" s="1"/>
  <c r="G286" i="13"/>
  <c r="F286" i="13"/>
  <c r="E286" i="13"/>
  <c r="D286" i="13"/>
  <c r="C286" i="13"/>
  <c r="B286" i="13"/>
  <c r="A286" i="13"/>
  <c r="H286" i="13" s="1"/>
  <c r="G285" i="13"/>
  <c r="F285" i="13"/>
  <c r="E285" i="13"/>
  <c r="D285" i="13"/>
  <c r="C285" i="13"/>
  <c r="B285" i="13"/>
  <c r="A285" i="13"/>
  <c r="H285" i="13" s="1"/>
  <c r="G284" i="13"/>
  <c r="F284" i="13"/>
  <c r="E284" i="13"/>
  <c r="D284" i="13"/>
  <c r="C284" i="13"/>
  <c r="B284" i="13"/>
  <c r="A284" i="13"/>
  <c r="G283" i="13"/>
  <c r="F283" i="13"/>
  <c r="E283" i="13"/>
  <c r="D283" i="13"/>
  <c r="C283" i="13"/>
  <c r="B283" i="13"/>
  <c r="A283" i="13"/>
  <c r="G282" i="13"/>
  <c r="F282" i="13"/>
  <c r="E282" i="13"/>
  <c r="D282" i="13"/>
  <c r="C282" i="13"/>
  <c r="B282" i="13"/>
  <c r="A282" i="13"/>
  <c r="H282" i="13" s="1"/>
  <c r="G281" i="13"/>
  <c r="F281" i="13"/>
  <c r="E281" i="13"/>
  <c r="D281" i="13"/>
  <c r="C281" i="13"/>
  <c r="B281" i="13"/>
  <c r="A281" i="13"/>
  <c r="H281" i="13" s="1"/>
  <c r="G280" i="13"/>
  <c r="F280" i="13"/>
  <c r="E280" i="13"/>
  <c r="D280" i="13"/>
  <c r="C280" i="13"/>
  <c r="B280" i="13"/>
  <c r="A280" i="13"/>
  <c r="H280" i="13" s="1"/>
  <c r="G279" i="13"/>
  <c r="F279" i="13"/>
  <c r="E279" i="13"/>
  <c r="D279" i="13"/>
  <c r="C279" i="13"/>
  <c r="B279" i="13"/>
  <c r="A279" i="13"/>
  <c r="G278" i="13"/>
  <c r="F278" i="13"/>
  <c r="E278" i="13"/>
  <c r="D278" i="13"/>
  <c r="C278" i="13"/>
  <c r="B278" i="13"/>
  <c r="A278" i="13"/>
  <c r="H278" i="13" s="1"/>
  <c r="G277" i="13"/>
  <c r="F277" i="13"/>
  <c r="E277" i="13"/>
  <c r="D277" i="13"/>
  <c r="C277" i="13"/>
  <c r="B277" i="13"/>
  <c r="A277" i="13"/>
  <c r="H277" i="13" s="1"/>
  <c r="G276" i="13"/>
  <c r="F276" i="13"/>
  <c r="E276" i="13"/>
  <c r="D276" i="13"/>
  <c r="C276" i="13"/>
  <c r="B276" i="13"/>
  <c r="A276" i="13"/>
  <c r="G275" i="13"/>
  <c r="F275" i="13"/>
  <c r="E275" i="13"/>
  <c r="D275" i="13"/>
  <c r="C275" i="13"/>
  <c r="B275" i="13"/>
  <c r="A275" i="13"/>
  <c r="G274" i="13"/>
  <c r="F274" i="13"/>
  <c r="E274" i="13"/>
  <c r="D274" i="13"/>
  <c r="C274" i="13"/>
  <c r="B274" i="13"/>
  <c r="A274" i="13"/>
  <c r="H274" i="13" s="1"/>
  <c r="G273" i="13"/>
  <c r="F273" i="13"/>
  <c r="E273" i="13"/>
  <c r="D273" i="13"/>
  <c r="C273" i="13"/>
  <c r="B273" i="13"/>
  <c r="A273" i="13"/>
  <c r="H273" i="13" s="1"/>
  <c r="G272" i="13"/>
  <c r="F272" i="13"/>
  <c r="E272" i="13"/>
  <c r="D272" i="13"/>
  <c r="C272" i="13"/>
  <c r="B272" i="13"/>
  <c r="A272" i="13"/>
  <c r="H272" i="13" s="1"/>
  <c r="G271" i="13"/>
  <c r="F271" i="13"/>
  <c r="E271" i="13"/>
  <c r="D271" i="13"/>
  <c r="C271" i="13"/>
  <c r="B271" i="13"/>
  <c r="A271" i="13"/>
  <c r="G270" i="13"/>
  <c r="F270" i="13"/>
  <c r="E270" i="13"/>
  <c r="D270" i="13"/>
  <c r="C270" i="13"/>
  <c r="B270" i="13"/>
  <c r="A270" i="13"/>
  <c r="H270" i="13" s="1"/>
  <c r="G269" i="13"/>
  <c r="F269" i="13"/>
  <c r="E269" i="13"/>
  <c r="D269" i="13"/>
  <c r="C269" i="13"/>
  <c r="B269" i="13"/>
  <c r="A269" i="13"/>
  <c r="H269" i="13" s="1"/>
  <c r="G268" i="13"/>
  <c r="F268" i="13"/>
  <c r="E268" i="13"/>
  <c r="D268" i="13"/>
  <c r="C268" i="13"/>
  <c r="B268" i="13"/>
  <c r="A268" i="13"/>
  <c r="G267" i="13"/>
  <c r="F267" i="13"/>
  <c r="E267" i="13"/>
  <c r="D267" i="13"/>
  <c r="C267" i="13"/>
  <c r="B267" i="13"/>
  <c r="A267" i="13"/>
  <c r="G266" i="13"/>
  <c r="F266" i="13"/>
  <c r="E266" i="13"/>
  <c r="D266" i="13"/>
  <c r="C266" i="13"/>
  <c r="B266" i="13"/>
  <c r="A266" i="13"/>
  <c r="H267" i="13" s="1"/>
  <c r="G265" i="13"/>
  <c r="F265" i="13"/>
  <c r="E265" i="13"/>
  <c r="D265" i="13"/>
  <c r="C265" i="13"/>
  <c r="B265" i="13"/>
  <c r="A265" i="13"/>
  <c r="G264" i="13"/>
  <c r="F264" i="13"/>
  <c r="E264" i="13"/>
  <c r="D264" i="13"/>
  <c r="C264" i="13"/>
  <c r="B264" i="13"/>
  <c r="A264" i="13"/>
  <c r="G263" i="13"/>
  <c r="F263" i="13"/>
  <c r="E263" i="13"/>
  <c r="D263" i="13"/>
  <c r="C263" i="13"/>
  <c r="B263" i="13"/>
  <c r="A263" i="13"/>
  <c r="G262" i="13"/>
  <c r="F262" i="13"/>
  <c r="E262" i="13"/>
  <c r="D262" i="13"/>
  <c r="C262" i="13"/>
  <c r="B262" i="13"/>
  <c r="A262" i="13"/>
  <c r="H262" i="13" s="1"/>
  <c r="G261" i="13"/>
  <c r="F261" i="13"/>
  <c r="E261" i="13"/>
  <c r="D261" i="13"/>
  <c r="C261" i="13"/>
  <c r="B261" i="13"/>
  <c r="A261" i="13"/>
  <c r="H261" i="13" s="1"/>
  <c r="G260" i="13"/>
  <c r="F260" i="13"/>
  <c r="E260" i="13"/>
  <c r="D260" i="13"/>
  <c r="C260" i="13"/>
  <c r="B260" i="13"/>
  <c r="A260" i="13"/>
  <c r="G259" i="13"/>
  <c r="F259" i="13"/>
  <c r="E259" i="13"/>
  <c r="D259" i="13"/>
  <c r="C259" i="13"/>
  <c r="B259" i="13"/>
  <c r="A259" i="13"/>
  <c r="G258" i="13"/>
  <c r="F258" i="13"/>
  <c r="E258" i="13"/>
  <c r="D258" i="13"/>
  <c r="C258" i="13"/>
  <c r="B258" i="13"/>
  <c r="A258" i="13"/>
  <c r="H258" i="13" s="1"/>
  <c r="G257" i="13"/>
  <c r="F257" i="13"/>
  <c r="E257" i="13"/>
  <c r="D257" i="13"/>
  <c r="C257" i="13"/>
  <c r="B257" i="13"/>
  <c r="A257" i="13"/>
  <c r="H257" i="13" s="1"/>
  <c r="G256" i="13"/>
  <c r="F256" i="13"/>
  <c r="E256" i="13"/>
  <c r="D256" i="13"/>
  <c r="C256" i="13"/>
  <c r="B256" i="13"/>
  <c r="A256" i="13"/>
  <c r="H256" i="13" s="1"/>
  <c r="G255" i="13"/>
  <c r="F255" i="13"/>
  <c r="E255" i="13"/>
  <c r="D255" i="13"/>
  <c r="C255" i="13"/>
  <c r="B255" i="13"/>
  <c r="A255" i="13"/>
  <c r="G254" i="13"/>
  <c r="F254" i="13"/>
  <c r="E254" i="13"/>
  <c r="D254" i="13"/>
  <c r="C254" i="13"/>
  <c r="B254" i="13"/>
  <c r="A254" i="13"/>
  <c r="H254" i="13" s="1"/>
  <c r="G253" i="13"/>
  <c r="F253" i="13"/>
  <c r="E253" i="13"/>
  <c r="D253" i="13"/>
  <c r="C253" i="13"/>
  <c r="B253" i="13"/>
  <c r="A253" i="13"/>
  <c r="H253" i="13" s="1"/>
  <c r="G252" i="13"/>
  <c r="F252" i="13"/>
  <c r="E252" i="13"/>
  <c r="D252" i="13"/>
  <c r="C252" i="13"/>
  <c r="B252" i="13"/>
  <c r="A252" i="13"/>
  <c r="H252" i="13" s="1"/>
  <c r="G251" i="13"/>
  <c r="F251" i="13"/>
  <c r="E251" i="13"/>
  <c r="D251" i="13"/>
  <c r="C251" i="13"/>
  <c r="B251" i="13"/>
  <c r="A251" i="13"/>
  <c r="G250" i="13"/>
  <c r="F250" i="13"/>
  <c r="E250" i="13"/>
  <c r="D250" i="13"/>
  <c r="C250" i="13"/>
  <c r="B250" i="13"/>
  <c r="A250" i="13"/>
  <c r="G249" i="13"/>
  <c r="F249" i="13"/>
  <c r="E249" i="13"/>
  <c r="D249" i="13"/>
  <c r="C249" i="13"/>
  <c r="B249" i="13"/>
  <c r="A249" i="13"/>
  <c r="G248" i="13"/>
  <c r="F248" i="13"/>
  <c r="E248" i="13"/>
  <c r="D248" i="13"/>
  <c r="C248" i="13"/>
  <c r="B248" i="13"/>
  <c r="A248" i="13"/>
  <c r="G247" i="13"/>
  <c r="F247" i="13"/>
  <c r="E247" i="13"/>
  <c r="D247" i="13"/>
  <c r="C247" i="13"/>
  <c r="B247" i="13"/>
  <c r="A247" i="13"/>
  <c r="G246" i="13"/>
  <c r="F246" i="13"/>
  <c r="E246" i="13"/>
  <c r="D246" i="13"/>
  <c r="C246" i="13"/>
  <c r="B246" i="13"/>
  <c r="A246" i="13"/>
  <c r="G245" i="13"/>
  <c r="F245" i="13"/>
  <c r="E245" i="13"/>
  <c r="D245" i="13"/>
  <c r="C245" i="13"/>
  <c r="B245" i="13"/>
  <c r="A245" i="13"/>
  <c r="H245" i="13" s="1"/>
  <c r="G244" i="13"/>
  <c r="F244" i="13"/>
  <c r="E244" i="13"/>
  <c r="D244" i="13"/>
  <c r="C244" i="13"/>
  <c r="B244" i="13"/>
  <c r="A244" i="13"/>
  <c r="H244" i="13" s="1"/>
  <c r="G243" i="13"/>
  <c r="F243" i="13"/>
  <c r="E243" i="13"/>
  <c r="D243" i="13"/>
  <c r="C243" i="13"/>
  <c r="B243" i="13"/>
  <c r="A243" i="13"/>
  <c r="G242" i="13"/>
  <c r="F242" i="13"/>
  <c r="E242" i="13"/>
  <c r="D242" i="13"/>
  <c r="C242" i="13"/>
  <c r="B242" i="13"/>
  <c r="A242" i="13"/>
  <c r="H242" i="13" s="1"/>
  <c r="G241" i="13"/>
  <c r="F241" i="13"/>
  <c r="E241" i="13"/>
  <c r="D241" i="13"/>
  <c r="C241" i="13"/>
  <c r="B241" i="13"/>
  <c r="A241" i="13"/>
  <c r="H241" i="13" s="1"/>
  <c r="G240" i="13"/>
  <c r="F240" i="13"/>
  <c r="E240" i="13"/>
  <c r="D240" i="13"/>
  <c r="C240" i="13"/>
  <c r="B240" i="13"/>
  <c r="A240" i="13"/>
  <c r="H240" i="13" s="1"/>
  <c r="G239" i="13"/>
  <c r="F239" i="13"/>
  <c r="E239" i="13"/>
  <c r="D239" i="13"/>
  <c r="C239" i="13"/>
  <c r="B239" i="13"/>
  <c r="A239" i="13"/>
  <c r="G238" i="13"/>
  <c r="F238" i="13"/>
  <c r="E238" i="13"/>
  <c r="D238" i="13"/>
  <c r="C238" i="13"/>
  <c r="B238" i="13"/>
  <c r="A238" i="13"/>
  <c r="H238" i="13" s="1"/>
  <c r="G237" i="13"/>
  <c r="F237" i="13"/>
  <c r="E237" i="13"/>
  <c r="D237" i="13"/>
  <c r="C237" i="13"/>
  <c r="B237" i="13"/>
  <c r="A237" i="13"/>
  <c r="H237" i="13" s="1"/>
  <c r="G236" i="13"/>
  <c r="F236" i="13"/>
  <c r="E236" i="13"/>
  <c r="D236" i="13"/>
  <c r="C236" i="13"/>
  <c r="B236" i="13"/>
  <c r="A236" i="13"/>
  <c r="G235" i="13"/>
  <c r="F235" i="13"/>
  <c r="E235" i="13"/>
  <c r="D235" i="13"/>
  <c r="C235" i="13"/>
  <c r="B235" i="13"/>
  <c r="A235" i="13"/>
  <c r="G234" i="13"/>
  <c r="F234" i="13"/>
  <c r="E234" i="13"/>
  <c r="D234" i="13"/>
  <c r="C234" i="13"/>
  <c r="B234" i="13"/>
  <c r="A234" i="13"/>
  <c r="H234" i="13" s="1"/>
  <c r="G233" i="13"/>
  <c r="F233" i="13"/>
  <c r="E233" i="13"/>
  <c r="D233" i="13"/>
  <c r="C233" i="13"/>
  <c r="B233" i="13"/>
  <c r="A233" i="13"/>
  <c r="G232" i="13"/>
  <c r="F232" i="13"/>
  <c r="E232" i="13"/>
  <c r="D232" i="13"/>
  <c r="C232" i="13"/>
  <c r="B232" i="13"/>
  <c r="A232" i="13"/>
  <c r="H232" i="13" s="1"/>
  <c r="G231" i="13"/>
  <c r="F231" i="13"/>
  <c r="E231" i="13"/>
  <c r="D231" i="13"/>
  <c r="C231" i="13"/>
  <c r="B231" i="13"/>
  <c r="A231" i="13"/>
  <c r="G230" i="13"/>
  <c r="F230" i="13"/>
  <c r="E230" i="13"/>
  <c r="D230" i="13"/>
  <c r="C230" i="13"/>
  <c r="B230" i="13"/>
  <c r="A230" i="13"/>
  <c r="H230" i="13" s="1"/>
  <c r="G229" i="13"/>
  <c r="F229" i="13"/>
  <c r="E229" i="13"/>
  <c r="D229" i="13"/>
  <c r="C229" i="13"/>
  <c r="B229" i="13"/>
  <c r="A229" i="13"/>
  <c r="H229" i="13" s="1"/>
  <c r="G228" i="13"/>
  <c r="F228" i="13"/>
  <c r="E228" i="13"/>
  <c r="D228" i="13"/>
  <c r="C228" i="13"/>
  <c r="B228" i="13"/>
  <c r="A228" i="13"/>
  <c r="G227" i="13"/>
  <c r="F227" i="13"/>
  <c r="E227" i="13"/>
  <c r="D227" i="13"/>
  <c r="C227" i="13"/>
  <c r="B227" i="13"/>
  <c r="A227" i="13"/>
  <c r="G226" i="13"/>
  <c r="F226" i="13"/>
  <c r="E226" i="13"/>
  <c r="D226" i="13"/>
  <c r="C226" i="13"/>
  <c r="B226" i="13"/>
  <c r="A226" i="13"/>
  <c r="H226" i="13" s="1"/>
  <c r="G225" i="13"/>
  <c r="F225" i="13"/>
  <c r="E225" i="13"/>
  <c r="D225" i="13"/>
  <c r="C225" i="13"/>
  <c r="B225" i="13"/>
  <c r="A225" i="13"/>
  <c r="H225" i="13" s="1"/>
  <c r="G224" i="13"/>
  <c r="F224" i="13"/>
  <c r="E224" i="13"/>
  <c r="D224" i="13"/>
  <c r="C224" i="13"/>
  <c r="B224" i="13"/>
  <c r="A224" i="13"/>
  <c r="H224" i="13" s="1"/>
  <c r="G223" i="13"/>
  <c r="F223" i="13"/>
  <c r="E223" i="13"/>
  <c r="D223" i="13"/>
  <c r="C223" i="13"/>
  <c r="B223" i="13"/>
  <c r="A223" i="13"/>
  <c r="G222" i="13"/>
  <c r="F222" i="13"/>
  <c r="E222" i="13"/>
  <c r="D222" i="13"/>
  <c r="C222" i="13"/>
  <c r="B222" i="13"/>
  <c r="A222" i="13"/>
  <c r="H222" i="13" s="1"/>
  <c r="G221" i="13"/>
  <c r="F221" i="13"/>
  <c r="E221" i="13"/>
  <c r="D221" i="13"/>
  <c r="C221" i="13"/>
  <c r="B221" i="13"/>
  <c r="A221" i="13"/>
  <c r="G220" i="13"/>
  <c r="F220" i="13"/>
  <c r="E220" i="13"/>
  <c r="D220" i="13"/>
  <c r="C220" i="13"/>
  <c r="B220" i="13"/>
  <c r="A220" i="13"/>
  <c r="G219" i="13"/>
  <c r="F219" i="13"/>
  <c r="E219" i="13"/>
  <c r="D219" i="13"/>
  <c r="C219" i="13"/>
  <c r="B219" i="13"/>
  <c r="A219" i="13"/>
  <c r="G218" i="13"/>
  <c r="F218" i="13"/>
  <c r="E218" i="13"/>
  <c r="D218" i="13"/>
  <c r="C218" i="13"/>
  <c r="B218" i="13"/>
  <c r="A218" i="13"/>
  <c r="H219" i="13" s="1"/>
  <c r="G217" i="13"/>
  <c r="F217" i="13"/>
  <c r="E217" i="13"/>
  <c r="D217" i="13"/>
  <c r="C217" i="13"/>
  <c r="B217" i="13"/>
  <c r="A217" i="13"/>
  <c r="H217" i="13" s="1"/>
  <c r="G216" i="13"/>
  <c r="F216" i="13"/>
  <c r="E216" i="13"/>
  <c r="D216" i="13"/>
  <c r="C216" i="13"/>
  <c r="B216" i="13"/>
  <c r="A216" i="13"/>
  <c r="H216" i="13" s="1"/>
  <c r="G215" i="13"/>
  <c r="F215" i="13"/>
  <c r="E215" i="13"/>
  <c r="D215" i="13"/>
  <c r="C215" i="13"/>
  <c r="B215" i="13"/>
  <c r="A215" i="13"/>
  <c r="G214" i="13"/>
  <c r="F214" i="13"/>
  <c r="E214" i="13"/>
  <c r="D214" i="13"/>
  <c r="C214" i="13"/>
  <c r="B214" i="13"/>
  <c r="A214" i="13"/>
  <c r="G213" i="13"/>
  <c r="F213" i="13"/>
  <c r="E213" i="13"/>
  <c r="D213" i="13"/>
  <c r="C213" i="13"/>
  <c r="B213" i="13"/>
  <c r="A213" i="13"/>
  <c r="H213" i="13" s="1"/>
  <c r="G212" i="13"/>
  <c r="F212" i="13"/>
  <c r="E212" i="13"/>
  <c r="D212" i="13"/>
  <c r="C212" i="13"/>
  <c r="B212" i="13"/>
  <c r="A212" i="13"/>
  <c r="G211" i="13"/>
  <c r="F211" i="13"/>
  <c r="E211" i="13"/>
  <c r="D211" i="13"/>
  <c r="C211" i="13"/>
  <c r="B211" i="13"/>
  <c r="A211" i="13"/>
  <c r="G210" i="13"/>
  <c r="F210" i="13"/>
  <c r="E210" i="13"/>
  <c r="D210" i="13"/>
  <c r="C210" i="13"/>
  <c r="B210" i="13"/>
  <c r="A210" i="13"/>
  <c r="H211" i="13" s="1"/>
  <c r="G209" i="13"/>
  <c r="F209" i="13"/>
  <c r="E209" i="13"/>
  <c r="D209" i="13"/>
  <c r="C209" i="13"/>
  <c r="B209" i="13"/>
  <c r="A209" i="13"/>
  <c r="H209" i="13" s="1"/>
  <c r="G208" i="13"/>
  <c r="F208" i="13"/>
  <c r="E208" i="13"/>
  <c r="D208" i="13"/>
  <c r="C208" i="13"/>
  <c r="B208" i="13"/>
  <c r="A208" i="13"/>
  <c r="H208" i="13" s="1"/>
  <c r="G207" i="13"/>
  <c r="F207" i="13"/>
  <c r="E207" i="13"/>
  <c r="D207" i="13"/>
  <c r="C207" i="13"/>
  <c r="B207" i="13"/>
  <c r="A207" i="13"/>
  <c r="G206" i="13"/>
  <c r="F206" i="13"/>
  <c r="E206" i="13"/>
  <c r="D206" i="13"/>
  <c r="C206" i="13"/>
  <c r="B206" i="13"/>
  <c r="A206" i="13"/>
  <c r="H206" i="13" s="1"/>
  <c r="G205" i="13"/>
  <c r="F205" i="13"/>
  <c r="E205" i="13"/>
  <c r="D205" i="13"/>
  <c r="C205" i="13"/>
  <c r="B205" i="13"/>
  <c r="A205" i="13"/>
  <c r="H205" i="13" s="1"/>
  <c r="G204" i="13"/>
  <c r="F204" i="13"/>
  <c r="E204" i="13"/>
  <c r="D204" i="13"/>
  <c r="C204" i="13"/>
  <c r="B204" i="13"/>
  <c r="A204" i="13"/>
  <c r="G203" i="13"/>
  <c r="F203" i="13"/>
  <c r="E203" i="13"/>
  <c r="D203" i="13"/>
  <c r="C203" i="13"/>
  <c r="B203" i="13"/>
  <c r="A203" i="13"/>
  <c r="G202" i="13"/>
  <c r="F202" i="13"/>
  <c r="E202" i="13"/>
  <c r="D202" i="13"/>
  <c r="C202" i="13"/>
  <c r="B202" i="13"/>
  <c r="A202" i="13"/>
  <c r="H202" i="13" s="1"/>
  <c r="G201" i="13"/>
  <c r="F201" i="13"/>
  <c r="E201" i="13"/>
  <c r="D201" i="13"/>
  <c r="C201" i="13"/>
  <c r="B201" i="13"/>
  <c r="A201" i="13"/>
  <c r="H201" i="13" s="1"/>
  <c r="G200" i="13"/>
  <c r="F200" i="13"/>
  <c r="E200" i="13"/>
  <c r="D200" i="13"/>
  <c r="C200" i="13"/>
  <c r="B200" i="13"/>
  <c r="A200" i="13"/>
  <c r="H200" i="13" s="1"/>
  <c r="G199" i="13"/>
  <c r="F199" i="13"/>
  <c r="E199" i="13"/>
  <c r="D199" i="13"/>
  <c r="C199" i="13"/>
  <c r="B199" i="13"/>
  <c r="A199" i="13"/>
  <c r="G198" i="13"/>
  <c r="F198" i="13"/>
  <c r="E198" i="13"/>
  <c r="D198" i="13"/>
  <c r="C198" i="13"/>
  <c r="B198" i="13"/>
  <c r="A198" i="13"/>
  <c r="H198" i="13" s="1"/>
  <c r="G197" i="13"/>
  <c r="F197" i="13"/>
  <c r="E197" i="13"/>
  <c r="D197" i="13"/>
  <c r="C197" i="13"/>
  <c r="B197" i="13"/>
  <c r="A197" i="13"/>
  <c r="H197" i="13" s="1"/>
  <c r="G196" i="13"/>
  <c r="F196" i="13"/>
  <c r="E196" i="13"/>
  <c r="D196" i="13"/>
  <c r="C196" i="13"/>
  <c r="B196" i="13"/>
  <c r="A196" i="13"/>
  <c r="G195" i="13"/>
  <c r="F195" i="13"/>
  <c r="E195" i="13"/>
  <c r="D195" i="13"/>
  <c r="C195" i="13"/>
  <c r="B195" i="13"/>
  <c r="A195" i="13"/>
  <c r="G194" i="13"/>
  <c r="F194" i="13"/>
  <c r="E194" i="13"/>
  <c r="D194" i="13"/>
  <c r="C194" i="13"/>
  <c r="B194" i="13"/>
  <c r="A194" i="13"/>
  <c r="G193" i="13"/>
  <c r="F193" i="13"/>
  <c r="E193" i="13"/>
  <c r="D193" i="13"/>
  <c r="C193" i="13"/>
  <c r="B193" i="13"/>
  <c r="A193" i="13"/>
  <c r="H193" i="13" s="1"/>
  <c r="G192" i="13"/>
  <c r="F192" i="13"/>
  <c r="E192" i="13"/>
  <c r="D192" i="13"/>
  <c r="C192" i="13"/>
  <c r="B192" i="13"/>
  <c r="A192" i="13"/>
  <c r="G191" i="13"/>
  <c r="F191" i="13"/>
  <c r="E191" i="13"/>
  <c r="D191" i="13"/>
  <c r="C191" i="13"/>
  <c r="B191" i="13"/>
  <c r="A191" i="13"/>
  <c r="G190" i="13"/>
  <c r="F190" i="13"/>
  <c r="E190" i="13"/>
  <c r="D190" i="13"/>
  <c r="C190" i="13"/>
  <c r="B190" i="13"/>
  <c r="A190" i="13"/>
  <c r="H190" i="13" s="1"/>
  <c r="G189" i="13"/>
  <c r="F189" i="13"/>
  <c r="E189" i="13"/>
  <c r="D189" i="13"/>
  <c r="C189" i="13"/>
  <c r="B189" i="13"/>
  <c r="A189" i="13"/>
  <c r="H189" i="13" s="1"/>
  <c r="G188" i="13"/>
  <c r="F188" i="13"/>
  <c r="E188" i="13"/>
  <c r="D188" i="13"/>
  <c r="C188" i="13"/>
  <c r="B188" i="13"/>
  <c r="A188" i="13"/>
  <c r="H188" i="13" s="1"/>
  <c r="G187" i="13"/>
  <c r="F187" i="13"/>
  <c r="E187" i="13"/>
  <c r="D187" i="13"/>
  <c r="C187" i="13"/>
  <c r="B187" i="13"/>
  <c r="A187" i="13"/>
  <c r="G186" i="13"/>
  <c r="F186" i="13"/>
  <c r="E186" i="13"/>
  <c r="D186" i="13"/>
  <c r="C186" i="13"/>
  <c r="B186" i="13"/>
  <c r="A186" i="13"/>
  <c r="H186" i="13" s="1"/>
  <c r="G185" i="13"/>
  <c r="F185" i="13"/>
  <c r="E185" i="13"/>
  <c r="D185" i="13"/>
  <c r="C185" i="13"/>
  <c r="B185" i="13"/>
  <c r="A185" i="13"/>
  <c r="H185" i="13" s="1"/>
  <c r="G184" i="13"/>
  <c r="F184" i="13"/>
  <c r="E184" i="13"/>
  <c r="D184" i="13"/>
  <c r="C184" i="13"/>
  <c r="B184" i="13"/>
  <c r="A184" i="13"/>
  <c r="H184" i="13" s="1"/>
  <c r="G183" i="13"/>
  <c r="F183" i="13"/>
  <c r="E183" i="13"/>
  <c r="D183" i="13"/>
  <c r="C183" i="13"/>
  <c r="B183" i="13"/>
  <c r="A183" i="13"/>
  <c r="G182" i="13"/>
  <c r="F182" i="13"/>
  <c r="E182" i="13"/>
  <c r="D182" i="13"/>
  <c r="C182" i="13"/>
  <c r="B182" i="13"/>
  <c r="A182" i="13"/>
  <c r="H182" i="13" s="1"/>
  <c r="G181" i="13"/>
  <c r="F181" i="13"/>
  <c r="E181" i="13"/>
  <c r="D181" i="13"/>
  <c r="C181" i="13"/>
  <c r="B181" i="13"/>
  <c r="A181" i="13"/>
  <c r="H181" i="13" s="1"/>
  <c r="G180" i="13"/>
  <c r="F180" i="13"/>
  <c r="E180" i="13"/>
  <c r="D180" i="13"/>
  <c r="C180" i="13"/>
  <c r="B180" i="13"/>
  <c r="A180" i="13"/>
  <c r="H180" i="13" s="1"/>
  <c r="G179" i="13"/>
  <c r="F179" i="13"/>
  <c r="E179" i="13"/>
  <c r="D179" i="13"/>
  <c r="C179" i="13"/>
  <c r="B179" i="13"/>
  <c r="A179" i="13"/>
  <c r="G178" i="13"/>
  <c r="F178" i="13"/>
  <c r="E178" i="13"/>
  <c r="D178" i="13"/>
  <c r="C178" i="13"/>
  <c r="B178" i="13"/>
  <c r="A178" i="13"/>
  <c r="H178" i="13" s="1"/>
  <c r="G177" i="13"/>
  <c r="F177" i="13"/>
  <c r="E177" i="13"/>
  <c r="D177" i="13"/>
  <c r="C177" i="13"/>
  <c r="B177" i="13"/>
  <c r="A177" i="13"/>
  <c r="H177" i="13" s="1"/>
  <c r="G176" i="13"/>
  <c r="F176" i="13"/>
  <c r="E176" i="13"/>
  <c r="D176" i="13"/>
  <c r="C176" i="13"/>
  <c r="B176" i="13"/>
  <c r="A176" i="13"/>
  <c r="G175" i="13"/>
  <c r="F175" i="13"/>
  <c r="E175" i="13"/>
  <c r="D175" i="13"/>
  <c r="C175" i="13"/>
  <c r="B175" i="13"/>
  <c r="A175" i="13"/>
  <c r="G174" i="13"/>
  <c r="F174" i="13"/>
  <c r="E174" i="13"/>
  <c r="D174" i="13"/>
  <c r="C174" i="13"/>
  <c r="B174" i="13"/>
  <c r="A174" i="13"/>
  <c r="H174" i="13" s="1"/>
  <c r="G173" i="13"/>
  <c r="F173" i="13"/>
  <c r="E173" i="13"/>
  <c r="D173" i="13"/>
  <c r="C173" i="13"/>
  <c r="B173" i="13"/>
  <c r="A173" i="13"/>
  <c r="H173" i="13" s="1"/>
  <c r="G172" i="13"/>
  <c r="F172" i="13"/>
  <c r="E172" i="13"/>
  <c r="D172" i="13"/>
  <c r="C172" i="13"/>
  <c r="B172" i="13"/>
  <c r="A172" i="13"/>
  <c r="G171" i="13"/>
  <c r="F171" i="13"/>
  <c r="E171" i="13"/>
  <c r="D171" i="13"/>
  <c r="C171" i="13"/>
  <c r="B171" i="13"/>
  <c r="A171" i="13"/>
  <c r="G170" i="13"/>
  <c r="F170" i="13"/>
  <c r="E170" i="13"/>
  <c r="D170" i="13"/>
  <c r="C170" i="13"/>
  <c r="B170" i="13"/>
  <c r="A170" i="13"/>
  <c r="H170" i="13" s="1"/>
  <c r="G169" i="13"/>
  <c r="F169" i="13"/>
  <c r="E169" i="13"/>
  <c r="D169" i="13"/>
  <c r="C169" i="13"/>
  <c r="B169" i="13"/>
  <c r="A169" i="13"/>
  <c r="H169" i="13" s="1"/>
  <c r="G168" i="13"/>
  <c r="F168" i="13"/>
  <c r="E168" i="13"/>
  <c r="D168" i="13"/>
  <c r="C168" i="13"/>
  <c r="B168" i="13"/>
  <c r="A168" i="13"/>
  <c r="G167" i="13"/>
  <c r="F167" i="13"/>
  <c r="E167" i="13"/>
  <c r="D167" i="13"/>
  <c r="C167" i="13"/>
  <c r="B167" i="13"/>
  <c r="A167" i="13"/>
  <c r="G166" i="13"/>
  <c r="F166" i="13"/>
  <c r="E166" i="13"/>
  <c r="D166" i="13"/>
  <c r="C166" i="13"/>
  <c r="B166" i="13"/>
  <c r="A166" i="13"/>
  <c r="G165" i="13"/>
  <c r="F165" i="13"/>
  <c r="E165" i="13"/>
  <c r="D165" i="13"/>
  <c r="C165" i="13"/>
  <c r="B165" i="13"/>
  <c r="A165" i="13"/>
  <c r="H165" i="13" s="1"/>
  <c r="G164" i="13"/>
  <c r="F164" i="13"/>
  <c r="E164" i="13"/>
  <c r="D164" i="13"/>
  <c r="C164" i="13"/>
  <c r="B164" i="13"/>
  <c r="A164" i="13"/>
  <c r="G163" i="13"/>
  <c r="F163" i="13"/>
  <c r="E163" i="13"/>
  <c r="D163" i="13"/>
  <c r="C163" i="13"/>
  <c r="B163" i="13"/>
  <c r="A163" i="13"/>
  <c r="G162" i="13"/>
  <c r="F162" i="13"/>
  <c r="E162" i="13"/>
  <c r="D162" i="13"/>
  <c r="C162" i="13"/>
  <c r="B162" i="13"/>
  <c r="A162" i="13"/>
  <c r="H162" i="13" s="1"/>
  <c r="G161" i="13"/>
  <c r="F161" i="13"/>
  <c r="E161" i="13"/>
  <c r="D161" i="13"/>
  <c r="C161" i="13"/>
  <c r="B161" i="13"/>
  <c r="A161" i="13"/>
  <c r="H161" i="13" s="1"/>
  <c r="G160" i="13"/>
  <c r="F160" i="13"/>
  <c r="E160" i="13"/>
  <c r="D160" i="13"/>
  <c r="C160" i="13"/>
  <c r="B160" i="13"/>
  <c r="A160" i="13"/>
  <c r="G159" i="13"/>
  <c r="F159" i="13"/>
  <c r="E159" i="13"/>
  <c r="D159" i="13"/>
  <c r="C159" i="13"/>
  <c r="B159" i="13"/>
  <c r="A159" i="13"/>
  <c r="G158" i="13"/>
  <c r="F158" i="13"/>
  <c r="E158" i="13"/>
  <c r="D158" i="13"/>
  <c r="C158" i="13"/>
  <c r="B158" i="13"/>
  <c r="A158" i="13"/>
  <c r="H158" i="13" s="1"/>
  <c r="G157" i="13"/>
  <c r="F157" i="13"/>
  <c r="E157" i="13"/>
  <c r="D157" i="13"/>
  <c r="C157" i="13"/>
  <c r="B157" i="13"/>
  <c r="A157" i="13"/>
  <c r="H157" i="13" s="1"/>
  <c r="G156" i="13"/>
  <c r="F156" i="13"/>
  <c r="E156" i="13"/>
  <c r="D156" i="13"/>
  <c r="C156" i="13"/>
  <c r="B156" i="13"/>
  <c r="A156" i="13"/>
  <c r="G155" i="13"/>
  <c r="F155" i="13"/>
  <c r="E155" i="13"/>
  <c r="D155" i="13"/>
  <c r="C155" i="13"/>
  <c r="B155" i="13"/>
  <c r="A155" i="13"/>
  <c r="G154" i="13"/>
  <c r="F154" i="13"/>
  <c r="E154" i="13"/>
  <c r="D154" i="13"/>
  <c r="C154" i="13"/>
  <c r="B154" i="13"/>
  <c r="A154" i="13"/>
  <c r="H154" i="13" s="1"/>
  <c r="G153" i="13"/>
  <c r="F153" i="13"/>
  <c r="E153" i="13"/>
  <c r="D153" i="13"/>
  <c r="C153" i="13"/>
  <c r="B153" i="13"/>
  <c r="A153" i="13"/>
  <c r="H153" i="13" s="1"/>
  <c r="G152" i="13"/>
  <c r="F152" i="13"/>
  <c r="E152" i="13"/>
  <c r="D152" i="13"/>
  <c r="C152" i="13"/>
  <c r="B152" i="13"/>
  <c r="A152" i="13"/>
  <c r="H152" i="13" s="1"/>
  <c r="G151" i="13"/>
  <c r="F151" i="13"/>
  <c r="E151" i="13"/>
  <c r="D151" i="13"/>
  <c r="C151" i="13"/>
  <c r="B151" i="13"/>
  <c r="A151" i="13"/>
  <c r="G150" i="13"/>
  <c r="F150" i="13"/>
  <c r="E150" i="13"/>
  <c r="D150" i="13"/>
  <c r="C150" i="13"/>
  <c r="B150" i="13"/>
  <c r="A150" i="13"/>
  <c r="G149" i="13"/>
  <c r="F149" i="13"/>
  <c r="E149" i="13"/>
  <c r="D149" i="13"/>
  <c r="C149" i="13"/>
  <c r="B149" i="13"/>
  <c r="A149" i="13"/>
  <c r="H149" i="13" s="1"/>
  <c r="G148" i="13"/>
  <c r="F148" i="13"/>
  <c r="E148" i="13"/>
  <c r="D148" i="13"/>
  <c r="C148" i="13"/>
  <c r="B148" i="13"/>
  <c r="A148" i="13"/>
  <c r="G147" i="13"/>
  <c r="F147" i="13"/>
  <c r="E147" i="13"/>
  <c r="D147" i="13"/>
  <c r="C147" i="13"/>
  <c r="B147" i="13"/>
  <c r="A147" i="13"/>
  <c r="G146" i="13"/>
  <c r="F146" i="13"/>
  <c r="E146" i="13"/>
  <c r="D146" i="13"/>
  <c r="C146" i="13"/>
  <c r="B146" i="13"/>
  <c r="A146" i="13"/>
  <c r="G145" i="13"/>
  <c r="F145" i="13"/>
  <c r="E145" i="13"/>
  <c r="D145" i="13"/>
  <c r="C145" i="13"/>
  <c r="B145" i="13"/>
  <c r="A145" i="13"/>
  <c r="G144" i="13"/>
  <c r="F144" i="13"/>
  <c r="E144" i="13"/>
  <c r="D144" i="13"/>
  <c r="C144" i="13"/>
  <c r="B144" i="13"/>
  <c r="A144" i="13"/>
  <c r="H144" i="13" s="1"/>
  <c r="G143" i="13"/>
  <c r="F143" i="13"/>
  <c r="E143" i="13"/>
  <c r="D143" i="13"/>
  <c r="C143" i="13"/>
  <c r="B143" i="13"/>
  <c r="A143" i="13"/>
  <c r="G142" i="13"/>
  <c r="F142" i="13"/>
  <c r="E142" i="13"/>
  <c r="D142" i="13"/>
  <c r="C142" i="13"/>
  <c r="B142" i="13"/>
  <c r="A142" i="13"/>
  <c r="H142" i="13" s="1"/>
  <c r="G141" i="13"/>
  <c r="F141" i="13"/>
  <c r="E141" i="13"/>
  <c r="D141" i="13"/>
  <c r="C141" i="13"/>
  <c r="B141" i="13"/>
  <c r="A141" i="13"/>
  <c r="H141" i="13" s="1"/>
  <c r="G140" i="13"/>
  <c r="F140" i="13"/>
  <c r="E140" i="13"/>
  <c r="D140" i="13"/>
  <c r="C140" i="13"/>
  <c r="B140" i="13"/>
  <c r="A140" i="13"/>
  <c r="G139" i="13"/>
  <c r="F139" i="13"/>
  <c r="E139" i="13"/>
  <c r="D139" i="13"/>
  <c r="C139" i="13"/>
  <c r="B139" i="13"/>
  <c r="A139" i="13"/>
  <c r="G138" i="13"/>
  <c r="F138" i="13"/>
  <c r="E138" i="13"/>
  <c r="D138" i="13"/>
  <c r="C138" i="13"/>
  <c r="B138" i="13"/>
  <c r="A138" i="13"/>
  <c r="H138" i="13" s="1"/>
  <c r="G137" i="13"/>
  <c r="F137" i="13"/>
  <c r="E137" i="13"/>
  <c r="D137" i="13"/>
  <c r="C137" i="13"/>
  <c r="B137" i="13"/>
  <c r="A137" i="13"/>
  <c r="H137" i="13" s="1"/>
  <c r="G136" i="13"/>
  <c r="F136" i="13"/>
  <c r="E136" i="13"/>
  <c r="D136" i="13"/>
  <c r="C136" i="13"/>
  <c r="B136" i="13"/>
  <c r="A136" i="13"/>
  <c r="H136" i="13" s="1"/>
  <c r="G135" i="13"/>
  <c r="F135" i="13"/>
  <c r="E135" i="13"/>
  <c r="D135" i="13"/>
  <c r="C135" i="13"/>
  <c r="B135" i="13"/>
  <c r="A135" i="13"/>
  <c r="G134" i="13"/>
  <c r="F134" i="13"/>
  <c r="E134" i="13"/>
  <c r="D134" i="13"/>
  <c r="C134" i="13"/>
  <c r="B134" i="13"/>
  <c r="A134" i="13"/>
  <c r="H134" i="13" s="1"/>
  <c r="G133" i="13"/>
  <c r="F133" i="13"/>
  <c r="E133" i="13"/>
  <c r="D133" i="13"/>
  <c r="C133" i="13"/>
  <c r="B133" i="13"/>
  <c r="A133" i="13"/>
  <c r="H133" i="13" s="1"/>
  <c r="G132" i="13"/>
  <c r="F132" i="13"/>
  <c r="E132" i="13"/>
  <c r="D132" i="13"/>
  <c r="C132" i="13"/>
  <c r="B132" i="13"/>
  <c r="A132" i="13"/>
  <c r="G131" i="13"/>
  <c r="F131" i="13"/>
  <c r="E131" i="13"/>
  <c r="D131" i="13"/>
  <c r="C131" i="13"/>
  <c r="B131" i="13"/>
  <c r="A131" i="13"/>
  <c r="G130" i="13"/>
  <c r="F130" i="13"/>
  <c r="E130" i="13"/>
  <c r="D130" i="13"/>
  <c r="C130" i="13"/>
  <c r="B130" i="13"/>
  <c r="A130" i="13"/>
  <c r="H131" i="13" s="1"/>
  <c r="G129" i="13"/>
  <c r="F129" i="13"/>
  <c r="E129" i="13"/>
  <c r="D129" i="13"/>
  <c r="C129" i="13"/>
  <c r="B129" i="13"/>
  <c r="A129" i="13"/>
  <c r="G128" i="13"/>
  <c r="F128" i="13"/>
  <c r="E128" i="13"/>
  <c r="D128" i="13"/>
  <c r="C128" i="13"/>
  <c r="B128" i="13"/>
  <c r="A128" i="13"/>
  <c r="G127" i="13"/>
  <c r="F127" i="13"/>
  <c r="E127" i="13"/>
  <c r="D127" i="13"/>
  <c r="C127" i="13"/>
  <c r="B127" i="13"/>
  <c r="A127" i="13"/>
  <c r="G126" i="13"/>
  <c r="F126" i="13"/>
  <c r="E126" i="13"/>
  <c r="D126" i="13"/>
  <c r="C126" i="13"/>
  <c r="B126" i="13"/>
  <c r="A126" i="13"/>
  <c r="G125" i="13"/>
  <c r="F125" i="13"/>
  <c r="E125" i="13"/>
  <c r="D125" i="13"/>
  <c r="C125" i="13"/>
  <c r="B125" i="13"/>
  <c r="A125" i="13"/>
  <c r="H125" i="13" s="1"/>
  <c r="G124" i="13"/>
  <c r="F124" i="13"/>
  <c r="E124" i="13"/>
  <c r="D124" i="13"/>
  <c r="C124" i="13"/>
  <c r="B124" i="13"/>
  <c r="A124" i="13"/>
  <c r="H124" i="13" s="1"/>
  <c r="G123" i="13"/>
  <c r="F123" i="13"/>
  <c r="E123" i="13"/>
  <c r="D123" i="13"/>
  <c r="C123" i="13"/>
  <c r="B123" i="13"/>
  <c r="A123" i="13"/>
  <c r="G122" i="13"/>
  <c r="F122" i="13"/>
  <c r="E122" i="13"/>
  <c r="D122" i="13"/>
  <c r="C122" i="13"/>
  <c r="B122" i="13"/>
  <c r="A122" i="13"/>
  <c r="H122" i="13" s="1"/>
  <c r="G121" i="13"/>
  <c r="F121" i="13"/>
  <c r="E121" i="13"/>
  <c r="D121" i="13"/>
  <c r="C121" i="13"/>
  <c r="B121" i="13"/>
  <c r="A121" i="13"/>
  <c r="H121" i="13" s="1"/>
  <c r="G120" i="13"/>
  <c r="F120" i="13"/>
  <c r="E120" i="13"/>
  <c r="D120" i="13"/>
  <c r="C120" i="13"/>
  <c r="B120" i="13"/>
  <c r="A120" i="13"/>
  <c r="H120" i="13" s="1"/>
  <c r="G119" i="13"/>
  <c r="F119" i="13"/>
  <c r="E119" i="13"/>
  <c r="D119" i="13"/>
  <c r="C119" i="13"/>
  <c r="B119" i="13"/>
  <c r="A119" i="13"/>
  <c r="H119" i="13" s="1"/>
  <c r="G118" i="13"/>
  <c r="F118" i="13"/>
  <c r="E118" i="13"/>
  <c r="D118" i="13"/>
  <c r="C118" i="13"/>
  <c r="B118" i="13"/>
  <c r="A118" i="13"/>
  <c r="H118" i="13" s="1"/>
  <c r="G117" i="13"/>
  <c r="F117" i="13"/>
  <c r="E117" i="13"/>
  <c r="D117" i="13"/>
  <c r="C117" i="13"/>
  <c r="B117" i="13"/>
  <c r="A117" i="13"/>
  <c r="H117" i="13" s="1"/>
  <c r="G116" i="13"/>
  <c r="F116" i="13"/>
  <c r="E116" i="13"/>
  <c r="D116" i="13"/>
  <c r="C116" i="13"/>
  <c r="B116" i="13"/>
  <c r="A116" i="13"/>
  <c r="H116" i="13" s="1"/>
  <c r="G115" i="13"/>
  <c r="F115" i="13"/>
  <c r="E115" i="13"/>
  <c r="D115" i="13"/>
  <c r="C115" i="13"/>
  <c r="B115" i="13"/>
  <c r="A115" i="13"/>
  <c r="G114" i="13"/>
  <c r="F114" i="13"/>
  <c r="E114" i="13"/>
  <c r="D114" i="13"/>
  <c r="C114" i="13"/>
  <c r="B114" i="13"/>
  <c r="A114" i="13"/>
  <c r="G113" i="13"/>
  <c r="F113" i="13"/>
  <c r="E113" i="13"/>
  <c r="D113" i="13"/>
  <c r="C113" i="13"/>
  <c r="B113" i="13"/>
  <c r="A113" i="13"/>
  <c r="G112" i="13"/>
  <c r="F112" i="13"/>
  <c r="E112" i="13"/>
  <c r="D112" i="13"/>
  <c r="C112" i="13"/>
  <c r="B112" i="13"/>
  <c r="A112" i="13"/>
  <c r="G111" i="13"/>
  <c r="F111" i="13"/>
  <c r="E111" i="13"/>
  <c r="D111" i="13"/>
  <c r="C111" i="13"/>
  <c r="B111" i="13"/>
  <c r="A111" i="13"/>
  <c r="G110" i="13"/>
  <c r="F110" i="13"/>
  <c r="E110" i="13"/>
  <c r="D110" i="13"/>
  <c r="C110" i="13"/>
  <c r="B110" i="13"/>
  <c r="A110" i="13"/>
  <c r="H110" i="13" s="1"/>
  <c r="G109" i="13"/>
  <c r="F109" i="13"/>
  <c r="E109" i="13"/>
  <c r="D109" i="13"/>
  <c r="C109" i="13"/>
  <c r="B109" i="13"/>
  <c r="A109" i="13"/>
  <c r="H109" i="13" s="1"/>
  <c r="G108" i="13"/>
  <c r="F108" i="13"/>
  <c r="E108" i="13"/>
  <c r="D108" i="13"/>
  <c r="C108" i="13"/>
  <c r="B108" i="13"/>
  <c r="A108" i="13"/>
  <c r="G107" i="13"/>
  <c r="F107" i="13"/>
  <c r="E107" i="13"/>
  <c r="D107" i="13"/>
  <c r="C107" i="13"/>
  <c r="B107" i="13"/>
  <c r="A107" i="13"/>
  <c r="G106" i="13"/>
  <c r="F106" i="13"/>
  <c r="E106" i="13"/>
  <c r="D106" i="13"/>
  <c r="C106" i="13"/>
  <c r="B106" i="13"/>
  <c r="A106" i="13"/>
  <c r="H106" i="13" s="1"/>
  <c r="G105" i="13"/>
  <c r="F105" i="13"/>
  <c r="E105" i="13"/>
  <c r="D105" i="13"/>
  <c r="C105" i="13"/>
  <c r="B105" i="13"/>
  <c r="A105" i="13"/>
  <c r="H105" i="13" s="1"/>
  <c r="G104" i="13"/>
  <c r="F104" i="13"/>
  <c r="E104" i="13"/>
  <c r="D104" i="13"/>
  <c r="C104" i="13"/>
  <c r="B104" i="13"/>
  <c r="A104" i="13"/>
  <c r="H104" i="13" s="1"/>
  <c r="G103" i="13"/>
  <c r="F103" i="13"/>
  <c r="E103" i="13"/>
  <c r="D103" i="13"/>
  <c r="C103" i="13"/>
  <c r="B103" i="13"/>
  <c r="A103" i="13"/>
  <c r="H103" i="13" s="1"/>
  <c r="G102" i="13"/>
  <c r="F102" i="13"/>
  <c r="E102" i="13"/>
  <c r="D102" i="13"/>
  <c r="C102" i="13"/>
  <c r="B102" i="13"/>
  <c r="A102" i="13"/>
  <c r="H102" i="13" s="1"/>
  <c r="G101" i="13"/>
  <c r="F101" i="13"/>
  <c r="E101" i="13"/>
  <c r="D101" i="13"/>
  <c r="C101" i="13"/>
  <c r="B101" i="13"/>
  <c r="A101" i="13"/>
  <c r="H101" i="13" s="1"/>
  <c r="G100" i="13"/>
  <c r="F100" i="13"/>
  <c r="E100" i="13"/>
  <c r="D100" i="13"/>
  <c r="C100" i="13"/>
  <c r="B100" i="13"/>
  <c r="A100" i="13"/>
  <c r="G99" i="13"/>
  <c r="F99" i="13"/>
  <c r="E99" i="13"/>
  <c r="D99" i="13"/>
  <c r="C99" i="13"/>
  <c r="B99" i="13"/>
  <c r="A99" i="13"/>
  <c r="G98" i="13"/>
  <c r="F98" i="13"/>
  <c r="E98" i="13"/>
  <c r="D98" i="13"/>
  <c r="C98" i="13"/>
  <c r="B98" i="13"/>
  <c r="A98" i="13"/>
  <c r="G97" i="13"/>
  <c r="F97" i="13"/>
  <c r="E97" i="13"/>
  <c r="D97" i="13"/>
  <c r="C97" i="13"/>
  <c r="B97" i="13"/>
  <c r="A97" i="13"/>
  <c r="H97" i="13" s="1"/>
  <c r="G96" i="13"/>
  <c r="F96" i="13"/>
  <c r="E96" i="13"/>
  <c r="D96" i="13"/>
  <c r="C96" i="13"/>
  <c r="B96" i="13"/>
  <c r="A96" i="13"/>
  <c r="H96" i="13" s="1"/>
  <c r="G95" i="13"/>
  <c r="F95" i="13"/>
  <c r="E95" i="13"/>
  <c r="D95" i="13"/>
  <c r="C95" i="13"/>
  <c r="B95" i="13"/>
  <c r="A95" i="13"/>
  <c r="G94" i="13"/>
  <c r="F94" i="13"/>
  <c r="E94" i="13"/>
  <c r="D94" i="13"/>
  <c r="C94" i="13"/>
  <c r="B94" i="13"/>
  <c r="A94" i="13"/>
  <c r="G93" i="13"/>
  <c r="F93" i="13"/>
  <c r="E93" i="13"/>
  <c r="D93" i="13"/>
  <c r="C93" i="13"/>
  <c r="B93" i="13"/>
  <c r="A93" i="13"/>
  <c r="H93" i="13" s="1"/>
  <c r="G92" i="13"/>
  <c r="F92" i="13"/>
  <c r="E92" i="13"/>
  <c r="D92" i="13"/>
  <c r="C92" i="13"/>
  <c r="B92" i="13"/>
  <c r="A92" i="13"/>
  <c r="G91" i="13"/>
  <c r="F91" i="13"/>
  <c r="E91" i="13"/>
  <c r="D91" i="13"/>
  <c r="C91" i="13"/>
  <c r="B91" i="13"/>
  <c r="A91" i="13"/>
  <c r="G90" i="13"/>
  <c r="F90" i="13"/>
  <c r="E90" i="13"/>
  <c r="D90" i="13"/>
  <c r="C90" i="13"/>
  <c r="B90" i="13"/>
  <c r="A90" i="13"/>
  <c r="H90" i="13" s="1"/>
  <c r="G89" i="13"/>
  <c r="F89" i="13"/>
  <c r="E89" i="13"/>
  <c r="D89" i="13"/>
  <c r="C89" i="13"/>
  <c r="B89" i="13"/>
  <c r="A89" i="13"/>
  <c r="H89" i="13" s="1"/>
  <c r="G88" i="13"/>
  <c r="F88" i="13"/>
  <c r="E88" i="13"/>
  <c r="D88" i="13"/>
  <c r="C88" i="13"/>
  <c r="B88" i="13"/>
  <c r="A88" i="13"/>
  <c r="H88" i="13" s="1"/>
  <c r="G87" i="13"/>
  <c r="F87" i="13"/>
  <c r="E87" i="13"/>
  <c r="D87" i="13"/>
  <c r="C87" i="13"/>
  <c r="B87" i="13"/>
  <c r="A87" i="13"/>
  <c r="G86" i="13"/>
  <c r="F86" i="13"/>
  <c r="E86" i="13"/>
  <c r="D86" i="13"/>
  <c r="C86" i="13"/>
  <c r="B86" i="13"/>
  <c r="A86" i="13"/>
  <c r="H86" i="13" s="1"/>
  <c r="G85" i="13"/>
  <c r="F85" i="13"/>
  <c r="E85" i="13"/>
  <c r="D85" i="13"/>
  <c r="C85" i="13"/>
  <c r="B85" i="13"/>
  <c r="A85" i="13"/>
  <c r="H85" i="13" s="1"/>
  <c r="G84" i="13"/>
  <c r="F84" i="13"/>
  <c r="E84" i="13"/>
  <c r="D84" i="13"/>
  <c r="C84" i="13"/>
  <c r="B84" i="13"/>
  <c r="A84" i="13"/>
  <c r="G83" i="13"/>
  <c r="F83" i="13"/>
  <c r="E83" i="13"/>
  <c r="D83" i="13"/>
  <c r="C83" i="13"/>
  <c r="B83" i="13"/>
  <c r="A83" i="13"/>
  <c r="G82" i="13"/>
  <c r="F82" i="13"/>
  <c r="E82" i="13"/>
  <c r="D82" i="13"/>
  <c r="C82" i="13"/>
  <c r="B82" i="13"/>
  <c r="A82" i="13"/>
  <c r="H83" i="13" s="1"/>
  <c r="G81" i="13"/>
  <c r="F81" i="13"/>
  <c r="E81" i="13"/>
  <c r="D81" i="13"/>
  <c r="C81" i="13"/>
  <c r="B81" i="13"/>
  <c r="A81" i="13"/>
  <c r="G80" i="13"/>
  <c r="F80" i="13"/>
  <c r="E80" i="13"/>
  <c r="D80" i="13"/>
  <c r="C80" i="13"/>
  <c r="B80" i="13"/>
  <c r="A80" i="13"/>
  <c r="H80" i="13" s="1"/>
  <c r="G79" i="13"/>
  <c r="F79" i="13"/>
  <c r="E79" i="13"/>
  <c r="D79" i="13"/>
  <c r="C79" i="13"/>
  <c r="B79" i="13"/>
  <c r="A79" i="13"/>
  <c r="G78" i="13"/>
  <c r="F78" i="13"/>
  <c r="E78" i="13"/>
  <c r="D78" i="13"/>
  <c r="C78" i="13"/>
  <c r="B78" i="13"/>
  <c r="A78" i="13"/>
  <c r="H78" i="13" s="1"/>
  <c r="G77" i="13"/>
  <c r="F77" i="13"/>
  <c r="E77" i="13"/>
  <c r="D77" i="13"/>
  <c r="C77" i="13"/>
  <c r="B77" i="13"/>
  <c r="A77" i="13"/>
  <c r="H77" i="13" s="1"/>
  <c r="G76" i="13"/>
  <c r="F76" i="13"/>
  <c r="E76" i="13"/>
  <c r="D76" i="13"/>
  <c r="C76" i="13"/>
  <c r="B76" i="13"/>
  <c r="A76" i="13"/>
  <c r="G75" i="13"/>
  <c r="F75" i="13"/>
  <c r="E75" i="13"/>
  <c r="D75" i="13"/>
  <c r="C75" i="13"/>
  <c r="B75" i="13"/>
  <c r="A75" i="13"/>
  <c r="G74" i="13"/>
  <c r="F74" i="13"/>
  <c r="E74" i="13"/>
  <c r="D74" i="13"/>
  <c r="C74" i="13"/>
  <c r="B74" i="13"/>
  <c r="A74" i="13"/>
  <c r="G73" i="13"/>
  <c r="F73" i="13"/>
  <c r="E73" i="13"/>
  <c r="D73" i="13"/>
  <c r="C73" i="13"/>
  <c r="B73" i="13"/>
  <c r="A73" i="13"/>
  <c r="H73" i="13" s="1"/>
  <c r="G72" i="13"/>
  <c r="F72" i="13"/>
  <c r="E72" i="13"/>
  <c r="D72" i="13"/>
  <c r="C72" i="13"/>
  <c r="B72" i="13"/>
  <c r="A72" i="13"/>
  <c r="G71" i="13"/>
  <c r="F71" i="13"/>
  <c r="E71" i="13"/>
  <c r="D71" i="13"/>
  <c r="C71" i="13"/>
  <c r="B71" i="13"/>
  <c r="A71" i="13"/>
  <c r="G70" i="13"/>
  <c r="F70" i="13"/>
  <c r="E70" i="13"/>
  <c r="D70" i="13"/>
  <c r="C70" i="13"/>
  <c r="B70" i="13"/>
  <c r="A70" i="13"/>
  <c r="H70" i="13" s="1"/>
  <c r="G69" i="13"/>
  <c r="F69" i="13"/>
  <c r="E69" i="13"/>
  <c r="D69" i="13"/>
  <c r="C69" i="13"/>
  <c r="B69" i="13"/>
  <c r="A69" i="13"/>
  <c r="H69" i="13" s="1"/>
  <c r="G68" i="13"/>
  <c r="F68" i="13"/>
  <c r="E68" i="13"/>
  <c r="D68" i="13"/>
  <c r="C68" i="13"/>
  <c r="B68" i="13"/>
  <c r="A68" i="13"/>
  <c r="G67" i="13"/>
  <c r="F67" i="13"/>
  <c r="E67" i="13"/>
  <c r="D67" i="13"/>
  <c r="C67" i="13"/>
  <c r="B67" i="13"/>
  <c r="A67" i="13"/>
  <c r="G66" i="13"/>
  <c r="F66" i="13"/>
  <c r="E66" i="13"/>
  <c r="D66" i="13"/>
  <c r="C66" i="13"/>
  <c r="B66" i="13"/>
  <c r="A66" i="13"/>
  <c r="H66" i="13" s="1"/>
  <c r="G65" i="13"/>
  <c r="F65" i="13"/>
  <c r="E65" i="13"/>
  <c r="D65" i="13"/>
  <c r="C65" i="13"/>
  <c r="B65" i="13"/>
  <c r="A65" i="13"/>
  <c r="G64" i="13"/>
  <c r="F64" i="13"/>
  <c r="E64" i="13"/>
  <c r="D64" i="13"/>
  <c r="C64" i="13"/>
  <c r="B64" i="13"/>
  <c r="A64" i="13"/>
  <c r="H64" i="13" s="1"/>
  <c r="G63" i="13"/>
  <c r="F63" i="13"/>
  <c r="E63" i="13"/>
  <c r="D63" i="13"/>
  <c r="C63" i="13"/>
  <c r="B63" i="13"/>
  <c r="A63" i="13"/>
  <c r="G62" i="13"/>
  <c r="F62" i="13"/>
  <c r="E62" i="13"/>
  <c r="D62" i="13"/>
  <c r="C62" i="13"/>
  <c r="B62" i="13"/>
  <c r="A62" i="13"/>
  <c r="H62" i="13" s="1"/>
  <c r="G61" i="13"/>
  <c r="F61" i="13"/>
  <c r="E61" i="13"/>
  <c r="D61" i="13"/>
  <c r="C61" i="13"/>
  <c r="B61" i="13"/>
  <c r="A61" i="13"/>
  <c r="H61" i="13" s="1"/>
  <c r="G60" i="13"/>
  <c r="F60" i="13"/>
  <c r="E60" i="13"/>
  <c r="D60" i="13"/>
  <c r="C60" i="13"/>
  <c r="B60" i="13"/>
  <c r="A60" i="13"/>
  <c r="H60" i="13" s="1"/>
  <c r="G59" i="13"/>
  <c r="F59" i="13"/>
  <c r="E59" i="13"/>
  <c r="D59" i="13"/>
  <c r="C59" i="13"/>
  <c r="B59" i="13"/>
  <c r="A59" i="13"/>
  <c r="G58" i="13"/>
  <c r="F58" i="13"/>
  <c r="E58" i="13"/>
  <c r="D58" i="13"/>
  <c r="C58" i="13"/>
  <c r="B58" i="13"/>
  <c r="A58" i="13"/>
  <c r="H59" i="13" s="1"/>
  <c r="G57" i="13"/>
  <c r="F57" i="13"/>
  <c r="E57" i="13"/>
  <c r="D57" i="13"/>
  <c r="C57" i="13"/>
  <c r="B57" i="13"/>
  <c r="A57" i="13"/>
  <c r="G56" i="13"/>
  <c r="F56" i="13"/>
  <c r="E56" i="13"/>
  <c r="D56" i="13"/>
  <c r="C56" i="13"/>
  <c r="B56" i="13"/>
  <c r="A56" i="13"/>
  <c r="G55" i="13"/>
  <c r="F55" i="13"/>
  <c r="E55" i="13"/>
  <c r="D55" i="13"/>
  <c r="C55" i="13"/>
  <c r="B55" i="13"/>
  <c r="A55" i="13"/>
  <c r="G54" i="13"/>
  <c r="F54" i="13"/>
  <c r="E54" i="13"/>
  <c r="D54" i="13"/>
  <c r="C54" i="13"/>
  <c r="B54" i="13"/>
  <c r="A54" i="13"/>
  <c r="G53" i="13"/>
  <c r="F53" i="13"/>
  <c r="E53" i="13"/>
  <c r="D53" i="13"/>
  <c r="C53" i="13"/>
  <c r="B53" i="13"/>
  <c r="A53" i="13"/>
  <c r="H53" i="13" s="1"/>
  <c r="G52" i="13"/>
  <c r="F52" i="13"/>
  <c r="E52" i="13"/>
  <c r="D52" i="13"/>
  <c r="C52" i="13"/>
  <c r="B52" i="13"/>
  <c r="A52" i="13"/>
  <c r="H52" i="13" s="1"/>
  <c r="G51" i="13"/>
  <c r="F51" i="13"/>
  <c r="E51" i="13"/>
  <c r="D51" i="13"/>
  <c r="C51" i="13"/>
  <c r="B51" i="13"/>
  <c r="A51" i="13"/>
  <c r="G50" i="13"/>
  <c r="F50" i="13"/>
  <c r="E50" i="13"/>
  <c r="D50" i="13"/>
  <c r="C50" i="13"/>
  <c r="B50" i="13"/>
  <c r="A50" i="13"/>
  <c r="H50" i="13" s="1"/>
  <c r="G49" i="13"/>
  <c r="F49" i="13"/>
  <c r="E49" i="13"/>
  <c r="D49" i="13"/>
  <c r="C49" i="13"/>
  <c r="B49" i="13"/>
  <c r="A49" i="13"/>
  <c r="H49" i="13" s="1"/>
  <c r="G48" i="13"/>
  <c r="F48" i="13"/>
  <c r="E48" i="13"/>
  <c r="D48" i="13"/>
  <c r="C48" i="13"/>
  <c r="B48" i="13"/>
  <c r="A48" i="13"/>
  <c r="H48" i="13" s="1"/>
  <c r="G47" i="13"/>
  <c r="F47" i="13"/>
  <c r="E47" i="13"/>
  <c r="D47" i="13"/>
  <c r="C47" i="13"/>
  <c r="B47" i="13"/>
  <c r="A47" i="13"/>
  <c r="H47" i="13" s="1"/>
  <c r="G46" i="13"/>
  <c r="F46" i="13"/>
  <c r="E46" i="13"/>
  <c r="D46" i="13"/>
  <c r="C46" i="13"/>
  <c r="B46" i="13"/>
  <c r="A46" i="13"/>
  <c r="H46" i="13" s="1"/>
  <c r="G45" i="13"/>
  <c r="F45" i="13"/>
  <c r="E45" i="13"/>
  <c r="D45" i="13"/>
  <c r="C45" i="13"/>
  <c r="B45" i="13"/>
  <c r="A45" i="13"/>
  <c r="H45" i="13" s="1"/>
  <c r="G44" i="13"/>
  <c r="F44" i="13"/>
  <c r="E44" i="13"/>
  <c r="D44" i="13"/>
  <c r="C44" i="13"/>
  <c r="B44" i="13"/>
  <c r="A44" i="13"/>
  <c r="G43" i="13"/>
  <c r="F43" i="13"/>
  <c r="E43" i="13"/>
  <c r="D43" i="13"/>
  <c r="C43" i="13"/>
  <c r="B43" i="13"/>
  <c r="A43" i="13"/>
  <c r="G42" i="13"/>
  <c r="F42" i="13"/>
  <c r="E42" i="13"/>
  <c r="D42" i="13"/>
  <c r="C42" i="13"/>
  <c r="B42" i="13"/>
  <c r="A42" i="13"/>
  <c r="H42" i="13" s="1"/>
  <c r="G41" i="13"/>
  <c r="F41" i="13"/>
  <c r="E41" i="13"/>
  <c r="D41" i="13"/>
  <c r="C41" i="13"/>
  <c r="B41" i="13"/>
  <c r="A41" i="13"/>
  <c r="G40" i="13"/>
  <c r="F40" i="13"/>
  <c r="E40" i="13"/>
  <c r="D40" i="13"/>
  <c r="C40" i="13"/>
  <c r="B40" i="13"/>
  <c r="A40" i="13"/>
  <c r="G39" i="13"/>
  <c r="F39" i="13"/>
  <c r="E39" i="13"/>
  <c r="D39" i="13"/>
  <c r="C39" i="13"/>
  <c r="B39" i="13"/>
  <c r="A39" i="13"/>
  <c r="G38" i="13"/>
  <c r="F38" i="13"/>
  <c r="E38" i="13"/>
  <c r="D38" i="13"/>
  <c r="C38" i="13"/>
  <c r="B38" i="13"/>
  <c r="A38" i="13"/>
  <c r="H38" i="13" s="1"/>
  <c r="G37" i="13"/>
  <c r="F37" i="13"/>
  <c r="E37" i="13"/>
  <c r="D37" i="13"/>
  <c r="C37" i="13"/>
  <c r="B37" i="13"/>
  <c r="A37" i="13"/>
  <c r="H37" i="13" s="1"/>
  <c r="G36" i="13"/>
  <c r="F36" i="13"/>
  <c r="E36" i="13"/>
  <c r="D36" i="13"/>
  <c r="C36" i="13"/>
  <c r="B36" i="13"/>
  <c r="A36" i="13"/>
  <c r="G35" i="13"/>
  <c r="F35" i="13"/>
  <c r="E35" i="13"/>
  <c r="D35" i="13"/>
  <c r="C35" i="13"/>
  <c r="B35" i="13"/>
  <c r="A35" i="13"/>
  <c r="G34" i="13"/>
  <c r="F34" i="13"/>
  <c r="E34" i="13"/>
  <c r="D34" i="13"/>
  <c r="C34" i="13"/>
  <c r="B34" i="13"/>
  <c r="A34" i="13"/>
  <c r="H34" i="13" s="1"/>
  <c r="G33" i="13"/>
  <c r="F33" i="13"/>
  <c r="E33" i="13"/>
  <c r="D33" i="13"/>
  <c r="C33" i="13"/>
  <c r="B33" i="13"/>
  <c r="A33" i="13"/>
  <c r="H33" i="13" s="1"/>
  <c r="G32" i="13"/>
  <c r="F32" i="13"/>
  <c r="E32" i="13"/>
  <c r="D32" i="13"/>
  <c r="C32" i="13"/>
  <c r="B32" i="13"/>
  <c r="A32" i="13"/>
  <c r="H32" i="13" s="1"/>
  <c r="G31" i="13"/>
  <c r="F31" i="13"/>
  <c r="E31" i="13"/>
  <c r="D31" i="13"/>
  <c r="C31" i="13"/>
  <c r="B31" i="13"/>
  <c r="A31" i="13"/>
  <c r="H31" i="13" s="1"/>
  <c r="G30" i="13"/>
  <c r="F30" i="13"/>
  <c r="E30" i="13"/>
  <c r="D30" i="13"/>
  <c r="C30" i="13"/>
  <c r="B30" i="13"/>
  <c r="A30" i="13"/>
  <c r="H30" i="13" s="1"/>
  <c r="G29" i="13"/>
  <c r="F29" i="13"/>
  <c r="E29" i="13"/>
  <c r="D29" i="13"/>
  <c r="C29" i="13"/>
  <c r="B29" i="13"/>
  <c r="A29" i="13"/>
  <c r="H29" i="13" s="1"/>
  <c r="G28" i="13"/>
  <c r="F28" i="13"/>
  <c r="E28" i="13"/>
  <c r="D28" i="13"/>
  <c r="C28" i="13"/>
  <c r="B28" i="13"/>
  <c r="A28" i="13"/>
  <c r="G27" i="13"/>
  <c r="F27" i="13"/>
  <c r="E27" i="13"/>
  <c r="D27" i="13"/>
  <c r="C27" i="13"/>
  <c r="B27" i="13"/>
  <c r="A27" i="13"/>
  <c r="G26" i="13"/>
  <c r="F26" i="13"/>
  <c r="E26" i="13"/>
  <c r="D26" i="13"/>
  <c r="C26" i="13"/>
  <c r="B26" i="13"/>
  <c r="A26" i="13"/>
  <c r="G25" i="13"/>
  <c r="F25" i="13"/>
  <c r="E25" i="13"/>
  <c r="D25" i="13"/>
  <c r="C25" i="13"/>
  <c r="B25" i="13"/>
  <c r="A25" i="13"/>
  <c r="H25" i="13" s="1"/>
  <c r="G24" i="13"/>
  <c r="F24" i="13"/>
  <c r="E24" i="13"/>
  <c r="D24" i="13"/>
  <c r="C24" i="13"/>
  <c r="B24" i="13"/>
  <c r="A24" i="13"/>
  <c r="H24" i="13" s="1"/>
  <c r="G23" i="13"/>
  <c r="F23" i="13"/>
  <c r="E23" i="13"/>
  <c r="D23" i="13"/>
  <c r="C23" i="13"/>
  <c r="B23" i="13"/>
  <c r="A23" i="13"/>
  <c r="G22" i="13"/>
  <c r="F22" i="13"/>
  <c r="E22" i="13"/>
  <c r="D22" i="13"/>
  <c r="C22" i="13"/>
  <c r="B22" i="13"/>
  <c r="A22" i="13"/>
  <c r="H22" i="13" s="1"/>
  <c r="G21" i="13"/>
  <c r="F21" i="13"/>
  <c r="E21" i="13"/>
  <c r="D21" i="13"/>
  <c r="C21" i="13"/>
  <c r="B21" i="13"/>
  <c r="A21" i="13"/>
  <c r="H21" i="13" s="1"/>
  <c r="G20" i="13"/>
  <c r="F20" i="13"/>
  <c r="E20" i="13"/>
  <c r="D20" i="13"/>
  <c r="C20" i="13"/>
  <c r="B20" i="13"/>
  <c r="A20" i="13"/>
  <c r="G19" i="13"/>
  <c r="F19" i="13"/>
  <c r="E19" i="13"/>
  <c r="D19" i="13"/>
  <c r="C19" i="13"/>
  <c r="B19" i="13"/>
  <c r="A19" i="13"/>
  <c r="G18" i="13"/>
  <c r="F18" i="13"/>
  <c r="E18" i="13"/>
  <c r="D18" i="13"/>
  <c r="C18" i="13"/>
  <c r="B18" i="13"/>
  <c r="A18" i="13"/>
  <c r="H18" i="13" s="1"/>
  <c r="G17" i="13"/>
  <c r="F17" i="13"/>
  <c r="E17" i="13"/>
  <c r="D17" i="13"/>
  <c r="C17" i="13"/>
  <c r="B17" i="13"/>
  <c r="A17" i="13"/>
  <c r="H17" i="13" s="1"/>
  <c r="G16" i="13"/>
  <c r="F16" i="13"/>
  <c r="E16" i="13"/>
  <c r="D16" i="13"/>
  <c r="C16" i="13"/>
  <c r="B16" i="13"/>
  <c r="A16" i="13"/>
  <c r="H16" i="13" s="1"/>
  <c r="G15" i="13"/>
  <c r="F15" i="13"/>
  <c r="E15" i="13"/>
  <c r="D15" i="13"/>
  <c r="C15" i="13"/>
  <c r="B15" i="13"/>
  <c r="A15" i="13"/>
  <c r="G14" i="13"/>
  <c r="F14" i="13"/>
  <c r="E14" i="13"/>
  <c r="D14" i="13"/>
  <c r="C14" i="13"/>
  <c r="B14" i="13"/>
  <c r="A14" i="13"/>
  <c r="H14" i="13" s="1"/>
  <c r="G13" i="13"/>
  <c r="F13" i="13"/>
  <c r="E13" i="13"/>
  <c r="D13" i="13"/>
  <c r="C13" i="13"/>
  <c r="B13" i="13"/>
  <c r="A13" i="13"/>
  <c r="H13" i="13" s="1"/>
  <c r="G12" i="13"/>
  <c r="F12" i="13"/>
  <c r="E12" i="13"/>
  <c r="D12" i="13"/>
  <c r="C12" i="13"/>
  <c r="B12" i="13"/>
  <c r="A12" i="13"/>
  <c r="G11" i="13"/>
  <c r="F11" i="13"/>
  <c r="E11" i="13"/>
  <c r="D11" i="13"/>
  <c r="C11" i="13"/>
  <c r="B11" i="13"/>
  <c r="A11" i="13"/>
  <c r="G10" i="13"/>
  <c r="F10" i="13"/>
  <c r="E10" i="13"/>
  <c r="D10" i="13"/>
  <c r="C10" i="13"/>
  <c r="B10" i="13"/>
  <c r="A10" i="13"/>
  <c r="H11" i="13" s="1"/>
  <c r="G9" i="13"/>
  <c r="F9" i="13"/>
  <c r="E9" i="13"/>
  <c r="D9" i="13"/>
  <c r="C9" i="13"/>
  <c r="B9" i="13"/>
  <c r="A9" i="13"/>
  <c r="G8" i="13"/>
  <c r="F8" i="13"/>
  <c r="E8" i="13"/>
  <c r="D8" i="13"/>
  <c r="C8" i="13"/>
  <c r="B8" i="13"/>
  <c r="A8" i="13"/>
  <c r="H8" i="13" s="1"/>
  <c r="G7" i="13"/>
  <c r="F7" i="13"/>
  <c r="E7" i="13"/>
  <c r="D7" i="13"/>
  <c r="C7" i="13"/>
  <c r="B7" i="13"/>
  <c r="A7" i="13"/>
  <c r="G6" i="13"/>
  <c r="F6" i="13"/>
  <c r="E6" i="13"/>
  <c r="D6" i="13"/>
  <c r="C6" i="13"/>
  <c r="B6" i="13"/>
  <c r="A6" i="13"/>
  <c r="H6" i="13" s="1"/>
  <c r="G5" i="13"/>
  <c r="F5" i="13"/>
  <c r="E5" i="13"/>
  <c r="D5" i="13"/>
  <c r="C5" i="13"/>
  <c r="B5" i="13"/>
  <c r="A5" i="13"/>
  <c r="H5" i="13" s="1"/>
  <c r="G4" i="13"/>
  <c r="F4" i="13"/>
  <c r="E4" i="13"/>
  <c r="D4" i="13"/>
  <c r="C4" i="13"/>
  <c r="B4" i="13"/>
  <c r="A4" i="13"/>
  <c r="H4" i="13" s="1"/>
  <c r="G3" i="13"/>
  <c r="F3" i="13"/>
  <c r="E3" i="13"/>
  <c r="D3" i="13"/>
  <c r="C3" i="13"/>
  <c r="B3" i="13"/>
  <c r="A3" i="13"/>
  <c r="G2" i="13"/>
  <c r="F2" i="13"/>
  <c r="E2" i="13"/>
  <c r="D2" i="13"/>
  <c r="C2" i="13"/>
  <c r="B2" i="13"/>
  <c r="A2" i="13"/>
  <c r="C5" i="12"/>
  <c r="C6" i="12"/>
  <c r="C7" i="12"/>
  <c r="C8" i="12"/>
  <c r="C9" i="12"/>
  <c r="C10" i="12"/>
  <c r="C11" i="12"/>
  <c r="C12" i="12"/>
  <c r="C13" i="12"/>
  <c r="C14" i="12"/>
  <c r="C15" i="12"/>
  <c r="C16" i="12"/>
  <c r="C17" i="12"/>
  <c r="C18" i="12"/>
  <c r="C19" i="12"/>
  <c r="C20" i="12"/>
  <c r="C21" i="12"/>
  <c r="C22" i="12"/>
  <c r="C23" i="12"/>
  <c r="C24" i="12"/>
  <c r="C25" i="12"/>
  <c r="C26" i="12"/>
  <c r="C4" i="12"/>
  <c r="H4" i="2"/>
  <c r="F4" i="2"/>
  <c r="H23" i="11"/>
  <c r="I23" i="11"/>
  <c r="J23" i="11"/>
  <c r="H24" i="11"/>
  <c r="I24" i="11"/>
  <c r="J24" i="11"/>
  <c r="H25" i="11"/>
  <c r="I25" i="11"/>
  <c r="J25" i="11"/>
  <c r="H26" i="11"/>
  <c r="I26" i="11"/>
  <c r="J26" i="11"/>
  <c r="I22" i="11"/>
  <c r="J22" i="11"/>
  <c r="H22" i="11"/>
  <c r="H54" i="13" l="1"/>
  <c r="H55" i="13"/>
  <c r="H94" i="13"/>
  <c r="H95" i="13"/>
  <c r="H126" i="13"/>
  <c r="H127" i="13"/>
  <c r="H166" i="13"/>
  <c r="H167" i="13"/>
  <c r="H246" i="13"/>
  <c r="H247" i="13"/>
  <c r="H310" i="13"/>
  <c r="H311" i="13"/>
  <c r="H343" i="13"/>
  <c r="H255" i="13"/>
  <c r="H214" i="13"/>
  <c r="H215" i="13"/>
  <c r="H294" i="13"/>
  <c r="H295" i="13"/>
  <c r="H350" i="13"/>
  <c r="H351" i="13"/>
  <c r="H150" i="13"/>
  <c r="H151" i="13"/>
  <c r="H334" i="13"/>
  <c r="H335" i="13"/>
  <c r="H366" i="13"/>
  <c r="H367" i="13"/>
  <c r="H239" i="13"/>
  <c r="H175" i="13"/>
  <c r="H223" i="13"/>
  <c r="H26" i="13"/>
  <c r="H27" i="13"/>
  <c r="H74" i="13"/>
  <c r="H75" i="13"/>
  <c r="H98" i="13"/>
  <c r="H99" i="13"/>
  <c r="H146" i="13"/>
  <c r="H147" i="13"/>
  <c r="H194" i="13"/>
  <c r="H195" i="13"/>
  <c r="H218" i="13"/>
  <c r="H155" i="13"/>
  <c r="H139" i="13"/>
  <c r="H19" i="13"/>
  <c r="H369" i="13"/>
  <c r="H370" i="13"/>
  <c r="H322" i="13"/>
  <c r="H123" i="13"/>
  <c r="H91" i="13"/>
  <c r="H35" i="13"/>
  <c r="H306" i="13"/>
  <c r="H275" i="13"/>
  <c r="H7" i="13"/>
  <c r="H15" i="13"/>
  <c r="H23" i="13"/>
  <c r="H39" i="13"/>
  <c r="H63" i="13"/>
  <c r="H71" i="13"/>
  <c r="H79" i="13"/>
  <c r="H87" i="13"/>
  <c r="H111" i="13"/>
  <c r="H135" i="13"/>
  <c r="H143" i="13"/>
  <c r="H159" i="13"/>
  <c r="H183" i="13"/>
  <c r="H199" i="13"/>
  <c r="H207" i="13"/>
  <c r="H231" i="13"/>
  <c r="H263" i="13"/>
  <c r="H271" i="13"/>
  <c r="H279" i="13"/>
  <c r="H327" i="13"/>
  <c r="H359" i="13"/>
  <c r="H362" i="13"/>
  <c r="H346" i="13"/>
  <c r="H259" i="13"/>
  <c r="H227" i="13"/>
  <c r="H67" i="13"/>
  <c r="H10" i="13"/>
  <c r="H43" i="13"/>
  <c r="H51" i="13"/>
  <c r="H107" i="13"/>
  <c r="H115" i="13"/>
  <c r="H171" i="13"/>
  <c r="H179" i="13"/>
  <c r="H235" i="13"/>
  <c r="H243" i="13"/>
  <c r="H299" i="13"/>
  <c r="H307" i="13"/>
  <c r="H290" i="13"/>
  <c r="H298" i="13"/>
  <c r="J27" i="11"/>
  <c r="I27" i="11"/>
  <c r="H27" i="11"/>
  <c r="AG373" i="10" l="1"/>
  <c r="AF373" i="10"/>
  <c r="AE373" i="10"/>
  <c r="AD373" i="10"/>
  <c r="AC373" i="10"/>
  <c r="AB373" i="10"/>
  <c r="AA373" i="10"/>
  <c r="AG372" i="10"/>
  <c r="AF372" i="10"/>
  <c r="AE372" i="10"/>
  <c r="AD372" i="10"/>
  <c r="AC372" i="10"/>
  <c r="AB372" i="10"/>
  <c r="AA372" i="10"/>
  <c r="AG371" i="10"/>
  <c r="AF371" i="10"/>
  <c r="AE371" i="10"/>
  <c r="AC371" i="10"/>
  <c r="AB371" i="10"/>
  <c r="AA371" i="10"/>
  <c r="Q371" i="10"/>
  <c r="AD371" i="10" s="1"/>
  <c r="AG370" i="10"/>
  <c r="AF370" i="10"/>
  <c r="AE370" i="10"/>
  <c r="AD370" i="10"/>
  <c r="AC370" i="10"/>
  <c r="AB370" i="10"/>
  <c r="AA370" i="10"/>
  <c r="AG369" i="10"/>
  <c r="AF369" i="10"/>
  <c r="AE369" i="10"/>
  <c r="AD369" i="10"/>
  <c r="AC369" i="10"/>
  <c r="AB369" i="10"/>
  <c r="AA369" i="10"/>
  <c r="AG368" i="10"/>
  <c r="AF368" i="10"/>
  <c r="AE368" i="10"/>
  <c r="AC368" i="10"/>
  <c r="AB368" i="10"/>
  <c r="AA368" i="10"/>
  <c r="Q368" i="10"/>
  <c r="AD368" i="10" s="1"/>
  <c r="AG367" i="10"/>
  <c r="AF367" i="10"/>
  <c r="AE367" i="10"/>
  <c r="AD367" i="10"/>
  <c r="AC367" i="10"/>
  <c r="AB367" i="10"/>
  <c r="AA367" i="10"/>
  <c r="AG366" i="10"/>
  <c r="AF366" i="10"/>
  <c r="AE366" i="10"/>
  <c r="AD366" i="10"/>
  <c r="AC366" i="10"/>
  <c r="AB366" i="10"/>
  <c r="AA366" i="10"/>
  <c r="AG365" i="10"/>
  <c r="AF365" i="10"/>
  <c r="AE365" i="10"/>
  <c r="AC365" i="10"/>
  <c r="AB365" i="10"/>
  <c r="AA365" i="10"/>
  <c r="Q365" i="10"/>
  <c r="AD365" i="10" s="1"/>
  <c r="AG364" i="10"/>
  <c r="AF364" i="10"/>
  <c r="AE364" i="10"/>
  <c r="AC364" i="10"/>
  <c r="AB364" i="10"/>
  <c r="AA364" i="10"/>
  <c r="Q364" i="10"/>
  <c r="AD364" i="10" s="1"/>
  <c r="AG363" i="10"/>
  <c r="AF363" i="10"/>
  <c r="AE363" i="10"/>
  <c r="AD363" i="10"/>
  <c r="AC363" i="10"/>
  <c r="AB363" i="10"/>
  <c r="AA363" i="10"/>
  <c r="AG362" i="10"/>
  <c r="AF362" i="10"/>
  <c r="AE362" i="10"/>
  <c r="AD362" i="10"/>
  <c r="AC362" i="10"/>
  <c r="AB362" i="10"/>
  <c r="AA362" i="10"/>
  <c r="AG361" i="10"/>
  <c r="AF361" i="10"/>
  <c r="AE361" i="10"/>
  <c r="AC361" i="10"/>
  <c r="AB361" i="10"/>
  <c r="AA361" i="10"/>
  <c r="Q361" i="10"/>
  <c r="AD361" i="10" s="1"/>
  <c r="AG360" i="10"/>
  <c r="AF360" i="10"/>
  <c r="AE360" i="10"/>
  <c r="AD360" i="10"/>
  <c r="AC360" i="10"/>
  <c r="AB360" i="10"/>
  <c r="AA360" i="10"/>
  <c r="AG359" i="10"/>
  <c r="AF359" i="10"/>
  <c r="AE359" i="10"/>
  <c r="AD359" i="10"/>
  <c r="AC359" i="10"/>
  <c r="AB359" i="10"/>
  <c r="AA359" i="10"/>
  <c r="AG358" i="10"/>
  <c r="AF358" i="10"/>
  <c r="AE358" i="10"/>
  <c r="AC358" i="10"/>
  <c r="AB358" i="10"/>
  <c r="AA358" i="10"/>
  <c r="Q358" i="10"/>
  <c r="AD358" i="10" s="1"/>
  <c r="AG357" i="10"/>
  <c r="AF357" i="10"/>
  <c r="AE357" i="10"/>
  <c r="AD357" i="10"/>
  <c r="AC357" i="10"/>
  <c r="AB357" i="10"/>
  <c r="AA357" i="10"/>
  <c r="AG356" i="10"/>
  <c r="AF356" i="10"/>
  <c r="AE356" i="10"/>
  <c r="AD356" i="10"/>
  <c r="AC356" i="10"/>
  <c r="AB356" i="10"/>
  <c r="AA356" i="10"/>
  <c r="AG355" i="10"/>
  <c r="AF355" i="10"/>
  <c r="AE355" i="10"/>
  <c r="AD355" i="10"/>
  <c r="AC355" i="10"/>
  <c r="AB355" i="10"/>
  <c r="AA355" i="10"/>
  <c r="AG354" i="10"/>
  <c r="AF354" i="10"/>
  <c r="AE354" i="10"/>
  <c r="AD354" i="10"/>
  <c r="AC354" i="10"/>
  <c r="AB354" i="10"/>
  <c r="AA354" i="10"/>
  <c r="AG353" i="10"/>
  <c r="AF353" i="10"/>
  <c r="AE353" i="10"/>
  <c r="AD353" i="10"/>
  <c r="AC353" i="10"/>
  <c r="AB353" i="10"/>
  <c r="AA353" i="10"/>
  <c r="AG352" i="10"/>
  <c r="AF352" i="10"/>
  <c r="AE352" i="10"/>
  <c r="AD352" i="10"/>
  <c r="AC352" i="10"/>
  <c r="AB352" i="10"/>
  <c r="AA352" i="10"/>
  <c r="AG351" i="10"/>
  <c r="AF351" i="10"/>
  <c r="AE351" i="10"/>
  <c r="AD351" i="10"/>
  <c r="AC351" i="10"/>
  <c r="AB351" i="10"/>
  <c r="AA351" i="10"/>
  <c r="AG350" i="10"/>
  <c r="AF350" i="10"/>
  <c r="AE350" i="10"/>
  <c r="AD350" i="10"/>
  <c r="AC350" i="10"/>
  <c r="AB350" i="10"/>
  <c r="AA350" i="10"/>
  <c r="AG349" i="10"/>
  <c r="AF349" i="10"/>
  <c r="AE349" i="10"/>
  <c r="AD349" i="10"/>
  <c r="AC349" i="10"/>
  <c r="AB349" i="10"/>
  <c r="AA349" i="10"/>
  <c r="AG348" i="10"/>
  <c r="AF348" i="10"/>
  <c r="AE348" i="10"/>
  <c r="AD348" i="10"/>
  <c r="AC348" i="10"/>
  <c r="AB348" i="10"/>
  <c r="AA348" i="10"/>
  <c r="AG347" i="10"/>
  <c r="AF347" i="10"/>
  <c r="AE347" i="10"/>
  <c r="AC347" i="10"/>
  <c r="AB347" i="10"/>
  <c r="AA347" i="10"/>
  <c r="Q347" i="10"/>
  <c r="AD347" i="10" s="1"/>
  <c r="AG346" i="10"/>
  <c r="AF346" i="10"/>
  <c r="AE346" i="10"/>
  <c r="AD346" i="10"/>
  <c r="AC346" i="10"/>
  <c r="AB346" i="10"/>
  <c r="AA346" i="10"/>
  <c r="AG345" i="10"/>
  <c r="AF345" i="10"/>
  <c r="AE345" i="10"/>
  <c r="AD345" i="10"/>
  <c r="AC345" i="10"/>
  <c r="AB345" i="10"/>
  <c r="AA345" i="10"/>
  <c r="AG344" i="10"/>
  <c r="AF344" i="10"/>
  <c r="AE344" i="10"/>
  <c r="AC344" i="10"/>
  <c r="AB344" i="10"/>
  <c r="AA344" i="10"/>
  <c r="Q344" i="10"/>
  <c r="AD344" i="10" s="1"/>
  <c r="AG343" i="10"/>
  <c r="AF343" i="10"/>
  <c r="AE343" i="10"/>
  <c r="AD343" i="10"/>
  <c r="AC343" i="10"/>
  <c r="AB343" i="10"/>
  <c r="AA343" i="10"/>
  <c r="AG342" i="10"/>
  <c r="AF342" i="10"/>
  <c r="AE342" i="10"/>
  <c r="AD342" i="10"/>
  <c r="AC342" i="10"/>
  <c r="AB342" i="10"/>
  <c r="AA342" i="10"/>
  <c r="AG341" i="10"/>
  <c r="AF341" i="10"/>
  <c r="AE341" i="10"/>
  <c r="AC341" i="10"/>
  <c r="AB341" i="10"/>
  <c r="AA341" i="10"/>
  <c r="Q341" i="10"/>
  <c r="AD341" i="10" s="1"/>
  <c r="AG340" i="10"/>
  <c r="AF340" i="10"/>
  <c r="AE340" i="10"/>
  <c r="AD340" i="10"/>
  <c r="AC340" i="10"/>
  <c r="AB340" i="10"/>
  <c r="AA340" i="10"/>
  <c r="AG339" i="10"/>
  <c r="AF339" i="10"/>
  <c r="AE339" i="10"/>
  <c r="AD339" i="10"/>
  <c r="AC339" i="10"/>
  <c r="AB339" i="10"/>
  <c r="AA339" i="10"/>
  <c r="AG338" i="10"/>
  <c r="AF338" i="10"/>
  <c r="AE338" i="10"/>
  <c r="AC338" i="10"/>
  <c r="AB338" i="10"/>
  <c r="AA338" i="10"/>
  <c r="Q338" i="10"/>
  <c r="AD338" i="10" s="1"/>
  <c r="AG337" i="10"/>
  <c r="AF337" i="10"/>
  <c r="AE337" i="10"/>
  <c r="AC337" i="10"/>
  <c r="AB337" i="10"/>
  <c r="AA337" i="10"/>
  <c r="Q337" i="10"/>
  <c r="AD337" i="10" s="1"/>
  <c r="AG336" i="10"/>
  <c r="AF336" i="10"/>
  <c r="AE336" i="10"/>
  <c r="AD336" i="10"/>
  <c r="AC336" i="10"/>
  <c r="AB336" i="10"/>
  <c r="AA336" i="10"/>
  <c r="AG335" i="10"/>
  <c r="AF335" i="10"/>
  <c r="AE335" i="10"/>
  <c r="AD335" i="10"/>
  <c r="AC335" i="10"/>
  <c r="AB335" i="10"/>
  <c r="AA335" i="10"/>
  <c r="AG334" i="10"/>
  <c r="AF334" i="10"/>
  <c r="AE334" i="10"/>
  <c r="AC334" i="10"/>
  <c r="AB334" i="10"/>
  <c r="AA334" i="10"/>
  <c r="Q334" i="10"/>
  <c r="AD334" i="10" s="1"/>
  <c r="AG333" i="10"/>
  <c r="AF333" i="10"/>
  <c r="AE333" i="10"/>
  <c r="AD333" i="10"/>
  <c r="AC333" i="10"/>
  <c r="AB333" i="10"/>
  <c r="AA333" i="10"/>
  <c r="AG332" i="10"/>
  <c r="AF332" i="10"/>
  <c r="AE332" i="10"/>
  <c r="AD332" i="10"/>
  <c r="AC332" i="10"/>
  <c r="AB332" i="10"/>
  <c r="AA332" i="10"/>
  <c r="AG331" i="10"/>
  <c r="AF331" i="10"/>
  <c r="AE331" i="10"/>
  <c r="AC331" i="10"/>
  <c r="AB331" i="10"/>
  <c r="AA331" i="10"/>
  <c r="Q331" i="10"/>
  <c r="AD331" i="10" s="1"/>
  <c r="AG330" i="10"/>
  <c r="AF330" i="10"/>
  <c r="AE330" i="10"/>
  <c r="AD330" i="10"/>
  <c r="AC330" i="10"/>
  <c r="AB330" i="10"/>
  <c r="AA330" i="10"/>
  <c r="AG329" i="10"/>
  <c r="AF329" i="10"/>
  <c r="AE329" i="10"/>
  <c r="AD329" i="10"/>
  <c r="AC329" i="10"/>
  <c r="AB329" i="10"/>
  <c r="AA329" i="10"/>
  <c r="AG328" i="10"/>
  <c r="AF328" i="10"/>
  <c r="AE328" i="10"/>
  <c r="AC328" i="10"/>
  <c r="AB328" i="10"/>
  <c r="AA328" i="10"/>
  <c r="Q328" i="10"/>
  <c r="AD328" i="10" s="1"/>
  <c r="AG327" i="10"/>
  <c r="AF327" i="10"/>
  <c r="AE327" i="10"/>
  <c r="AD327" i="10"/>
  <c r="AC327" i="10"/>
  <c r="AB327" i="10"/>
  <c r="AA327" i="10"/>
  <c r="AG326" i="10"/>
  <c r="AF326" i="10"/>
  <c r="AE326" i="10"/>
  <c r="AD326" i="10"/>
  <c r="AC326" i="10"/>
  <c r="AB326" i="10"/>
  <c r="AA326" i="10"/>
  <c r="AG325" i="10"/>
  <c r="AF325" i="10"/>
  <c r="AE325" i="10"/>
  <c r="AD325" i="10"/>
  <c r="AC325" i="10"/>
  <c r="AB325" i="10"/>
  <c r="AA325" i="10"/>
  <c r="AG324" i="10"/>
  <c r="AF324" i="10"/>
  <c r="AE324" i="10"/>
  <c r="AD324" i="10"/>
  <c r="AC324" i="10"/>
  <c r="AB324" i="10"/>
  <c r="AA324" i="10"/>
  <c r="AG323" i="10"/>
  <c r="AF323" i="10"/>
  <c r="AE323" i="10"/>
  <c r="AD323" i="10"/>
  <c r="AC323" i="10"/>
  <c r="AB323" i="10"/>
  <c r="AA323" i="10"/>
  <c r="AG322" i="10"/>
  <c r="AF322" i="10"/>
  <c r="AE322" i="10"/>
  <c r="AD322" i="10"/>
  <c r="AC322" i="10"/>
  <c r="AB322" i="10"/>
  <c r="AA322" i="10"/>
  <c r="AG321" i="10"/>
  <c r="AF321" i="10"/>
  <c r="AE321" i="10"/>
  <c r="AD321" i="10"/>
  <c r="AC321" i="10"/>
  <c r="AB321" i="10"/>
  <c r="AA321" i="10"/>
  <c r="AG320" i="10"/>
  <c r="AF320" i="10"/>
  <c r="AE320" i="10"/>
  <c r="AD320" i="10"/>
  <c r="AC320" i="10"/>
  <c r="AB320" i="10"/>
  <c r="AA320" i="10"/>
  <c r="AG319" i="10"/>
  <c r="AF319" i="10"/>
  <c r="AE319" i="10"/>
  <c r="AD319" i="10"/>
  <c r="AC319" i="10"/>
  <c r="AB319" i="10"/>
  <c r="AA319" i="10"/>
  <c r="AG318" i="10"/>
  <c r="AF318" i="10"/>
  <c r="AE318" i="10"/>
  <c r="AD318" i="10"/>
  <c r="AC318" i="10"/>
  <c r="AB318" i="10"/>
  <c r="AA318" i="10"/>
  <c r="AG317" i="10"/>
  <c r="AF317" i="10"/>
  <c r="AE317" i="10"/>
  <c r="AC317" i="10"/>
  <c r="AB317" i="10"/>
  <c r="AA317" i="10"/>
  <c r="Q317" i="10"/>
  <c r="AD317" i="10" s="1"/>
  <c r="AG316" i="10"/>
  <c r="AF316" i="10"/>
  <c r="AE316" i="10"/>
  <c r="AD316" i="10"/>
  <c r="AC316" i="10"/>
  <c r="AB316" i="10"/>
  <c r="AA316" i="10"/>
  <c r="AG315" i="10"/>
  <c r="AF315" i="10"/>
  <c r="AE315" i="10"/>
  <c r="AD315" i="10"/>
  <c r="AC315" i="10"/>
  <c r="AB315" i="10"/>
  <c r="AA315" i="10"/>
  <c r="AG314" i="10"/>
  <c r="AF314" i="10"/>
  <c r="AE314" i="10"/>
  <c r="AC314" i="10"/>
  <c r="AB314" i="10"/>
  <c r="AA314" i="10"/>
  <c r="Q314" i="10"/>
  <c r="AD314" i="10" s="1"/>
  <c r="AG313" i="10"/>
  <c r="AF313" i="10"/>
  <c r="AE313" i="10"/>
  <c r="AD313" i="10"/>
  <c r="AC313" i="10"/>
  <c r="AB313" i="10"/>
  <c r="AA313" i="10"/>
  <c r="AG312" i="10"/>
  <c r="AF312" i="10"/>
  <c r="AE312" i="10"/>
  <c r="AD312" i="10"/>
  <c r="AC312" i="10"/>
  <c r="AB312" i="10"/>
  <c r="AA312" i="10"/>
  <c r="AG311" i="10"/>
  <c r="AF311" i="10"/>
  <c r="AE311" i="10"/>
  <c r="AC311" i="10"/>
  <c r="AB311" i="10"/>
  <c r="AA311" i="10"/>
  <c r="Q311" i="10"/>
  <c r="AD311" i="10" s="1"/>
  <c r="AG310" i="10"/>
  <c r="AF310" i="10"/>
  <c r="AE310" i="10"/>
  <c r="AD310" i="10"/>
  <c r="AC310" i="10"/>
  <c r="AB310" i="10"/>
  <c r="AA310" i="10"/>
  <c r="AG309" i="10"/>
  <c r="AF309" i="10"/>
  <c r="AE309" i="10"/>
  <c r="AD309" i="10"/>
  <c r="AC309" i="10"/>
  <c r="AB309" i="10"/>
  <c r="AA309" i="10"/>
  <c r="AG308" i="10"/>
  <c r="AF308" i="10"/>
  <c r="AE308" i="10"/>
  <c r="AC308" i="10"/>
  <c r="AB308" i="10"/>
  <c r="AA308" i="10"/>
  <c r="Q308" i="10"/>
  <c r="AD308" i="10" s="1"/>
  <c r="AG307" i="10"/>
  <c r="AF307" i="10"/>
  <c r="AE307" i="10"/>
  <c r="AC307" i="10"/>
  <c r="AB307" i="10"/>
  <c r="AA307" i="10"/>
  <c r="Q307" i="10"/>
  <c r="AD307" i="10" s="1"/>
  <c r="AG306" i="10"/>
  <c r="AF306" i="10"/>
  <c r="AE306" i="10"/>
  <c r="AD306" i="10"/>
  <c r="AC306" i="10"/>
  <c r="AB306" i="10"/>
  <c r="AA306" i="10"/>
  <c r="AG305" i="10"/>
  <c r="AF305" i="10"/>
  <c r="AE305" i="10"/>
  <c r="AD305" i="10"/>
  <c r="AC305" i="10"/>
  <c r="AB305" i="10"/>
  <c r="AA305" i="10"/>
  <c r="AG304" i="10"/>
  <c r="AF304" i="10"/>
  <c r="AE304" i="10"/>
  <c r="AC304" i="10"/>
  <c r="AB304" i="10"/>
  <c r="AA304" i="10"/>
  <c r="Q304" i="10"/>
  <c r="AD304" i="10" s="1"/>
  <c r="AG303" i="10"/>
  <c r="AF303" i="10"/>
  <c r="AE303" i="10"/>
  <c r="AD303" i="10"/>
  <c r="AC303" i="10"/>
  <c r="AB303" i="10"/>
  <c r="AA303" i="10"/>
  <c r="AG302" i="10"/>
  <c r="AF302" i="10"/>
  <c r="AE302" i="10"/>
  <c r="AD302" i="10"/>
  <c r="AC302" i="10"/>
  <c r="AB302" i="10"/>
  <c r="AA302" i="10"/>
  <c r="AG301" i="10"/>
  <c r="AF301" i="10"/>
  <c r="AE301" i="10"/>
  <c r="AC301" i="10"/>
  <c r="AB301" i="10"/>
  <c r="AA301" i="10"/>
  <c r="Q301" i="10"/>
  <c r="AD301" i="10" s="1"/>
  <c r="AG300" i="10"/>
  <c r="AF300" i="10"/>
  <c r="AE300" i="10"/>
  <c r="AD300" i="10"/>
  <c r="AC300" i="10"/>
  <c r="AB300" i="10"/>
  <c r="AA300" i="10"/>
  <c r="AG299" i="10"/>
  <c r="AF299" i="10"/>
  <c r="AE299" i="10"/>
  <c r="AD299" i="10"/>
  <c r="AC299" i="10"/>
  <c r="AB299" i="10"/>
  <c r="AA299" i="10"/>
  <c r="AG298" i="10"/>
  <c r="AF298" i="10"/>
  <c r="AE298" i="10"/>
  <c r="AD298" i="10"/>
  <c r="AC298" i="10"/>
  <c r="AB298" i="10"/>
  <c r="AA298" i="10"/>
  <c r="AG297" i="10"/>
  <c r="AF297" i="10"/>
  <c r="AE297" i="10"/>
  <c r="AD297" i="10"/>
  <c r="AC297" i="10"/>
  <c r="AB297" i="10"/>
  <c r="AA297" i="10"/>
  <c r="AG296" i="10"/>
  <c r="AF296" i="10"/>
  <c r="AE296" i="10"/>
  <c r="AC296" i="10"/>
  <c r="AB296" i="10"/>
  <c r="AA296" i="10"/>
  <c r="Q296" i="10"/>
  <c r="AD296" i="10" s="1"/>
  <c r="AG295" i="10"/>
  <c r="AF295" i="10"/>
  <c r="AE295" i="10"/>
  <c r="AD295" i="10"/>
  <c r="AC295" i="10"/>
  <c r="AB295" i="10"/>
  <c r="AA295" i="10"/>
  <c r="AG294" i="10"/>
  <c r="AF294" i="10"/>
  <c r="AE294" i="10"/>
  <c r="AD294" i="10"/>
  <c r="AC294" i="10"/>
  <c r="AB294" i="10"/>
  <c r="AA294" i="10"/>
  <c r="AG293" i="10"/>
  <c r="AF293" i="10"/>
  <c r="AE293" i="10"/>
  <c r="AC293" i="10"/>
  <c r="AB293" i="10"/>
  <c r="AA293" i="10"/>
  <c r="Q293" i="10"/>
  <c r="AD293" i="10" s="1"/>
  <c r="AG292" i="10"/>
  <c r="AF292" i="10"/>
  <c r="AE292" i="10"/>
  <c r="AD292" i="10"/>
  <c r="AC292" i="10"/>
  <c r="AB292" i="10"/>
  <c r="AA292" i="10"/>
  <c r="AG291" i="10"/>
  <c r="AF291" i="10"/>
  <c r="AE291" i="10"/>
  <c r="AD291" i="10"/>
  <c r="AC291" i="10"/>
  <c r="AB291" i="10"/>
  <c r="AA291" i="10"/>
  <c r="AG290" i="10"/>
  <c r="AF290" i="10"/>
  <c r="AE290" i="10"/>
  <c r="AC290" i="10"/>
  <c r="AB290" i="10"/>
  <c r="AA290" i="10"/>
  <c r="Q290" i="10"/>
  <c r="AD290" i="10" s="1"/>
  <c r="AG289" i="10"/>
  <c r="AF289" i="10"/>
  <c r="AE289" i="10"/>
  <c r="AD289" i="10"/>
  <c r="AC289" i="10"/>
  <c r="AB289" i="10"/>
  <c r="AA289" i="10"/>
  <c r="AG288" i="10"/>
  <c r="AF288" i="10"/>
  <c r="AE288" i="10"/>
  <c r="AD288" i="10"/>
  <c r="AC288" i="10"/>
  <c r="AB288" i="10"/>
  <c r="AA288" i="10"/>
  <c r="AG287" i="10"/>
  <c r="AF287" i="10"/>
  <c r="AE287" i="10"/>
  <c r="AC287" i="10"/>
  <c r="AB287" i="10"/>
  <c r="AA287" i="10"/>
  <c r="Q287" i="10"/>
  <c r="AD287" i="10" s="1"/>
  <c r="AG286" i="10"/>
  <c r="AF286" i="10"/>
  <c r="AE286" i="10"/>
  <c r="AD286" i="10"/>
  <c r="AC286" i="10"/>
  <c r="AB286" i="10"/>
  <c r="AA286" i="10"/>
  <c r="AG285" i="10"/>
  <c r="AF285" i="10"/>
  <c r="AE285" i="10"/>
  <c r="AD285" i="10"/>
  <c r="AC285" i="10"/>
  <c r="AB285" i="10"/>
  <c r="AA285" i="10"/>
  <c r="AG284" i="10"/>
  <c r="AF284" i="10"/>
  <c r="AE284" i="10"/>
  <c r="AC284" i="10"/>
  <c r="AB284" i="10"/>
  <c r="AA284" i="10"/>
  <c r="Q284" i="10"/>
  <c r="AD284" i="10" s="1"/>
  <c r="AG283" i="10"/>
  <c r="AF283" i="10"/>
  <c r="AE283" i="10"/>
  <c r="AD283" i="10"/>
  <c r="AC283" i="10"/>
  <c r="AB283" i="10"/>
  <c r="AA283" i="10"/>
  <c r="AG282" i="10"/>
  <c r="AF282" i="10"/>
  <c r="AE282" i="10"/>
  <c r="AD282" i="10"/>
  <c r="AC282" i="10"/>
  <c r="AB282" i="10"/>
  <c r="AA282" i="10"/>
  <c r="AG281" i="10"/>
  <c r="AF281" i="10"/>
  <c r="AE281" i="10"/>
  <c r="AC281" i="10"/>
  <c r="AB281" i="10"/>
  <c r="AA281" i="10"/>
  <c r="Q281" i="10"/>
  <c r="AD281" i="10" s="1"/>
  <c r="AG280" i="10"/>
  <c r="AF280" i="10"/>
  <c r="AE280" i="10"/>
  <c r="AD280" i="10"/>
  <c r="AC280" i="10"/>
  <c r="AB280" i="10"/>
  <c r="AA280" i="10"/>
  <c r="AG279" i="10"/>
  <c r="AF279" i="10"/>
  <c r="AE279" i="10"/>
  <c r="AD279" i="10"/>
  <c r="AC279" i="10"/>
  <c r="AB279" i="10"/>
  <c r="AA279" i="10"/>
  <c r="AG278" i="10"/>
  <c r="AF278" i="10"/>
  <c r="AE278" i="10"/>
  <c r="AC278" i="10"/>
  <c r="AB278" i="10"/>
  <c r="AA278" i="10"/>
  <c r="Q278" i="10"/>
  <c r="AD278" i="10" s="1"/>
  <c r="AG277" i="10"/>
  <c r="AF277" i="10"/>
  <c r="AE277" i="10"/>
  <c r="AD277" i="10"/>
  <c r="AC277" i="10"/>
  <c r="AB277" i="10"/>
  <c r="AA277" i="10"/>
  <c r="AG276" i="10"/>
  <c r="AF276" i="10"/>
  <c r="AE276" i="10"/>
  <c r="AD276" i="10"/>
  <c r="AC276" i="10"/>
  <c r="AB276" i="10"/>
  <c r="AA276" i="10"/>
  <c r="AG275" i="10"/>
  <c r="AF275" i="10"/>
  <c r="AE275" i="10"/>
  <c r="AC275" i="10"/>
  <c r="AB275" i="10"/>
  <c r="AA275" i="10"/>
  <c r="Q275" i="10"/>
  <c r="AD275" i="10" s="1"/>
  <c r="AG274" i="10"/>
  <c r="AF274" i="10"/>
  <c r="AE274" i="10"/>
  <c r="AC274" i="10"/>
  <c r="AB274" i="10"/>
  <c r="AA274" i="10"/>
  <c r="Q274" i="10"/>
  <c r="AD274" i="10" s="1"/>
  <c r="AG273" i="10"/>
  <c r="AF273" i="10"/>
  <c r="AE273" i="10"/>
  <c r="AD273" i="10"/>
  <c r="AC273" i="10"/>
  <c r="AB273" i="10"/>
  <c r="AA273" i="10"/>
  <c r="AG272" i="10"/>
  <c r="AF272" i="10"/>
  <c r="AE272" i="10"/>
  <c r="AD272" i="10"/>
  <c r="AC272" i="10"/>
  <c r="AB272" i="10"/>
  <c r="AA272" i="10"/>
  <c r="AG271" i="10"/>
  <c r="AF271" i="10"/>
  <c r="AE271" i="10"/>
  <c r="AC271" i="10"/>
  <c r="AB271" i="10"/>
  <c r="AA271" i="10"/>
  <c r="Q271" i="10"/>
  <c r="AD271" i="10" s="1"/>
  <c r="AG270" i="10"/>
  <c r="AF270" i="10"/>
  <c r="AE270" i="10"/>
  <c r="AD270" i="10"/>
  <c r="AC270" i="10"/>
  <c r="AB270" i="10"/>
  <c r="AA270" i="10"/>
  <c r="AG269" i="10"/>
  <c r="AF269" i="10"/>
  <c r="AE269" i="10"/>
  <c r="AD269" i="10"/>
  <c r="AC269" i="10"/>
  <c r="AB269" i="10"/>
  <c r="AA269" i="10"/>
  <c r="AG268" i="10"/>
  <c r="AF268" i="10"/>
  <c r="AE268" i="10"/>
  <c r="AC268" i="10"/>
  <c r="AB268" i="10"/>
  <c r="AA268" i="10"/>
  <c r="Q268" i="10"/>
  <c r="AD268" i="10" s="1"/>
  <c r="AG267" i="10"/>
  <c r="AF267" i="10"/>
  <c r="AE267" i="10"/>
  <c r="AD267" i="10"/>
  <c r="AC267" i="10"/>
  <c r="AB267" i="10"/>
  <c r="AA267" i="10"/>
  <c r="AG266" i="10"/>
  <c r="AF266" i="10"/>
  <c r="AE266" i="10"/>
  <c r="AD266" i="10"/>
  <c r="AC266" i="10"/>
  <c r="AB266" i="10"/>
  <c r="AA266" i="10"/>
  <c r="AG265" i="10"/>
  <c r="AF265" i="10"/>
  <c r="AE265" i="10"/>
  <c r="AD265" i="10"/>
  <c r="AC265" i="10"/>
  <c r="AB265" i="10"/>
  <c r="AA265" i="10"/>
  <c r="AG264" i="10"/>
  <c r="AF264" i="10"/>
  <c r="AE264" i="10"/>
  <c r="AD264" i="10"/>
  <c r="AC264" i="10"/>
  <c r="AB264" i="10"/>
  <c r="AA264" i="10"/>
  <c r="AG263" i="10"/>
  <c r="AF263" i="10"/>
  <c r="AE263" i="10"/>
  <c r="AC263" i="10"/>
  <c r="AB263" i="10"/>
  <c r="AA263" i="10"/>
  <c r="Q263" i="10"/>
  <c r="AD263" i="10" s="1"/>
  <c r="AG262" i="10"/>
  <c r="AF262" i="10"/>
  <c r="AE262" i="10"/>
  <c r="AD262" i="10"/>
  <c r="AC262" i="10"/>
  <c r="AB262" i="10"/>
  <c r="AA262" i="10"/>
  <c r="AG261" i="10"/>
  <c r="AF261" i="10"/>
  <c r="AE261" i="10"/>
  <c r="AD261" i="10"/>
  <c r="AC261" i="10"/>
  <c r="AB261" i="10"/>
  <c r="AA261" i="10"/>
  <c r="AG260" i="10"/>
  <c r="AF260" i="10"/>
  <c r="AE260" i="10"/>
  <c r="AC260" i="10"/>
  <c r="AB260" i="10"/>
  <c r="AA260" i="10"/>
  <c r="Q260" i="10"/>
  <c r="AD260" i="10" s="1"/>
  <c r="AG259" i="10"/>
  <c r="AF259" i="10"/>
  <c r="AE259" i="10"/>
  <c r="AD259" i="10"/>
  <c r="AC259" i="10"/>
  <c r="AB259" i="10"/>
  <c r="AA259" i="10"/>
  <c r="AG258" i="10"/>
  <c r="AF258" i="10"/>
  <c r="AE258" i="10"/>
  <c r="AD258" i="10"/>
  <c r="AC258" i="10"/>
  <c r="AB258" i="10"/>
  <c r="AA258" i="10"/>
  <c r="AG257" i="10"/>
  <c r="AF257" i="10"/>
  <c r="AE257" i="10"/>
  <c r="AC257" i="10"/>
  <c r="AB257" i="10"/>
  <c r="AA257" i="10"/>
  <c r="Q257" i="10"/>
  <c r="AD257" i="10" s="1"/>
  <c r="AG256" i="10"/>
  <c r="AF256" i="10"/>
  <c r="AE256" i="10"/>
  <c r="AD256" i="10"/>
  <c r="AC256" i="10"/>
  <c r="AB256" i="10"/>
  <c r="AA256" i="10"/>
  <c r="AG255" i="10"/>
  <c r="AF255" i="10"/>
  <c r="AE255" i="10"/>
  <c r="AD255" i="10"/>
  <c r="AC255" i="10"/>
  <c r="AB255" i="10"/>
  <c r="AA255" i="10"/>
  <c r="AG254" i="10"/>
  <c r="AF254" i="10"/>
  <c r="AE254" i="10"/>
  <c r="AC254" i="10"/>
  <c r="AB254" i="10"/>
  <c r="AA254" i="10"/>
  <c r="Q254" i="10"/>
  <c r="AD254" i="10" s="1"/>
  <c r="AG253" i="10"/>
  <c r="AF253" i="10"/>
  <c r="AE253" i="10"/>
  <c r="AD253" i="10"/>
  <c r="AC253" i="10"/>
  <c r="AB253" i="10"/>
  <c r="AA253" i="10"/>
  <c r="AG252" i="10"/>
  <c r="AF252" i="10"/>
  <c r="AE252" i="10"/>
  <c r="AD252" i="10"/>
  <c r="AC252" i="10"/>
  <c r="AB252" i="10"/>
  <c r="AA252" i="10"/>
  <c r="AG251" i="10"/>
  <c r="AF251" i="10"/>
  <c r="AE251" i="10"/>
  <c r="AC251" i="10"/>
  <c r="AB251" i="10"/>
  <c r="AA251" i="10"/>
  <c r="Q251" i="10"/>
  <c r="AD251" i="10" s="1"/>
  <c r="AG250" i="10"/>
  <c r="AF250" i="10"/>
  <c r="AE250" i="10"/>
  <c r="AD250" i="10"/>
  <c r="AC250" i="10"/>
  <c r="AB250" i="10"/>
  <c r="AA250" i="10"/>
  <c r="AG249" i="10"/>
  <c r="AF249" i="10"/>
  <c r="AE249" i="10"/>
  <c r="AD249" i="10"/>
  <c r="AC249" i="10"/>
  <c r="AB249" i="10"/>
  <c r="AA249" i="10"/>
  <c r="AG248" i="10"/>
  <c r="AF248" i="10"/>
  <c r="AE248" i="10"/>
  <c r="AC248" i="10"/>
  <c r="AB248" i="10"/>
  <c r="AA248" i="10"/>
  <c r="Q248" i="10"/>
  <c r="AD248" i="10" s="1"/>
  <c r="AG247" i="10"/>
  <c r="AF247" i="10"/>
  <c r="AE247" i="10"/>
  <c r="AD247" i="10"/>
  <c r="AC247" i="10"/>
  <c r="AB247" i="10"/>
  <c r="AA247" i="10"/>
  <c r="AG246" i="10"/>
  <c r="AF246" i="10"/>
  <c r="AE246" i="10"/>
  <c r="AD246" i="10"/>
  <c r="AC246" i="10"/>
  <c r="AB246" i="10"/>
  <c r="AA246" i="10"/>
  <c r="AG245" i="10"/>
  <c r="AF245" i="10"/>
  <c r="AE245" i="10"/>
  <c r="AC245" i="10"/>
  <c r="AB245" i="10"/>
  <c r="AA245" i="10"/>
  <c r="Q245" i="10"/>
  <c r="AD245" i="10" s="1"/>
  <c r="AG244" i="10"/>
  <c r="AF244" i="10"/>
  <c r="AE244" i="10"/>
  <c r="AD244" i="10"/>
  <c r="AC244" i="10"/>
  <c r="AB244" i="10"/>
  <c r="AA244" i="10"/>
  <c r="AG243" i="10"/>
  <c r="AF243" i="10"/>
  <c r="AE243" i="10"/>
  <c r="AD243" i="10"/>
  <c r="AC243" i="10"/>
  <c r="AB243" i="10"/>
  <c r="AA243" i="10"/>
  <c r="AG242" i="10"/>
  <c r="AF242" i="10"/>
  <c r="AE242" i="10"/>
  <c r="AC242" i="10"/>
  <c r="AB242" i="10"/>
  <c r="AA242" i="10"/>
  <c r="Q242" i="10"/>
  <c r="AD242" i="10" s="1"/>
  <c r="AG241" i="10"/>
  <c r="AF241" i="10"/>
  <c r="AE241" i="10"/>
  <c r="AC241" i="10"/>
  <c r="AB241" i="10"/>
  <c r="AA241" i="10"/>
  <c r="Q241" i="10"/>
  <c r="AD241" i="10" s="1"/>
  <c r="AG240" i="10"/>
  <c r="AF240" i="10"/>
  <c r="AE240" i="10"/>
  <c r="AD240" i="10"/>
  <c r="AC240" i="10"/>
  <c r="AB240" i="10"/>
  <c r="AA240" i="10"/>
  <c r="AG239" i="10"/>
  <c r="AF239" i="10"/>
  <c r="AE239" i="10"/>
  <c r="AD239" i="10"/>
  <c r="AC239" i="10"/>
  <c r="AB239" i="10"/>
  <c r="AA239" i="10"/>
  <c r="AG238" i="10"/>
  <c r="AF238" i="10"/>
  <c r="AE238" i="10"/>
  <c r="AC238" i="10"/>
  <c r="AB238" i="10"/>
  <c r="AA238" i="10"/>
  <c r="Q238" i="10"/>
  <c r="AD238" i="10" s="1"/>
  <c r="AG237" i="10"/>
  <c r="AF237" i="10"/>
  <c r="AE237" i="10"/>
  <c r="AD237" i="10"/>
  <c r="AC237" i="10"/>
  <c r="AB237" i="10"/>
  <c r="AA237" i="10"/>
  <c r="AG236" i="10"/>
  <c r="AF236" i="10"/>
  <c r="AE236" i="10"/>
  <c r="AD236" i="10"/>
  <c r="AC236" i="10"/>
  <c r="AB236" i="10"/>
  <c r="AA236" i="10"/>
  <c r="AG235" i="10"/>
  <c r="AF235" i="10"/>
  <c r="AE235" i="10"/>
  <c r="AC235" i="10"/>
  <c r="AB235" i="10"/>
  <c r="AA235" i="10"/>
  <c r="Q235" i="10"/>
  <c r="AD235" i="10" s="1"/>
  <c r="AG234" i="10"/>
  <c r="AF234" i="10"/>
  <c r="AE234" i="10"/>
  <c r="AD234" i="10"/>
  <c r="AC234" i="10"/>
  <c r="AB234" i="10"/>
  <c r="AA234" i="10"/>
  <c r="AG233" i="10"/>
  <c r="AF233" i="10"/>
  <c r="AE233" i="10"/>
  <c r="AD233" i="10"/>
  <c r="AC233" i="10"/>
  <c r="AB233" i="10"/>
  <c r="AA233" i="10"/>
  <c r="AG232" i="10"/>
  <c r="AF232" i="10"/>
  <c r="AE232" i="10"/>
  <c r="AD232" i="10"/>
  <c r="AC232" i="10"/>
  <c r="AB232" i="10"/>
  <c r="AA232" i="10"/>
  <c r="AG231" i="10"/>
  <c r="AF231" i="10"/>
  <c r="AE231" i="10"/>
  <c r="AD231" i="10"/>
  <c r="AC231" i="10"/>
  <c r="AB231" i="10"/>
  <c r="AA231" i="10"/>
  <c r="AG230" i="10"/>
  <c r="AF230" i="10"/>
  <c r="AE230" i="10"/>
  <c r="AC230" i="10"/>
  <c r="AB230" i="10"/>
  <c r="AA230" i="10"/>
  <c r="Q230" i="10"/>
  <c r="AD230" i="10" s="1"/>
  <c r="AG229" i="10"/>
  <c r="AF229" i="10"/>
  <c r="AE229" i="10"/>
  <c r="AD229" i="10"/>
  <c r="AC229" i="10"/>
  <c r="AB229" i="10"/>
  <c r="AA229" i="10"/>
  <c r="AG228" i="10"/>
  <c r="AF228" i="10"/>
  <c r="AE228" i="10"/>
  <c r="AD228" i="10"/>
  <c r="AC228" i="10"/>
  <c r="AB228" i="10"/>
  <c r="AA228" i="10"/>
  <c r="AG227" i="10"/>
  <c r="AF227" i="10"/>
  <c r="AE227" i="10"/>
  <c r="AD227" i="10"/>
  <c r="AC227" i="10"/>
  <c r="AB227" i="10"/>
  <c r="AA227" i="10"/>
  <c r="AG226" i="10"/>
  <c r="AF226" i="10"/>
  <c r="AE226" i="10"/>
  <c r="AD226" i="10"/>
  <c r="AC226" i="10"/>
  <c r="AB226" i="10"/>
  <c r="AA226" i="10"/>
  <c r="AG225" i="10"/>
  <c r="AF225" i="10"/>
  <c r="AE225" i="10"/>
  <c r="AD225" i="10"/>
  <c r="AC225" i="10"/>
  <c r="AB225" i="10"/>
  <c r="AA225" i="10"/>
  <c r="AG224" i="10"/>
  <c r="AF224" i="10"/>
  <c r="AE224" i="10"/>
  <c r="AD224" i="10"/>
  <c r="AC224" i="10"/>
  <c r="AB224" i="10"/>
  <c r="AA224" i="10"/>
  <c r="AG223" i="10"/>
  <c r="AF223" i="10"/>
  <c r="AE223" i="10"/>
  <c r="AD223" i="10"/>
  <c r="AC223" i="10"/>
  <c r="AB223" i="10"/>
  <c r="AA223" i="10"/>
  <c r="AG222" i="10"/>
  <c r="AF222" i="10"/>
  <c r="AE222" i="10"/>
  <c r="AD222" i="10"/>
  <c r="AC222" i="10"/>
  <c r="AB222" i="10"/>
  <c r="AA222" i="10"/>
  <c r="AG221" i="10"/>
  <c r="AF221" i="10"/>
  <c r="AE221" i="10"/>
  <c r="AC221" i="10"/>
  <c r="AB221" i="10"/>
  <c r="AA221" i="10"/>
  <c r="Q221" i="10"/>
  <c r="AD221" i="10" s="1"/>
  <c r="AG220" i="10"/>
  <c r="AF220" i="10"/>
  <c r="AE220" i="10"/>
  <c r="AC220" i="10"/>
  <c r="AB220" i="10"/>
  <c r="AA220" i="10"/>
  <c r="Q220" i="10"/>
  <c r="AD220" i="10" s="1"/>
  <c r="AG219" i="10"/>
  <c r="AF219" i="10"/>
  <c r="AE219" i="10"/>
  <c r="AD219" i="10"/>
  <c r="AC219" i="10"/>
  <c r="AB219" i="10"/>
  <c r="AA219" i="10"/>
  <c r="AG218" i="10"/>
  <c r="AF218" i="10"/>
  <c r="AE218" i="10"/>
  <c r="AD218" i="10"/>
  <c r="AC218" i="10"/>
  <c r="AB218" i="10"/>
  <c r="AA218" i="10"/>
  <c r="AG217" i="10"/>
  <c r="AF217" i="10"/>
  <c r="AE217" i="10"/>
  <c r="AD217" i="10"/>
  <c r="AC217" i="10"/>
  <c r="AB217" i="10"/>
  <c r="AA217" i="10"/>
  <c r="AG216" i="10"/>
  <c r="AF216" i="10"/>
  <c r="AE216" i="10"/>
  <c r="AD216" i="10"/>
  <c r="AC216" i="10"/>
  <c r="AB216" i="10"/>
  <c r="AA216" i="10"/>
  <c r="AG215" i="10"/>
  <c r="AF215" i="10"/>
  <c r="AE215" i="10"/>
  <c r="AC215" i="10"/>
  <c r="AB215" i="10"/>
  <c r="AA215" i="10"/>
  <c r="Q215" i="10"/>
  <c r="AD215" i="10" s="1"/>
  <c r="AG214" i="10"/>
  <c r="AF214" i="10"/>
  <c r="AE214" i="10"/>
  <c r="AD214" i="10"/>
  <c r="AC214" i="10"/>
  <c r="AB214" i="10"/>
  <c r="AA214" i="10"/>
  <c r="AG213" i="10"/>
  <c r="AF213" i="10"/>
  <c r="AE213" i="10"/>
  <c r="AD213" i="10"/>
  <c r="AC213" i="10"/>
  <c r="AB213" i="10"/>
  <c r="AA213" i="10"/>
  <c r="AG212" i="10"/>
  <c r="AF212" i="10"/>
  <c r="AE212" i="10"/>
  <c r="AC212" i="10"/>
  <c r="AB212" i="10"/>
  <c r="AA212" i="10"/>
  <c r="Q212" i="10"/>
  <c r="AD212" i="10" s="1"/>
  <c r="AG211" i="10"/>
  <c r="AF211" i="10"/>
  <c r="AE211" i="10"/>
  <c r="AC211" i="10"/>
  <c r="AB211" i="10"/>
  <c r="AA211" i="10"/>
  <c r="Q211" i="10"/>
  <c r="AD211" i="10" s="1"/>
  <c r="AG210" i="10"/>
  <c r="AF210" i="10"/>
  <c r="AE210" i="10"/>
  <c r="AD210" i="10"/>
  <c r="AC210" i="10"/>
  <c r="AB210" i="10"/>
  <c r="AA210" i="10"/>
  <c r="AG209" i="10"/>
  <c r="AF209" i="10"/>
  <c r="AE209" i="10"/>
  <c r="AD209" i="10"/>
  <c r="AC209" i="10"/>
  <c r="AB209" i="10"/>
  <c r="AA209" i="10"/>
  <c r="AG208" i="10"/>
  <c r="AF208" i="10"/>
  <c r="AE208" i="10"/>
  <c r="AC208" i="10"/>
  <c r="AB208" i="10"/>
  <c r="AA208" i="10"/>
  <c r="Q208" i="10"/>
  <c r="AD208" i="10" s="1"/>
  <c r="AG207" i="10"/>
  <c r="AF207" i="10"/>
  <c r="AE207" i="10"/>
  <c r="AD207" i="10"/>
  <c r="AC207" i="10"/>
  <c r="AB207" i="10"/>
  <c r="AA207" i="10"/>
  <c r="AG206" i="10"/>
  <c r="AF206" i="10"/>
  <c r="AE206" i="10"/>
  <c r="AD206" i="10"/>
  <c r="AC206" i="10"/>
  <c r="AB206" i="10"/>
  <c r="AA206" i="10"/>
  <c r="AG205" i="10"/>
  <c r="AF205" i="10"/>
  <c r="AE205" i="10"/>
  <c r="AC205" i="10"/>
  <c r="AB205" i="10"/>
  <c r="AA205" i="10"/>
  <c r="Q205" i="10"/>
  <c r="AD205" i="10" s="1"/>
  <c r="AG204" i="10"/>
  <c r="AF204" i="10"/>
  <c r="AE204" i="10"/>
  <c r="AD204" i="10"/>
  <c r="AC204" i="10"/>
  <c r="AB204" i="10"/>
  <c r="AA204" i="10"/>
  <c r="AG203" i="10"/>
  <c r="AF203" i="10"/>
  <c r="AE203" i="10"/>
  <c r="AD203" i="10"/>
  <c r="AC203" i="10"/>
  <c r="AB203" i="10"/>
  <c r="AA203" i="10"/>
  <c r="AG202" i="10"/>
  <c r="AF202" i="10"/>
  <c r="AE202" i="10"/>
  <c r="AC202" i="10"/>
  <c r="AB202" i="10"/>
  <c r="AA202" i="10"/>
  <c r="Q202" i="10"/>
  <c r="AD202" i="10" s="1"/>
  <c r="AG201" i="10"/>
  <c r="AF201" i="10"/>
  <c r="AE201" i="10"/>
  <c r="AD201" i="10"/>
  <c r="AC201" i="10"/>
  <c r="AB201" i="10"/>
  <c r="AA201" i="10"/>
  <c r="AG200" i="10"/>
  <c r="AF200" i="10"/>
  <c r="AE200" i="10"/>
  <c r="AD200" i="10"/>
  <c r="AC200" i="10"/>
  <c r="AB200" i="10"/>
  <c r="AA200" i="10"/>
  <c r="AG199" i="10"/>
  <c r="AF199" i="10"/>
  <c r="AE199" i="10"/>
  <c r="AD199" i="10"/>
  <c r="AC199" i="10"/>
  <c r="AB199" i="10"/>
  <c r="AA199" i="10"/>
  <c r="AG198" i="10"/>
  <c r="AF198" i="10"/>
  <c r="AE198" i="10"/>
  <c r="AD198" i="10"/>
  <c r="AC198" i="10"/>
  <c r="AB198" i="10"/>
  <c r="AA198" i="10"/>
  <c r="AG197" i="10"/>
  <c r="AF197" i="10"/>
  <c r="AE197" i="10"/>
  <c r="AD197" i="10"/>
  <c r="AC197" i="10"/>
  <c r="AB197" i="10"/>
  <c r="AA197" i="10"/>
  <c r="AA196" i="10"/>
  <c r="AA195" i="10"/>
  <c r="AA194" i="10"/>
  <c r="Z194" i="10"/>
  <c r="Y194" i="10"/>
  <c r="X194" i="10"/>
  <c r="W194" i="10"/>
  <c r="V194" i="10"/>
  <c r="U194" i="10"/>
  <c r="T194" i="10"/>
  <c r="AE194" i="10" s="1"/>
  <c r="S194" i="10"/>
  <c r="AD194" i="10" s="1"/>
  <c r="R194" i="10"/>
  <c r="AB194" i="10" s="1"/>
  <c r="AG193" i="10"/>
  <c r="AF193" i="10"/>
  <c r="AE193" i="10"/>
  <c r="AD193" i="10"/>
  <c r="AC193" i="10"/>
  <c r="AB193" i="10"/>
  <c r="AA193" i="10"/>
  <c r="AG192" i="10"/>
  <c r="AF192" i="10"/>
  <c r="AE192" i="10"/>
  <c r="AD192" i="10"/>
  <c r="AC192" i="10"/>
  <c r="AB192" i="10"/>
  <c r="AA192" i="10"/>
  <c r="AG191" i="10"/>
  <c r="AF191" i="10"/>
  <c r="AE191" i="10"/>
  <c r="AC191" i="10"/>
  <c r="AB191" i="10"/>
  <c r="AA191" i="10"/>
  <c r="Q191" i="10"/>
  <c r="AD191" i="10" s="1"/>
  <c r="AG190" i="10"/>
  <c r="AF190" i="10"/>
  <c r="AE190" i="10"/>
  <c r="AD190" i="10"/>
  <c r="AC190" i="10"/>
  <c r="AB190" i="10"/>
  <c r="AA190" i="10"/>
  <c r="AG189" i="10"/>
  <c r="AF189" i="10"/>
  <c r="AE189" i="10"/>
  <c r="AD189" i="10"/>
  <c r="AC189" i="10"/>
  <c r="AB189" i="10"/>
  <c r="AA189" i="10"/>
  <c r="AG188" i="10"/>
  <c r="AF188" i="10"/>
  <c r="AE188" i="10"/>
  <c r="AC188" i="10"/>
  <c r="AB188" i="10"/>
  <c r="AA188" i="10"/>
  <c r="Q188" i="10"/>
  <c r="AD188" i="10" s="1"/>
  <c r="AG187" i="10"/>
  <c r="AF187" i="10"/>
  <c r="AE187" i="10"/>
  <c r="AD187" i="10"/>
  <c r="AC187" i="10"/>
  <c r="AB187" i="10"/>
  <c r="AA187" i="10"/>
  <c r="AG186" i="10"/>
  <c r="AF186" i="10"/>
  <c r="AE186" i="10"/>
  <c r="AD186" i="10"/>
  <c r="AC186" i="10"/>
  <c r="AB186" i="10"/>
  <c r="AA186" i="10"/>
  <c r="AG185" i="10"/>
  <c r="AF185" i="10"/>
  <c r="AE185" i="10"/>
  <c r="AC185" i="10"/>
  <c r="AB185" i="10"/>
  <c r="AA185" i="10"/>
  <c r="Q185" i="10"/>
  <c r="AD185" i="10" s="1"/>
  <c r="AG184" i="10"/>
  <c r="AF184" i="10"/>
  <c r="AE184" i="10"/>
  <c r="AD184" i="10"/>
  <c r="AC184" i="10"/>
  <c r="AB184" i="10"/>
  <c r="AA184" i="10"/>
  <c r="AG183" i="10"/>
  <c r="AF183" i="10"/>
  <c r="AE183" i="10"/>
  <c r="AD183" i="10"/>
  <c r="AC183" i="10"/>
  <c r="AB183" i="10"/>
  <c r="AA183" i="10"/>
  <c r="AG182" i="10"/>
  <c r="AF182" i="10"/>
  <c r="AE182" i="10"/>
  <c r="AC182" i="10"/>
  <c r="AB182" i="10"/>
  <c r="AA182" i="10"/>
  <c r="Q182" i="10"/>
  <c r="AD182" i="10" s="1"/>
  <c r="AG181" i="10"/>
  <c r="AF181" i="10"/>
  <c r="AE181" i="10"/>
  <c r="AC181" i="10"/>
  <c r="AB181" i="10"/>
  <c r="AA181" i="10"/>
  <c r="Q181" i="10"/>
  <c r="AD181" i="10" s="1"/>
  <c r="AG180" i="10"/>
  <c r="AF180" i="10"/>
  <c r="AE180" i="10"/>
  <c r="AD180" i="10"/>
  <c r="AC180" i="10"/>
  <c r="AB180" i="10"/>
  <c r="AA180" i="10"/>
  <c r="AG179" i="10"/>
  <c r="AF179" i="10"/>
  <c r="AE179" i="10"/>
  <c r="AD179" i="10"/>
  <c r="AC179" i="10"/>
  <c r="AB179" i="10"/>
  <c r="AA179" i="10"/>
  <c r="AG178" i="10"/>
  <c r="AF178" i="10"/>
  <c r="AE178" i="10"/>
  <c r="AC178" i="10"/>
  <c r="AB178" i="10"/>
  <c r="AA178" i="10"/>
  <c r="Q178" i="10"/>
  <c r="AD178" i="10" s="1"/>
  <c r="AG177" i="10"/>
  <c r="AF177" i="10"/>
  <c r="AE177" i="10"/>
  <c r="AD177" i="10"/>
  <c r="AC177" i="10"/>
  <c r="AB177" i="10"/>
  <c r="AA177" i="10"/>
  <c r="AG176" i="10"/>
  <c r="AF176" i="10"/>
  <c r="AE176" i="10"/>
  <c r="AD176" i="10"/>
  <c r="AC176" i="10"/>
  <c r="AB176" i="10"/>
  <c r="AA176" i="10"/>
  <c r="AG175" i="10"/>
  <c r="AF175" i="10"/>
  <c r="AE175" i="10"/>
  <c r="AC175" i="10"/>
  <c r="AB175" i="10"/>
  <c r="AA175" i="10"/>
  <c r="Q175" i="10"/>
  <c r="AD175" i="10" s="1"/>
  <c r="AG174" i="10"/>
  <c r="AF174" i="10"/>
  <c r="AE174" i="10"/>
  <c r="AD174" i="10"/>
  <c r="AC174" i="10"/>
  <c r="AB174" i="10"/>
  <c r="AA174" i="10"/>
  <c r="AG173" i="10"/>
  <c r="AF173" i="10"/>
  <c r="AE173" i="10"/>
  <c r="AD173" i="10"/>
  <c r="AC173" i="10"/>
  <c r="AB173" i="10"/>
  <c r="AA173" i="10"/>
  <c r="AG172" i="10"/>
  <c r="AF172" i="10"/>
  <c r="AE172" i="10"/>
  <c r="AC172" i="10"/>
  <c r="AB172" i="10"/>
  <c r="AA172" i="10"/>
  <c r="Q172" i="10"/>
  <c r="AD172" i="10" s="1"/>
  <c r="AG171" i="10"/>
  <c r="AF171" i="10"/>
  <c r="AE171" i="10"/>
  <c r="AD171" i="10"/>
  <c r="AC171" i="10"/>
  <c r="AB171" i="10"/>
  <c r="AA171" i="10"/>
  <c r="AG170" i="10"/>
  <c r="AF170" i="10"/>
  <c r="AE170" i="10"/>
  <c r="AD170" i="10"/>
  <c r="AC170" i="10"/>
  <c r="AB170" i="10"/>
  <c r="AA170" i="10"/>
  <c r="AG169" i="10"/>
  <c r="AF169" i="10"/>
  <c r="AE169" i="10"/>
  <c r="AD169" i="10"/>
  <c r="AC169" i="10"/>
  <c r="AB169" i="10"/>
  <c r="AA169" i="10"/>
  <c r="AG168" i="10"/>
  <c r="AF168" i="10"/>
  <c r="AE168" i="10"/>
  <c r="AD168" i="10"/>
  <c r="AC168" i="10"/>
  <c r="AB168" i="10"/>
  <c r="AA168" i="10"/>
  <c r="AG167" i="10"/>
  <c r="AF167" i="10"/>
  <c r="AE167" i="10"/>
  <c r="AC167" i="10"/>
  <c r="AB167" i="10"/>
  <c r="AA167" i="10"/>
  <c r="Q167" i="10"/>
  <c r="AD167" i="10" s="1"/>
  <c r="AG166" i="10"/>
  <c r="AF166" i="10"/>
  <c r="AE166" i="10"/>
  <c r="AD166" i="10"/>
  <c r="AC166" i="10"/>
  <c r="AB166" i="10"/>
  <c r="AA166" i="10"/>
  <c r="AG165" i="10"/>
  <c r="AF165" i="10"/>
  <c r="AE165" i="10"/>
  <c r="AD165" i="10"/>
  <c r="AC165" i="10"/>
  <c r="AB165" i="10"/>
  <c r="AA165" i="10"/>
  <c r="AG164" i="10"/>
  <c r="AF164" i="10"/>
  <c r="AE164" i="10"/>
  <c r="AC164" i="10"/>
  <c r="AB164" i="10"/>
  <c r="AA164" i="10"/>
  <c r="Q164" i="10"/>
  <c r="AD164" i="10" s="1"/>
  <c r="AG163" i="10"/>
  <c r="AF163" i="10"/>
  <c r="AE163" i="10"/>
  <c r="AD163" i="10"/>
  <c r="AC163" i="10"/>
  <c r="AB163" i="10"/>
  <c r="AA163" i="10"/>
  <c r="AG162" i="10"/>
  <c r="AF162" i="10"/>
  <c r="AE162" i="10"/>
  <c r="AD162" i="10"/>
  <c r="AC162" i="10"/>
  <c r="AB162" i="10"/>
  <c r="AA162" i="10"/>
  <c r="AG161" i="10"/>
  <c r="AF161" i="10"/>
  <c r="AE161" i="10"/>
  <c r="AC161" i="10"/>
  <c r="AB161" i="10"/>
  <c r="AA161" i="10"/>
  <c r="Q161" i="10"/>
  <c r="AD161" i="10" s="1"/>
  <c r="AG160" i="10"/>
  <c r="AF160" i="10"/>
  <c r="AE160" i="10"/>
  <c r="AD160" i="10"/>
  <c r="AC160" i="10"/>
  <c r="AB160" i="10"/>
  <c r="AA160" i="10"/>
  <c r="AG159" i="10"/>
  <c r="AF159" i="10"/>
  <c r="AE159" i="10"/>
  <c r="AD159" i="10"/>
  <c r="AC159" i="10"/>
  <c r="AB159" i="10"/>
  <c r="AA159" i="10"/>
  <c r="AG158" i="10"/>
  <c r="AF158" i="10"/>
  <c r="AE158" i="10"/>
  <c r="AC158" i="10"/>
  <c r="AB158" i="10"/>
  <c r="AA158" i="10"/>
  <c r="Q158" i="10"/>
  <c r="AD158" i="10" s="1"/>
  <c r="AG157" i="10"/>
  <c r="AF157" i="10"/>
  <c r="AE157" i="10"/>
  <c r="AD157" i="10"/>
  <c r="AC157" i="10"/>
  <c r="AB157" i="10"/>
  <c r="AA157" i="10"/>
  <c r="AG156" i="10"/>
  <c r="AF156" i="10"/>
  <c r="AE156" i="10"/>
  <c r="AD156" i="10"/>
  <c r="AC156" i="10"/>
  <c r="AB156" i="10"/>
  <c r="AA156" i="10"/>
  <c r="AG155" i="10"/>
  <c r="AF155" i="10"/>
  <c r="AE155" i="10"/>
  <c r="AC155" i="10"/>
  <c r="AB155" i="10"/>
  <c r="AA155" i="10"/>
  <c r="Q155" i="10"/>
  <c r="AD155" i="10" s="1"/>
  <c r="AG154" i="10"/>
  <c r="AF154" i="10"/>
  <c r="AE154" i="10"/>
  <c r="AD154" i="10"/>
  <c r="AC154" i="10"/>
  <c r="AB154" i="10"/>
  <c r="AA154" i="10"/>
  <c r="AG153" i="10"/>
  <c r="AF153" i="10"/>
  <c r="AE153" i="10"/>
  <c r="AD153" i="10"/>
  <c r="AC153" i="10"/>
  <c r="AB153" i="10"/>
  <c r="AA153" i="10"/>
  <c r="AG152" i="10"/>
  <c r="AF152" i="10"/>
  <c r="AE152" i="10"/>
  <c r="AD152" i="10"/>
  <c r="AC152" i="10"/>
  <c r="AB152" i="10"/>
  <c r="AA152" i="10"/>
  <c r="AG151" i="10"/>
  <c r="AF151" i="10"/>
  <c r="AE151" i="10"/>
  <c r="AD151" i="10"/>
  <c r="AC151" i="10"/>
  <c r="AB151" i="10"/>
  <c r="AA151" i="10"/>
  <c r="AG150" i="10"/>
  <c r="AF150" i="10"/>
  <c r="AE150" i="10"/>
  <c r="AC150" i="10"/>
  <c r="AB150" i="10"/>
  <c r="AA150" i="10"/>
  <c r="Q150" i="10"/>
  <c r="AD150" i="10" s="1"/>
  <c r="AG149" i="10"/>
  <c r="AF149" i="10"/>
  <c r="AE149" i="10"/>
  <c r="AC149" i="10"/>
  <c r="AB149" i="10"/>
  <c r="AA149" i="10"/>
  <c r="Q149" i="10"/>
  <c r="AD149" i="10" s="1"/>
  <c r="AG148" i="10"/>
  <c r="AF148" i="10"/>
  <c r="AE148" i="10"/>
  <c r="AD148" i="10"/>
  <c r="AC148" i="10"/>
  <c r="AB148" i="10"/>
  <c r="AA148" i="10"/>
  <c r="AG147" i="10"/>
  <c r="AF147" i="10"/>
  <c r="AE147" i="10"/>
  <c r="AD147" i="10"/>
  <c r="AC147" i="10"/>
  <c r="AB147" i="10"/>
  <c r="AA147" i="10"/>
  <c r="AG146" i="10"/>
  <c r="AF146" i="10"/>
  <c r="AE146" i="10"/>
  <c r="AC146" i="10"/>
  <c r="AB146" i="10"/>
  <c r="AA146" i="10"/>
  <c r="Q146" i="10"/>
  <c r="AD146" i="10" s="1"/>
  <c r="AG145" i="10"/>
  <c r="AF145" i="10"/>
  <c r="AE145" i="10"/>
  <c r="AD145" i="10"/>
  <c r="AC145" i="10"/>
  <c r="AB145" i="10"/>
  <c r="AA145" i="10"/>
  <c r="AG144" i="10"/>
  <c r="AF144" i="10"/>
  <c r="AE144" i="10"/>
  <c r="AD144" i="10"/>
  <c r="AC144" i="10"/>
  <c r="AB144" i="10"/>
  <c r="AA144" i="10"/>
  <c r="AG143" i="10"/>
  <c r="AF143" i="10"/>
  <c r="AE143" i="10"/>
  <c r="AC143" i="10"/>
  <c r="AB143" i="10"/>
  <c r="AA143" i="10"/>
  <c r="Q143" i="10"/>
  <c r="AD143" i="10" s="1"/>
  <c r="AG142" i="10"/>
  <c r="AF142" i="10"/>
  <c r="AE142" i="10"/>
  <c r="AD142" i="10"/>
  <c r="AC142" i="10"/>
  <c r="AB142" i="10"/>
  <c r="AA142" i="10"/>
  <c r="AG141" i="10"/>
  <c r="AF141" i="10"/>
  <c r="AE141" i="10"/>
  <c r="AD141" i="10"/>
  <c r="AC141" i="10"/>
  <c r="AB141" i="10"/>
  <c r="AA141" i="10"/>
  <c r="AG140" i="10"/>
  <c r="AF140" i="10"/>
  <c r="AE140" i="10"/>
  <c r="AD140" i="10"/>
  <c r="AC140" i="10"/>
  <c r="AB140" i="10"/>
  <c r="AA140" i="10"/>
  <c r="AG139" i="10"/>
  <c r="AF139" i="10"/>
  <c r="AE139" i="10"/>
  <c r="AD139" i="10"/>
  <c r="AC139" i="10"/>
  <c r="AB139" i="10"/>
  <c r="AA139" i="10"/>
  <c r="AG138" i="10"/>
  <c r="AF138" i="10"/>
  <c r="AE138" i="10"/>
  <c r="AC138" i="10"/>
  <c r="AB138" i="10"/>
  <c r="AA138" i="10"/>
  <c r="Q138" i="10"/>
  <c r="AD138" i="10" s="1"/>
  <c r="AG137" i="10"/>
  <c r="AF137" i="10"/>
  <c r="AE137" i="10"/>
  <c r="AD137" i="10"/>
  <c r="AC137" i="10"/>
  <c r="AB137" i="10"/>
  <c r="AA137" i="10"/>
  <c r="AG136" i="10"/>
  <c r="AF136" i="10"/>
  <c r="AE136" i="10"/>
  <c r="AD136" i="10"/>
  <c r="AC136" i="10"/>
  <c r="AB136" i="10"/>
  <c r="AA136" i="10"/>
  <c r="AG135" i="10"/>
  <c r="AF135" i="10"/>
  <c r="AE135" i="10"/>
  <c r="AC135" i="10"/>
  <c r="AB135" i="10"/>
  <c r="AA135" i="10"/>
  <c r="Q135" i="10"/>
  <c r="AD135" i="10" s="1"/>
  <c r="AG134" i="10"/>
  <c r="AF134" i="10"/>
  <c r="AE134" i="10"/>
  <c r="AD134" i="10"/>
  <c r="AC134" i="10"/>
  <c r="AB134" i="10"/>
  <c r="AA134" i="10"/>
  <c r="AG133" i="10"/>
  <c r="AF133" i="10"/>
  <c r="AE133" i="10"/>
  <c r="AD133" i="10"/>
  <c r="AC133" i="10"/>
  <c r="AB133" i="10"/>
  <c r="AA133" i="10"/>
  <c r="AG132" i="10"/>
  <c r="AF132" i="10"/>
  <c r="AE132" i="10"/>
  <c r="AC132" i="10"/>
  <c r="AB132" i="10"/>
  <c r="AA132" i="10"/>
  <c r="Q132" i="10"/>
  <c r="AD132" i="10" s="1"/>
  <c r="AG131" i="10"/>
  <c r="AF131" i="10"/>
  <c r="AE131" i="10"/>
  <c r="AD131" i="10"/>
  <c r="AC131" i="10"/>
  <c r="AB131" i="10"/>
  <c r="AA131" i="10"/>
  <c r="AG130" i="10"/>
  <c r="AF130" i="10"/>
  <c r="AE130" i="10"/>
  <c r="AD130" i="10"/>
  <c r="AC130" i="10"/>
  <c r="AB130" i="10"/>
  <c r="AA130" i="10"/>
  <c r="AG129" i="10"/>
  <c r="AF129" i="10"/>
  <c r="AE129" i="10"/>
  <c r="AC129" i="10"/>
  <c r="AB129" i="10"/>
  <c r="AA129" i="10"/>
  <c r="Q129" i="10"/>
  <c r="AD129" i="10" s="1"/>
  <c r="AG128" i="10"/>
  <c r="AF128" i="10"/>
  <c r="AE128" i="10"/>
  <c r="AD128" i="10"/>
  <c r="AC128" i="10"/>
  <c r="AB128" i="10"/>
  <c r="AA128" i="10"/>
  <c r="AG127" i="10"/>
  <c r="AF127" i="10"/>
  <c r="AE127" i="10"/>
  <c r="AD127" i="10"/>
  <c r="AC127" i="10"/>
  <c r="AB127" i="10"/>
  <c r="AA127" i="10"/>
  <c r="AG126" i="10"/>
  <c r="AF126" i="10"/>
  <c r="AE126" i="10"/>
  <c r="AC126" i="10"/>
  <c r="AB126" i="10"/>
  <c r="AA126" i="10"/>
  <c r="Q126" i="10"/>
  <c r="AD126" i="10" s="1"/>
  <c r="AG125" i="10"/>
  <c r="AF125" i="10"/>
  <c r="AE125" i="10"/>
  <c r="AD125" i="10"/>
  <c r="AC125" i="10"/>
  <c r="AB125" i="10"/>
  <c r="AA125" i="10"/>
  <c r="AG124" i="10"/>
  <c r="AF124" i="10"/>
  <c r="AE124" i="10"/>
  <c r="AD124" i="10"/>
  <c r="AC124" i="10"/>
  <c r="AB124" i="10"/>
  <c r="AA124" i="10"/>
  <c r="AG123" i="10"/>
  <c r="AF123" i="10"/>
  <c r="AE123" i="10"/>
  <c r="AD123" i="10"/>
  <c r="AC123" i="10"/>
  <c r="AB123" i="10"/>
  <c r="AA123" i="10"/>
  <c r="AG122" i="10"/>
  <c r="AF122" i="10"/>
  <c r="AE122" i="10"/>
  <c r="AD122" i="10"/>
  <c r="AC122" i="10"/>
  <c r="AB122" i="10"/>
  <c r="AA122" i="10"/>
  <c r="AG121" i="10"/>
  <c r="AF121" i="10"/>
  <c r="AE121" i="10"/>
  <c r="AD121" i="10"/>
  <c r="AC121" i="10"/>
  <c r="AB121" i="10"/>
  <c r="AA121" i="10"/>
  <c r="AG120" i="10"/>
  <c r="AF120" i="10"/>
  <c r="AE120" i="10"/>
  <c r="AD120" i="10"/>
  <c r="AC120" i="10"/>
  <c r="AB120" i="10"/>
  <c r="AA120" i="10"/>
  <c r="AG119" i="10"/>
  <c r="AF119" i="10"/>
  <c r="AE119" i="10"/>
  <c r="AD119" i="10"/>
  <c r="AC119" i="10"/>
  <c r="AB119" i="10"/>
  <c r="AA119" i="10"/>
  <c r="AG118" i="10"/>
  <c r="AF118" i="10"/>
  <c r="AE118" i="10"/>
  <c r="AD118" i="10"/>
  <c r="AC118" i="10"/>
  <c r="AB118" i="10"/>
  <c r="AA118" i="10"/>
  <c r="AG117" i="10"/>
  <c r="AF117" i="10"/>
  <c r="AE117" i="10"/>
  <c r="AD117" i="10"/>
  <c r="AC117" i="10"/>
  <c r="AB117" i="10"/>
  <c r="AA117" i="10"/>
  <c r="AG116" i="10"/>
  <c r="AF116" i="10"/>
  <c r="AE116" i="10"/>
  <c r="AD116" i="10"/>
  <c r="AC116" i="10"/>
  <c r="AB116" i="10"/>
  <c r="AA116" i="10"/>
  <c r="AG115" i="10"/>
  <c r="AF115" i="10"/>
  <c r="AE115" i="10"/>
  <c r="AD115" i="10"/>
  <c r="AC115" i="10"/>
  <c r="AB115" i="10"/>
  <c r="AA115" i="10"/>
  <c r="AG114" i="10"/>
  <c r="AF114" i="10"/>
  <c r="AE114" i="10"/>
  <c r="AD114" i="10"/>
  <c r="AC114" i="10"/>
  <c r="AB114" i="10"/>
  <c r="AA114" i="10"/>
  <c r="AG113" i="10"/>
  <c r="AF113" i="10"/>
  <c r="AE113" i="10"/>
  <c r="AD113" i="10"/>
  <c r="AC113" i="10"/>
  <c r="AB113" i="10"/>
  <c r="AA113" i="10"/>
  <c r="AG112" i="10"/>
  <c r="AF112" i="10"/>
  <c r="AE112" i="10"/>
  <c r="AD112" i="10"/>
  <c r="AC112" i="10"/>
  <c r="AB112" i="10"/>
  <c r="AA112" i="10"/>
  <c r="AG111" i="10"/>
  <c r="AF111" i="10"/>
  <c r="AE111" i="10"/>
  <c r="AD111" i="10"/>
  <c r="AC111" i="10"/>
  <c r="AB111" i="10"/>
  <c r="AA111" i="10"/>
  <c r="AG110" i="10"/>
  <c r="AF110" i="10"/>
  <c r="AE110" i="10"/>
  <c r="AD110" i="10"/>
  <c r="AC110" i="10"/>
  <c r="AB110" i="10"/>
  <c r="AA110" i="10"/>
  <c r="AG109" i="10"/>
  <c r="AF109" i="10"/>
  <c r="AE109" i="10"/>
  <c r="AD109" i="10"/>
  <c r="AC109" i="10"/>
  <c r="AB109" i="10"/>
  <c r="AA109" i="10"/>
  <c r="AG108" i="10"/>
  <c r="AF108" i="10"/>
  <c r="AE108" i="10"/>
  <c r="AD108" i="10"/>
  <c r="AC108" i="10"/>
  <c r="AB108" i="10"/>
  <c r="AA108" i="10"/>
  <c r="AG107" i="10"/>
  <c r="AF107" i="10"/>
  <c r="AE107" i="10"/>
  <c r="AD107" i="10"/>
  <c r="AC107" i="10"/>
  <c r="AB107" i="10"/>
  <c r="AA107" i="10"/>
  <c r="AG106" i="10"/>
  <c r="AF106" i="10"/>
  <c r="AE106" i="10"/>
  <c r="AD106" i="10"/>
  <c r="AC106" i="10"/>
  <c r="AB106" i="10"/>
  <c r="AA106" i="10"/>
  <c r="AG105" i="10"/>
  <c r="AF105" i="10"/>
  <c r="AE105" i="10"/>
  <c r="AD105" i="10"/>
  <c r="AC105" i="10"/>
  <c r="AB105" i="10"/>
  <c r="AA105" i="10"/>
  <c r="AG104" i="10"/>
  <c r="AF104" i="10"/>
  <c r="AE104" i="10"/>
  <c r="AC104" i="10"/>
  <c r="AB104" i="10"/>
  <c r="AA104" i="10"/>
  <c r="Q104" i="10"/>
  <c r="AD104" i="10" s="1"/>
  <c r="AG103" i="10"/>
  <c r="AF103" i="10"/>
  <c r="AE103" i="10"/>
  <c r="AD103" i="10"/>
  <c r="AC103" i="10"/>
  <c r="AB103" i="10"/>
  <c r="AA103" i="10"/>
  <c r="AG102" i="10"/>
  <c r="AF102" i="10"/>
  <c r="AE102" i="10"/>
  <c r="AD102" i="10"/>
  <c r="AC102" i="10"/>
  <c r="AB102" i="10"/>
  <c r="AA102" i="10"/>
  <c r="AG101" i="10"/>
  <c r="AF101" i="10"/>
  <c r="AE101" i="10"/>
  <c r="AD101" i="10"/>
  <c r="AC101" i="10"/>
  <c r="AB101" i="10"/>
  <c r="AA101" i="10"/>
  <c r="AG100" i="10"/>
  <c r="AF100" i="10"/>
  <c r="AE100" i="10"/>
  <c r="AD100" i="10"/>
  <c r="AC100" i="10"/>
  <c r="AB100" i="10"/>
  <c r="AA100" i="10"/>
  <c r="AG99" i="10"/>
  <c r="AF99" i="10"/>
  <c r="AE99" i="10"/>
  <c r="AD99" i="10"/>
  <c r="AC99" i="10"/>
  <c r="AB99" i="10"/>
  <c r="AA99" i="10"/>
  <c r="AG98" i="10"/>
  <c r="AF98" i="10"/>
  <c r="AE98" i="10"/>
  <c r="AD98" i="10"/>
  <c r="AC98" i="10"/>
  <c r="AB98" i="10"/>
  <c r="AA98" i="10"/>
  <c r="AG97" i="10"/>
  <c r="AF97" i="10"/>
  <c r="AE97" i="10"/>
  <c r="AD97" i="10"/>
  <c r="AC97" i="10"/>
  <c r="AB97" i="10"/>
  <c r="AA97" i="10"/>
  <c r="AG96" i="10"/>
  <c r="AF96" i="10"/>
  <c r="AE96" i="10"/>
  <c r="AD96" i="10"/>
  <c r="AC96" i="10"/>
  <c r="AB96" i="10"/>
  <c r="AA96" i="10"/>
  <c r="AG95" i="10"/>
  <c r="AF95" i="10"/>
  <c r="AE95" i="10"/>
  <c r="AC95" i="10"/>
  <c r="AB95" i="10"/>
  <c r="AA95" i="10"/>
  <c r="Q95" i="10"/>
  <c r="AD95" i="10" s="1"/>
  <c r="AG94" i="10"/>
  <c r="AF94" i="10"/>
  <c r="AE94" i="10"/>
  <c r="AD94" i="10"/>
  <c r="AC94" i="10"/>
  <c r="AB94" i="10"/>
  <c r="AA94" i="10"/>
  <c r="AG93" i="10"/>
  <c r="AF93" i="10"/>
  <c r="AE93" i="10"/>
  <c r="AD93" i="10"/>
  <c r="AC93" i="10"/>
  <c r="AB93" i="10"/>
  <c r="AA93" i="10"/>
  <c r="AG92" i="10"/>
  <c r="AF92" i="10"/>
  <c r="AE92" i="10"/>
  <c r="AC92" i="10"/>
  <c r="AB92" i="10"/>
  <c r="AA92" i="10"/>
  <c r="Q92" i="10"/>
  <c r="AD92" i="10" s="1"/>
  <c r="AG91" i="10"/>
  <c r="AF91" i="10"/>
  <c r="AE91" i="10"/>
  <c r="AD91" i="10"/>
  <c r="AC91" i="10"/>
  <c r="AB91" i="10"/>
  <c r="AA91" i="10"/>
  <c r="AG90" i="10"/>
  <c r="AF90" i="10"/>
  <c r="AE90" i="10"/>
  <c r="AD90" i="10"/>
  <c r="AC90" i="10"/>
  <c r="AB90" i="10"/>
  <c r="AA90" i="10"/>
  <c r="AG89" i="10"/>
  <c r="AF89" i="10"/>
  <c r="AE89" i="10"/>
  <c r="AD89" i="10"/>
  <c r="AC89" i="10"/>
  <c r="AB89" i="10"/>
  <c r="AA89" i="10"/>
  <c r="AG88" i="10"/>
  <c r="AF88" i="10"/>
  <c r="AE88" i="10"/>
  <c r="AD88" i="10"/>
  <c r="AC88" i="10"/>
  <c r="AB88" i="10"/>
  <c r="AA88" i="10"/>
  <c r="AG87" i="10"/>
  <c r="AF87" i="10"/>
  <c r="AE87" i="10"/>
  <c r="AD87" i="10"/>
  <c r="AC87" i="10"/>
  <c r="AB87" i="10"/>
  <c r="AA87" i="10"/>
  <c r="AG86" i="10"/>
  <c r="AF86" i="10"/>
  <c r="AE86" i="10"/>
  <c r="AD86" i="10"/>
  <c r="AC86" i="10"/>
  <c r="AB86" i="10"/>
  <c r="AA86" i="10"/>
  <c r="AG85" i="10"/>
  <c r="AF85" i="10"/>
  <c r="AE85" i="10"/>
  <c r="AD85" i="10"/>
  <c r="AC85" i="10"/>
  <c r="AB85" i="10"/>
  <c r="AA85" i="10"/>
  <c r="AG84" i="10"/>
  <c r="AF84" i="10"/>
  <c r="AE84" i="10"/>
  <c r="AD84" i="10"/>
  <c r="AC84" i="10"/>
  <c r="AB84" i="10"/>
  <c r="AA84" i="10"/>
  <c r="AG83" i="10"/>
  <c r="AF83" i="10"/>
  <c r="AE83" i="10"/>
  <c r="AD83" i="10"/>
  <c r="AC83" i="10"/>
  <c r="AB83" i="10"/>
  <c r="AA83" i="10"/>
  <c r="AG82" i="10"/>
  <c r="AF82" i="10"/>
  <c r="AE82" i="10"/>
  <c r="AD82" i="10"/>
  <c r="AC82" i="10"/>
  <c r="AB82" i="10"/>
  <c r="AA82" i="10"/>
  <c r="AG81" i="10"/>
  <c r="AF81" i="10"/>
  <c r="AE81" i="10"/>
  <c r="AD81" i="10"/>
  <c r="AC81" i="10"/>
  <c r="AB81" i="10"/>
  <c r="AA81" i="10"/>
  <c r="AG80" i="10"/>
  <c r="AF80" i="10"/>
  <c r="AE80" i="10"/>
  <c r="AD80" i="10"/>
  <c r="AC80" i="10"/>
  <c r="AB80" i="10"/>
  <c r="AA80" i="10"/>
  <c r="AG79" i="10"/>
  <c r="AF79" i="10"/>
  <c r="AE79" i="10"/>
  <c r="AD79" i="10"/>
  <c r="AC79" i="10"/>
  <c r="AB79" i="10"/>
  <c r="AA79" i="10"/>
  <c r="AG78" i="10"/>
  <c r="AF78" i="10"/>
  <c r="AE78" i="10"/>
  <c r="AD78" i="10"/>
  <c r="AC78" i="10"/>
  <c r="AB78" i="10"/>
  <c r="AA78" i="10"/>
  <c r="AG77" i="10"/>
  <c r="AF77" i="10"/>
  <c r="AE77" i="10"/>
  <c r="AD77" i="10"/>
  <c r="AC77" i="10"/>
  <c r="AB77" i="10"/>
  <c r="AA77" i="10"/>
  <c r="AG76" i="10"/>
  <c r="AF76" i="10"/>
  <c r="AE76" i="10"/>
  <c r="AD76" i="10"/>
  <c r="AC76" i="10"/>
  <c r="AB76" i="10"/>
  <c r="AA76" i="10"/>
  <c r="AG75" i="10"/>
  <c r="AF75" i="10"/>
  <c r="AE75" i="10"/>
  <c r="AD75" i="10"/>
  <c r="AC75" i="10"/>
  <c r="AB75" i="10"/>
  <c r="AA75" i="10"/>
  <c r="AG74" i="10"/>
  <c r="AF74" i="10"/>
  <c r="AE74" i="10"/>
  <c r="AD74" i="10"/>
  <c r="AC74" i="10"/>
  <c r="AB74" i="10"/>
  <c r="AA74" i="10"/>
  <c r="AG73" i="10"/>
  <c r="AF73" i="10"/>
  <c r="AE73" i="10"/>
  <c r="AD73" i="10"/>
  <c r="AC73" i="10"/>
  <c r="AB73" i="10"/>
  <c r="AA73" i="10"/>
  <c r="AG72" i="10"/>
  <c r="AF72" i="10"/>
  <c r="AE72" i="10"/>
  <c r="AD72" i="10"/>
  <c r="AC72" i="10"/>
  <c r="AB72" i="10"/>
  <c r="AA72" i="10"/>
  <c r="AG71" i="10"/>
  <c r="AF71" i="10"/>
  <c r="AE71" i="10"/>
  <c r="AD71" i="10"/>
  <c r="AC71" i="10"/>
  <c r="AB71" i="10"/>
  <c r="AA71" i="10"/>
  <c r="AG70" i="10"/>
  <c r="AF70" i="10"/>
  <c r="AE70" i="10"/>
  <c r="AD70" i="10"/>
  <c r="AC70" i="10"/>
  <c r="AB70" i="10"/>
  <c r="AA70" i="10"/>
  <c r="AG69" i="10"/>
  <c r="AF69" i="10"/>
  <c r="AE69" i="10"/>
  <c r="AD69" i="10"/>
  <c r="AC69" i="10"/>
  <c r="AB69" i="10"/>
  <c r="AA69" i="10"/>
  <c r="AG68" i="10"/>
  <c r="AF68" i="10"/>
  <c r="AE68" i="10"/>
  <c r="AD68" i="10"/>
  <c r="AC68" i="10"/>
  <c r="AB68" i="10"/>
  <c r="AA68" i="10"/>
  <c r="AG67" i="10"/>
  <c r="AF67" i="10"/>
  <c r="AE67" i="10"/>
  <c r="AD67" i="10"/>
  <c r="AC67" i="10"/>
  <c r="AB67" i="10"/>
  <c r="AA67" i="10"/>
  <c r="AG66" i="10"/>
  <c r="AF66" i="10"/>
  <c r="AE66" i="10"/>
  <c r="AC66" i="10"/>
  <c r="AB66" i="10"/>
  <c r="AA66" i="10"/>
  <c r="Q66" i="10"/>
  <c r="AD66" i="10" s="1"/>
  <c r="AG65" i="10"/>
  <c r="AF65" i="10"/>
  <c r="AE65" i="10"/>
  <c r="AD65" i="10"/>
  <c r="AC65" i="10"/>
  <c r="AB65" i="10"/>
  <c r="AA65" i="10"/>
  <c r="AG64" i="10"/>
  <c r="AF64" i="10"/>
  <c r="AE64" i="10"/>
  <c r="AD64" i="10"/>
  <c r="AC64" i="10"/>
  <c r="AB64" i="10"/>
  <c r="AA64" i="10"/>
  <c r="AG63" i="10"/>
  <c r="AF63" i="10"/>
  <c r="AE63" i="10"/>
  <c r="AD63" i="10"/>
  <c r="AC63" i="10"/>
  <c r="AB63" i="10"/>
  <c r="AA63" i="10"/>
  <c r="AG62" i="10"/>
  <c r="AF62" i="10"/>
  <c r="AE62" i="10"/>
  <c r="AD62" i="10"/>
  <c r="AC62" i="10"/>
  <c r="AB62" i="10"/>
  <c r="AA62" i="10"/>
  <c r="AG61" i="10"/>
  <c r="AF61" i="10"/>
  <c r="AE61" i="10"/>
  <c r="AD61" i="10"/>
  <c r="AC61" i="10"/>
  <c r="AB61" i="10"/>
  <c r="AA61" i="10"/>
  <c r="AG60" i="10"/>
  <c r="AF60" i="10"/>
  <c r="AE60" i="10"/>
  <c r="AD60" i="10"/>
  <c r="AC60" i="10"/>
  <c r="AB60" i="10"/>
  <c r="AA60" i="10"/>
  <c r="AG59" i="10"/>
  <c r="AF59" i="10"/>
  <c r="AE59" i="10"/>
  <c r="AD59" i="10"/>
  <c r="AC59" i="10"/>
  <c r="AB59" i="10"/>
  <c r="AA59" i="10"/>
  <c r="AG58" i="10"/>
  <c r="AF58" i="10"/>
  <c r="AE58" i="10"/>
  <c r="AD58" i="10"/>
  <c r="AC58" i="10"/>
  <c r="AB58" i="10"/>
  <c r="AA58" i="10"/>
  <c r="AG57" i="10"/>
  <c r="AF57" i="10"/>
  <c r="AE57" i="10"/>
  <c r="AD57" i="10"/>
  <c r="AC57" i="10"/>
  <c r="AB57" i="10"/>
  <c r="AA57" i="10"/>
  <c r="AG56" i="10"/>
  <c r="AF56" i="10"/>
  <c r="AE56" i="10"/>
  <c r="AD56" i="10"/>
  <c r="AC56" i="10"/>
  <c r="AB56" i="10"/>
  <c r="AA56" i="10"/>
  <c r="AG55" i="10"/>
  <c r="AF55" i="10"/>
  <c r="AE55" i="10"/>
  <c r="AD55" i="10"/>
  <c r="AC55" i="10"/>
  <c r="AB55" i="10"/>
  <c r="AA55" i="10"/>
  <c r="AG54" i="10"/>
  <c r="AF54" i="10"/>
  <c r="AE54" i="10"/>
  <c r="AD54" i="10"/>
  <c r="AC54" i="10"/>
  <c r="AB54" i="10"/>
  <c r="AA54" i="10"/>
  <c r="AG53" i="10"/>
  <c r="AF53" i="10"/>
  <c r="AE53" i="10"/>
  <c r="AD53" i="10"/>
  <c r="AC53" i="10"/>
  <c r="AB53" i="10"/>
  <c r="AA53" i="10"/>
  <c r="AG52" i="10"/>
  <c r="AF52" i="10"/>
  <c r="AE52" i="10"/>
  <c r="AD52" i="10"/>
  <c r="AC52" i="10"/>
  <c r="AB52" i="10"/>
  <c r="AA52" i="10"/>
  <c r="AG51" i="10"/>
  <c r="AF51" i="10"/>
  <c r="AE51" i="10"/>
  <c r="AD51" i="10"/>
  <c r="AC51" i="10"/>
  <c r="AB51" i="10"/>
  <c r="AA51" i="10"/>
  <c r="AG50" i="10"/>
  <c r="AF50" i="10"/>
  <c r="AE50" i="10"/>
  <c r="AD50" i="10"/>
  <c r="AC50" i="10"/>
  <c r="AB50" i="10"/>
  <c r="AA50" i="10"/>
  <c r="AG49" i="10"/>
  <c r="AF49" i="10"/>
  <c r="AE49" i="10"/>
  <c r="AD49" i="10"/>
  <c r="AC49" i="10"/>
  <c r="AB49" i="10"/>
  <c r="AA49" i="10"/>
  <c r="AG48" i="10"/>
  <c r="AF48" i="10"/>
  <c r="AE48" i="10"/>
  <c r="AD48" i="10"/>
  <c r="AC48" i="10"/>
  <c r="AB48" i="10"/>
  <c r="AA48" i="10"/>
  <c r="AG47" i="10"/>
  <c r="AF47" i="10"/>
  <c r="AE47" i="10"/>
  <c r="AD47" i="10"/>
  <c r="AC47" i="10"/>
  <c r="AB47" i="10"/>
  <c r="AA47" i="10"/>
  <c r="AG46" i="10"/>
  <c r="AF46" i="10"/>
  <c r="AE46" i="10"/>
  <c r="AD46" i="10"/>
  <c r="AC46" i="10"/>
  <c r="AB46" i="10"/>
  <c r="AA46" i="10"/>
  <c r="AG45" i="10"/>
  <c r="AF45" i="10"/>
  <c r="AE45" i="10"/>
  <c r="AD45" i="10"/>
  <c r="AC45" i="10"/>
  <c r="AB45" i="10"/>
  <c r="AA45" i="10"/>
  <c r="AG44" i="10"/>
  <c r="AF44" i="10"/>
  <c r="AE44" i="10"/>
  <c r="AD44" i="10"/>
  <c r="AC44" i="10"/>
  <c r="AB44" i="10"/>
  <c r="AA44" i="10"/>
  <c r="AG43" i="10"/>
  <c r="AF43" i="10"/>
  <c r="AE43" i="10"/>
  <c r="AD43" i="10"/>
  <c r="AC43" i="10"/>
  <c r="AB43" i="10"/>
  <c r="AA43" i="10"/>
  <c r="AG42" i="10"/>
  <c r="AF42" i="10"/>
  <c r="AE42" i="10"/>
  <c r="AD42" i="10"/>
  <c r="AC42" i="10"/>
  <c r="AB42" i="10"/>
  <c r="AA42" i="10"/>
  <c r="AG41" i="10"/>
  <c r="AF41" i="10"/>
  <c r="AE41" i="10"/>
  <c r="AC41" i="10"/>
  <c r="AB41" i="10"/>
  <c r="AA41" i="10"/>
  <c r="Q41" i="10"/>
  <c r="AD41" i="10" s="1"/>
  <c r="AG40" i="10"/>
  <c r="AF40" i="10"/>
  <c r="AE40" i="10"/>
  <c r="AD40" i="10"/>
  <c r="AC40" i="10"/>
  <c r="AB40" i="10"/>
  <c r="AA40" i="10"/>
  <c r="AG39" i="10"/>
  <c r="AF39" i="10"/>
  <c r="AE39" i="10"/>
  <c r="AD39" i="10"/>
  <c r="AC39" i="10"/>
  <c r="AB39" i="10"/>
  <c r="AA39" i="10"/>
  <c r="AG38" i="10"/>
  <c r="AF38" i="10"/>
  <c r="AE38" i="10"/>
  <c r="AC38" i="10"/>
  <c r="AB38" i="10"/>
  <c r="AA38" i="10"/>
  <c r="Q38" i="10"/>
  <c r="AD38" i="10" s="1"/>
  <c r="AG37" i="10"/>
  <c r="AF37" i="10"/>
  <c r="AE37" i="10"/>
  <c r="AD37" i="10"/>
  <c r="AC37" i="10"/>
  <c r="AB37" i="10"/>
  <c r="AA37" i="10"/>
  <c r="AG36" i="10"/>
  <c r="AF36" i="10"/>
  <c r="AE36" i="10"/>
  <c r="AD36" i="10"/>
  <c r="AC36" i="10"/>
  <c r="AB36" i="10"/>
  <c r="AA36" i="10"/>
  <c r="AG35" i="10"/>
  <c r="AF35" i="10"/>
  <c r="AE35" i="10"/>
  <c r="AC35" i="10"/>
  <c r="AB35" i="10"/>
  <c r="AA35" i="10"/>
  <c r="Q35" i="10"/>
  <c r="AD35" i="10" s="1"/>
  <c r="AG34" i="10"/>
  <c r="AF34" i="10"/>
  <c r="AE34" i="10"/>
  <c r="AD34" i="10"/>
  <c r="AC34" i="10"/>
  <c r="AB34" i="10"/>
  <c r="AA34" i="10"/>
  <c r="AG33" i="10"/>
  <c r="AF33" i="10"/>
  <c r="AE33" i="10"/>
  <c r="AD33" i="10"/>
  <c r="AC33" i="10"/>
  <c r="AB33" i="10"/>
  <c r="AA33" i="10"/>
  <c r="AG32" i="10"/>
  <c r="AF32" i="10"/>
  <c r="AE32" i="10"/>
  <c r="AD32" i="10"/>
  <c r="AC32" i="10"/>
  <c r="AB32" i="10"/>
  <c r="AA32" i="10"/>
  <c r="AG31" i="10"/>
  <c r="AF31" i="10"/>
  <c r="AE31" i="10"/>
  <c r="AD31" i="10"/>
  <c r="AC31" i="10"/>
  <c r="AB31" i="10"/>
  <c r="AA31" i="10"/>
  <c r="AG30" i="10"/>
  <c r="AF30" i="10"/>
  <c r="AE30" i="10"/>
  <c r="AD30" i="10"/>
  <c r="AC30" i="10"/>
  <c r="AB30" i="10"/>
  <c r="AA30" i="10"/>
  <c r="AG29" i="10"/>
  <c r="AF29" i="10"/>
  <c r="AE29" i="10"/>
  <c r="AD29" i="10"/>
  <c r="AC29" i="10"/>
  <c r="AB29" i="10"/>
  <c r="AA29" i="10"/>
  <c r="AG28" i="10"/>
  <c r="AF28" i="10"/>
  <c r="AE28" i="10"/>
  <c r="AD28" i="10"/>
  <c r="AC28" i="10"/>
  <c r="AB28" i="10"/>
  <c r="AA28" i="10"/>
  <c r="AG27" i="10"/>
  <c r="AF27" i="10"/>
  <c r="AE27" i="10"/>
  <c r="AD27" i="10"/>
  <c r="AC27" i="10"/>
  <c r="AB27" i="10"/>
  <c r="AA27" i="10"/>
  <c r="AG26" i="10"/>
  <c r="AF26" i="10"/>
  <c r="AE26" i="10"/>
  <c r="AD26" i="10"/>
  <c r="AC26" i="10"/>
  <c r="AB26" i="10"/>
  <c r="AA26" i="10"/>
  <c r="AG25" i="10"/>
  <c r="AF25" i="10"/>
  <c r="AE25" i="10"/>
  <c r="AD25" i="10"/>
  <c r="AC25" i="10"/>
  <c r="AB25" i="10"/>
  <c r="AA25" i="10"/>
  <c r="AG24" i="10"/>
  <c r="AF24" i="10"/>
  <c r="AE24" i="10"/>
  <c r="AD24" i="10"/>
  <c r="AC24" i="10"/>
  <c r="AB24" i="10"/>
  <c r="AA24" i="10"/>
  <c r="AG23" i="10"/>
  <c r="AF23" i="10"/>
  <c r="AE23" i="10"/>
  <c r="AD23" i="10"/>
  <c r="AC23" i="10"/>
  <c r="AB23" i="10"/>
  <c r="AA23" i="10"/>
  <c r="AG22" i="10"/>
  <c r="AF22" i="10"/>
  <c r="AE22" i="10"/>
  <c r="AD22" i="10"/>
  <c r="AC22" i="10"/>
  <c r="AB22" i="10"/>
  <c r="AA22" i="10"/>
  <c r="AG21" i="10"/>
  <c r="AF21" i="10"/>
  <c r="AE21" i="10"/>
  <c r="AD21" i="10"/>
  <c r="AC21" i="10"/>
  <c r="AB21" i="10"/>
  <c r="AA21" i="10"/>
  <c r="AG20" i="10"/>
  <c r="AF20" i="10"/>
  <c r="AE20" i="10"/>
  <c r="AD20" i="10"/>
  <c r="AC20" i="10"/>
  <c r="AB20" i="10"/>
  <c r="AA20" i="10"/>
  <c r="AG19" i="10"/>
  <c r="AF19" i="10"/>
  <c r="AE19" i="10"/>
  <c r="AD19" i="10"/>
  <c r="AC19" i="10"/>
  <c r="AB19" i="10"/>
  <c r="AA19" i="10"/>
  <c r="AG18" i="10"/>
  <c r="AF18" i="10"/>
  <c r="AE18" i="10"/>
  <c r="AD18" i="10"/>
  <c r="AC18" i="10"/>
  <c r="AB18" i="10"/>
  <c r="AA18" i="10"/>
  <c r="AG17" i="10"/>
  <c r="AF17" i="10"/>
  <c r="AE17" i="10"/>
  <c r="AD17" i="10"/>
  <c r="AC17" i="10"/>
  <c r="AB17" i="10"/>
  <c r="AA17" i="10"/>
  <c r="AG16" i="10"/>
  <c r="AF16" i="10"/>
  <c r="AE16" i="10"/>
  <c r="AD16" i="10"/>
  <c r="AC16" i="10"/>
  <c r="AB16" i="10"/>
  <c r="AA16" i="10"/>
  <c r="AG15" i="10"/>
  <c r="AF15" i="10"/>
  <c r="AE15" i="10"/>
  <c r="AD15" i="10"/>
  <c r="AC15" i="10"/>
  <c r="AB15" i="10"/>
  <c r="AA15" i="10"/>
  <c r="AG14" i="10"/>
  <c r="AF14" i="10"/>
  <c r="AE14" i="10"/>
  <c r="AD14" i="10"/>
  <c r="AC14" i="10"/>
  <c r="AB14" i="10"/>
  <c r="AA14" i="10"/>
  <c r="AG13" i="10"/>
  <c r="AF13" i="10"/>
  <c r="AE13" i="10"/>
  <c r="AD13" i="10"/>
  <c r="AC13" i="10"/>
  <c r="AB13" i="10"/>
  <c r="AA13" i="10"/>
  <c r="AG12" i="10"/>
  <c r="AF12" i="10"/>
  <c r="AE12" i="10"/>
  <c r="AD12" i="10"/>
  <c r="AC12" i="10"/>
  <c r="AB12" i="10"/>
  <c r="AA12" i="10"/>
  <c r="AG11" i="10"/>
  <c r="AF11" i="10"/>
  <c r="AE11" i="10"/>
  <c r="AC11" i="10"/>
  <c r="AB11" i="10"/>
  <c r="AA11" i="10"/>
  <c r="Q11" i="10"/>
  <c r="AD11" i="10" s="1"/>
  <c r="AG10" i="10"/>
  <c r="AF10" i="10"/>
  <c r="AE10" i="10"/>
  <c r="AD10" i="10"/>
  <c r="AC10" i="10"/>
  <c r="AB10" i="10"/>
  <c r="AA10" i="10"/>
  <c r="AG9" i="10"/>
  <c r="AF9" i="10"/>
  <c r="AE9" i="10"/>
  <c r="AD9" i="10"/>
  <c r="AC9" i="10"/>
  <c r="AB9" i="10"/>
  <c r="AA9" i="10"/>
  <c r="AG8" i="10"/>
  <c r="AF8" i="10"/>
  <c r="AE8" i="10"/>
  <c r="AC8" i="10"/>
  <c r="AB8" i="10"/>
  <c r="AA8" i="10"/>
  <c r="Q8" i="10"/>
  <c r="AD8" i="10" s="1"/>
  <c r="AG7" i="10"/>
  <c r="AF7" i="10"/>
  <c r="AE7" i="10"/>
  <c r="AD7" i="10"/>
  <c r="AC7" i="10"/>
  <c r="AB7" i="10"/>
  <c r="AA7" i="10"/>
  <c r="AG6" i="10"/>
  <c r="AF6" i="10"/>
  <c r="AE6" i="10"/>
  <c r="AD6" i="10"/>
  <c r="AC6" i="10"/>
  <c r="AB6" i="10"/>
  <c r="AA6" i="10"/>
  <c r="AG5" i="10"/>
  <c r="AF5" i="10"/>
  <c r="AE5" i="10"/>
  <c r="AC5" i="10"/>
  <c r="AB5" i="10"/>
  <c r="AA5" i="10"/>
  <c r="Q5" i="10"/>
  <c r="AD5" i="10" s="1"/>
  <c r="AG4" i="10"/>
  <c r="AF4" i="10"/>
  <c r="AE4" i="10"/>
  <c r="AD4" i="10"/>
  <c r="AC4" i="10"/>
  <c r="AB4" i="10"/>
  <c r="AA4" i="10"/>
  <c r="AG3" i="10"/>
  <c r="AF3" i="10"/>
  <c r="AE3" i="10"/>
  <c r="AD3" i="10"/>
  <c r="AC3" i="10"/>
  <c r="AB3" i="10"/>
  <c r="AA3" i="10"/>
  <c r="AG2" i="10"/>
  <c r="AF2" i="10"/>
  <c r="AE2" i="10"/>
  <c r="AD2" i="10"/>
  <c r="AC2" i="10"/>
  <c r="AB2" i="10"/>
  <c r="AA2" i="10"/>
  <c r="T195" i="10" l="1"/>
  <c r="AE195" i="10" s="1"/>
  <c r="AC194" i="10"/>
  <c r="U195" i="10"/>
  <c r="AC195" i="10" s="1"/>
  <c r="W195" i="10"/>
  <c r="W196" i="10" s="1"/>
  <c r="AF194" i="10"/>
  <c r="X195" i="10"/>
  <c r="X196" i="10" s="1"/>
  <c r="AG194" i="10"/>
  <c r="Y195" i="10"/>
  <c r="R195" i="10"/>
  <c r="AB195" i="10" s="1"/>
  <c r="Z195" i="10"/>
  <c r="Z196" i="10" s="1"/>
  <c r="V195" i="10"/>
  <c r="V196" i="10" s="1"/>
  <c r="S195" i="10"/>
  <c r="AD195" i="10" s="1"/>
  <c r="AG195" i="10" l="1"/>
  <c r="S196" i="10"/>
  <c r="AD196" i="10" s="1"/>
  <c r="U196" i="10"/>
  <c r="AC196" i="10" s="1"/>
  <c r="Y196" i="10"/>
  <c r="AG196" i="10" s="1"/>
  <c r="T196" i="10"/>
  <c r="AE196" i="10" s="1"/>
  <c r="AF195" i="10"/>
  <c r="AF196" i="10"/>
  <c r="R196" i="10"/>
  <c r="AB196" i="10" s="1"/>
  <c r="H80" i="9"/>
  <c r="H81" i="9"/>
  <c r="H82" i="9"/>
  <c r="H83" i="9"/>
  <c r="H84" i="9"/>
  <c r="H85" i="9"/>
  <c r="H86" i="9"/>
  <c r="H87" i="9"/>
  <c r="H88" i="9"/>
  <c r="H89" i="9"/>
  <c r="H90" i="9"/>
  <c r="H79" i="9"/>
  <c r="H62" i="9"/>
  <c r="H63" i="9"/>
  <c r="H64" i="9"/>
  <c r="H65" i="9"/>
  <c r="H66" i="9"/>
  <c r="H67" i="9"/>
  <c r="H68" i="9"/>
  <c r="H69" i="9"/>
  <c r="H70" i="9"/>
  <c r="H71" i="9"/>
  <c r="H72" i="9"/>
  <c r="H73" i="9"/>
  <c r="F42" i="9"/>
  <c r="F43" i="9"/>
  <c r="F44" i="9"/>
  <c r="F45" i="9"/>
  <c r="F46" i="9"/>
  <c r="F47" i="9"/>
  <c r="F48" i="9"/>
  <c r="F49" i="9"/>
  <c r="F50" i="9"/>
  <c r="F51" i="9"/>
  <c r="F52" i="9"/>
  <c r="F41" i="9"/>
  <c r="AG373" i="8"/>
  <c r="AF373" i="8"/>
  <c r="AE373" i="8"/>
  <c r="AD373" i="8"/>
  <c r="AC373" i="8"/>
  <c r="AB373" i="8"/>
  <c r="AA373" i="8"/>
  <c r="AG372" i="8"/>
  <c r="AF372" i="8"/>
  <c r="AE372" i="8"/>
  <c r="AD372" i="8"/>
  <c r="AC372" i="8"/>
  <c r="AB372" i="8"/>
  <c r="AA372" i="8"/>
  <c r="AG371" i="8"/>
  <c r="AF371" i="8"/>
  <c r="AE371" i="8"/>
  <c r="AC371" i="8"/>
  <c r="AB371" i="8"/>
  <c r="AA371" i="8"/>
  <c r="Q371" i="8"/>
  <c r="AD371" i="8" s="1"/>
  <c r="AG370" i="8"/>
  <c r="AF370" i="8"/>
  <c r="AE370" i="8"/>
  <c r="AD370" i="8"/>
  <c r="AC370" i="8"/>
  <c r="AB370" i="8"/>
  <c r="AA370" i="8"/>
  <c r="AG369" i="8"/>
  <c r="AF369" i="8"/>
  <c r="AE369" i="8"/>
  <c r="AD369" i="8"/>
  <c r="AC369" i="8"/>
  <c r="AB369" i="8"/>
  <c r="AA369" i="8"/>
  <c r="AG368" i="8"/>
  <c r="AF368" i="8"/>
  <c r="AE368" i="8"/>
  <c r="AC368" i="8"/>
  <c r="AB368" i="8"/>
  <c r="AA368" i="8"/>
  <c r="Q368" i="8"/>
  <c r="AD368" i="8" s="1"/>
  <c r="AG367" i="8"/>
  <c r="AF367" i="8"/>
  <c r="AE367" i="8"/>
  <c r="AD367" i="8"/>
  <c r="AC367" i="8"/>
  <c r="AB367" i="8"/>
  <c r="AA367" i="8"/>
  <c r="AG366" i="8"/>
  <c r="AF366" i="8"/>
  <c r="AE366" i="8"/>
  <c r="AD366" i="8"/>
  <c r="AC366" i="8"/>
  <c r="AB366" i="8"/>
  <c r="AA366" i="8"/>
  <c r="AG365" i="8"/>
  <c r="AF365" i="8"/>
  <c r="AE365" i="8"/>
  <c r="AC365" i="8"/>
  <c r="AB365" i="8"/>
  <c r="AA365" i="8"/>
  <c r="Q365" i="8"/>
  <c r="AD365" i="8" s="1"/>
  <c r="AG364" i="8"/>
  <c r="AF364" i="8"/>
  <c r="AE364" i="8"/>
  <c r="AC364" i="8"/>
  <c r="AB364" i="8"/>
  <c r="AA364" i="8"/>
  <c r="Q364" i="8"/>
  <c r="AD364" i="8" s="1"/>
  <c r="AG363" i="8"/>
  <c r="AF363" i="8"/>
  <c r="AE363" i="8"/>
  <c r="AD363" i="8"/>
  <c r="AC363" i="8"/>
  <c r="AB363" i="8"/>
  <c r="AA363" i="8"/>
  <c r="AG362" i="8"/>
  <c r="AF362" i="8"/>
  <c r="AE362" i="8"/>
  <c r="AD362" i="8"/>
  <c r="AC362" i="8"/>
  <c r="AB362" i="8"/>
  <c r="AA362" i="8"/>
  <c r="AG361" i="8"/>
  <c r="AF361" i="8"/>
  <c r="AE361" i="8"/>
  <c r="AC361" i="8"/>
  <c r="AB361" i="8"/>
  <c r="AA361" i="8"/>
  <c r="Q361" i="8"/>
  <c r="AD361" i="8" s="1"/>
  <c r="AG360" i="8"/>
  <c r="AF360" i="8"/>
  <c r="AE360" i="8"/>
  <c r="AD360" i="8"/>
  <c r="AC360" i="8"/>
  <c r="AB360" i="8"/>
  <c r="AA360" i="8"/>
  <c r="AG359" i="8"/>
  <c r="AF359" i="8"/>
  <c r="AE359" i="8"/>
  <c r="AD359" i="8"/>
  <c r="AC359" i="8"/>
  <c r="AB359" i="8"/>
  <c r="AA359" i="8"/>
  <c r="AG358" i="8"/>
  <c r="AF358" i="8"/>
  <c r="AE358" i="8"/>
  <c r="AD358" i="8"/>
  <c r="AC358" i="8"/>
  <c r="AB358" i="8"/>
  <c r="AA358" i="8"/>
  <c r="Q358" i="8"/>
  <c r="AG357" i="8"/>
  <c r="AF357" i="8"/>
  <c r="AE357" i="8"/>
  <c r="AD357" i="8"/>
  <c r="AC357" i="8"/>
  <c r="AB357" i="8"/>
  <c r="AA357" i="8"/>
  <c r="AG356" i="8"/>
  <c r="AF356" i="8"/>
  <c r="AE356" i="8"/>
  <c r="AD356" i="8"/>
  <c r="AC356" i="8"/>
  <c r="AB356" i="8"/>
  <c r="AA356" i="8"/>
  <c r="AG355" i="8"/>
  <c r="AF355" i="8"/>
  <c r="AE355" i="8"/>
  <c r="AD355" i="8"/>
  <c r="AC355" i="8"/>
  <c r="AB355" i="8"/>
  <c r="AA355" i="8"/>
  <c r="AG354" i="8"/>
  <c r="AF354" i="8"/>
  <c r="AE354" i="8"/>
  <c r="AD354" i="8"/>
  <c r="AC354" i="8"/>
  <c r="AB354" i="8"/>
  <c r="AA354" i="8"/>
  <c r="AG353" i="8"/>
  <c r="AF353" i="8"/>
  <c r="AE353" i="8"/>
  <c r="AD353" i="8"/>
  <c r="AC353" i="8"/>
  <c r="AB353" i="8"/>
  <c r="AA353" i="8"/>
  <c r="AG352" i="8"/>
  <c r="AF352" i="8"/>
  <c r="AE352" i="8"/>
  <c r="AD352" i="8"/>
  <c r="AC352" i="8"/>
  <c r="AB352" i="8"/>
  <c r="AA352" i="8"/>
  <c r="AG351" i="8"/>
  <c r="AF351" i="8"/>
  <c r="AE351" i="8"/>
  <c r="AD351" i="8"/>
  <c r="AC351" i="8"/>
  <c r="AB351" i="8"/>
  <c r="AA351" i="8"/>
  <c r="AG350" i="8"/>
  <c r="AF350" i="8"/>
  <c r="AE350" i="8"/>
  <c r="AD350" i="8"/>
  <c r="AC350" i="8"/>
  <c r="AB350" i="8"/>
  <c r="AA350" i="8"/>
  <c r="AG349" i="8"/>
  <c r="AF349" i="8"/>
  <c r="AE349" i="8"/>
  <c r="AD349" i="8"/>
  <c r="AC349" i="8"/>
  <c r="AB349" i="8"/>
  <c r="AA349" i="8"/>
  <c r="AG348" i="8"/>
  <c r="AF348" i="8"/>
  <c r="AE348" i="8"/>
  <c r="AD348" i="8"/>
  <c r="AC348" i="8"/>
  <c r="AB348" i="8"/>
  <c r="AA348" i="8"/>
  <c r="AG347" i="8"/>
  <c r="AF347" i="8"/>
  <c r="AE347" i="8"/>
  <c r="AC347" i="8"/>
  <c r="AB347" i="8"/>
  <c r="AA347" i="8"/>
  <c r="Q347" i="8"/>
  <c r="AD347" i="8" s="1"/>
  <c r="AG346" i="8"/>
  <c r="AF346" i="8"/>
  <c r="AE346" i="8"/>
  <c r="AD346" i="8"/>
  <c r="AC346" i="8"/>
  <c r="AB346" i="8"/>
  <c r="AA346" i="8"/>
  <c r="AG345" i="8"/>
  <c r="AF345" i="8"/>
  <c r="AE345" i="8"/>
  <c r="AD345" i="8"/>
  <c r="AC345" i="8"/>
  <c r="AB345" i="8"/>
  <c r="AA345" i="8"/>
  <c r="AG344" i="8"/>
  <c r="AF344" i="8"/>
  <c r="AE344" i="8"/>
  <c r="AC344" i="8"/>
  <c r="AB344" i="8"/>
  <c r="AA344" i="8"/>
  <c r="Q344" i="8"/>
  <c r="AD344" i="8" s="1"/>
  <c r="AG343" i="8"/>
  <c r="AF343" i="8"/>
  <c r="AE343" i="8"/>
  <c r="AD343" i="8"/>
  <c r="AC343" i="8"/>
  <c r="AB343" i="8"/>
  <c r="AA343" i="8"/>
  <c r="AG342" i="8"/>
  <c r="AF342" i="8"/>
  <c r="AE342" i="8"/>
  <c r="AD342" i="8"/>
  <c r="AC342" i="8"/>
  <c r="AB342" i="8"/>
  <c r="AA342" i="8"/>
  <c r="AG341" i="8"/>
  <c r="AF341" i="8"/>
  <c r="AE341" i="8"/>
  <c r="AC341" i="8"/>
  <c r="AB341" i="8"/>
  <c r="AA341" i="8"/>
  <c r="Q341" i="8"/>
  <c r="AD341" i="8" s="1"/>
  <c r="AG340" i="8"/>
  <c r="AF340" i="8"/>
  <c r="AE340" i="8"/>
  <c r="AD340" i="8"/>
  <c r="AC340" i="8"/>
  <c r="AB340" i="8"/>
  <c r="AA340" i="8"/>
  <c r="AG339" i="8"/>
  <c r="AF339" i="8"/>
  <c r="AE339" i="8"/>
  <c r="AD339" i="8"/>
  <c r="AC339" i="8"/>
  <c r="AB339" i="8"/>
  <c r="AA339" i="8"/>
  <c r="AG338" i="8"/>
  <c r="AF338" i="8"/>
  <c r="AE338" i="8"/>
  <c r="AC338" i="8"/>
  <c r="AB338" i="8"/>
  <c r="AA338" i="8"/>
  <c r="Q338" i="8"/>
  <c r="AD338" i="8" s="1"/>
  <c r="AG337" i="8"/>
  <c r="AF337" i="8"/>
  <c r="AE337" i="8"/>
  <c r="AC337" i="8"/>
  <c r="AB337" i="8"/>
  <c r="AA337" i="8"/>
  <c r="Q337" i="8"/>
  <c r="AD337" i="8" s="1"/>
  <c r="AG336" i="8"/>
  <c r="AF336" i="8"/>
  <c r="AE336" i="8"/>
  <c r="AD336" i="8"/>
  <c r="AC336" i="8"/>
  <c r="AB336" i="8"/>
  <c r="AA336" i="8"/>
  <c r="AG335" i="8"/>
  <c r="AF335" i="8"/>
  <c r="AE335" i="8"/>
  <c r="AD335" i="8"/>
  <c r="AC335" i="8"/>
  <c r="AB335" i="8"/>
  <c r="AA335" i="8"/>
  <c r="AG334" i="8"/>
  <c r="AF334" i="8"/>
  <c r="AE334" i="8"/>
  <c r="AC334" i="8"/>
  <c r="AB334" i="8"/>
  <c r="AA334" i="8"/>
  <c r="Q334" i="8"/>
  <c r="AD334" i="8" s="1"/>
  <c r="AG333" i="8"/>
  <c r="AF333" i="8"/>
  <c r="AE333" i="8"/>
  <c r="AD333" i="8"/>
  <c r="AC333" i="8"/>
  <c r="AB333" i="8"/>
  <c r="AA333" i="8"/>
  <c r="AG332" i="8"/>
  <c r="AF332" i="8"/>
  <c r="AE332" i="8"/>
  <c r="AD332" i="8"/>
  <c r="AC332" i="8"/>
  <c r="AB332" i="8"/>
  <c r="AA332" i="8"/>
  <c r="AG331" i="8"/>
  <c r="AF331" i="8"/>
  <c r="AE331" i="8"/>
  <c r="AC331" i="8"/>
  <c r="AB331" i="8"/>
  <c r="AA331" i="8"/>
  <c r="Q331" i="8"/>
  <c r="AD331" i="8" s="1"/>
  <c r="AG330" i="8"/>
  <c r="AF330" i="8"/>
  <c r="AE330" i="8"/>
  <c r="AD330" i="8"/>
  <c r="AC330" i="8"/>
  <c r="AB330" i="8"/>
  <c r="AA330" i="8"/>
  <c r="AG329" i="8"/>
  <c r="AF329" i="8"/>
  <c r="AE329" i="8"/>
  <c r="AD329" i="8"/>
  <c r="AC329" i="8"/>
  <c r="AB329" i="8"/>
  <c r="AA329" i="8"/>
  <c r="AG328" i="8"/>
  <c r="AF328" i="8"/>
  <c r="AE328" i="8"/>
  <c r="AC328" i="8"/>
  <c r="AB328" i="8"/>
  <c r="AA328" i="8"/>
  <c r="Q328" i="8"/>
  <c r="AD328" i="8" s="1"/>
  <c r="AG327" i="8"/>
  <c r="AF327" i="8"/>
  <c r="AE327" i="8"/>
  <c r="AD327" i="8"/>
  <c r="AC327" i="8"/>
  <c r="AB327" i="8"/>
  <c r="AA327" i="8"/>
  <c r="AG326" i="8"/>
  <c r="AF326" i="8"/>
  <c r="AE326" i="8"/>
  <c r="AD326" i="8"/>
  <c r="AC326" i="8"/>
  <c r="AB326" i="8"/>
  <c r="AA326" i="8"/>
  <c r="AG325" i="8"/>
  <c r="AF325" i="8"/>
  <c r="AE325" i="8"/>
  <c r="AD325" i="8"/>
  <c r="AC325" i="8"/>
  <c r="AB325" i="8"/>
  <c r="AA325" i="8"/>
  <c r="AG324" i="8"/>
  <c r="AF324" i="8"/>
  <c r="AE324" i="8"/>
  <c r="AD324" i="8"/>
  <c r="AC324" i="8"/>
  <c r="AB324" i="8"/>
  <c r="AA324" i="8"/>
  <c r="AG323" i="8"/>
  <c r="AF323" i="8"/>
  <c r="AE323" i="8"/>
  <c r="AD323" i="8"/>
  <c r="AC323" i="8"/>
  <c r="AB323" i="8"/>
  <c r="AA323" i="8"/>
  <c r="AG322" i="8"/>
  <c r="AF322" i="8"/>
  <c r="AE322" i="8"/>
  <c r="AD322" i="8"/>
  <c r="AC322" i="8"/>
  <c r="AB322" i="8"/>
  <c r="AA322" i="8"/>
  <c r="AG321" i="8"/>
  <c r="AF321" i="8"/>
  <c r="AE321" i="8"/>
  <c r="AD321" i="8"/>
  <c r="AC321" i="8"/>
  <c r="AB321" i="8"/>
  <c r="AA321" i="8"/>
  <c r="AG320" i="8"/>
  <c r="AF320" i="8"/>
  <c r="AE320" i="8"/>
  <c r="AD320" i="8"/>
  <c r="AC320" i="8"/>
  <c r="AB320" i="8"/>
  <c r="AA320" i="8"/>
  <c r="AG319" i="8"/>
  <c r="AF319" i="8"/>
  <c r="AE319" i="8"/>
  <c r="AD319" i="8"/>
  <c r="AC319" i="8"/>
  <c r="AB319" i="8"/>
  <c r="AA319" i="8"/>
  <c r="AG318" i="8"/>
  <c r="AF318" i="8"/>
  <c r="AE318" i="8"/>
  <c r="AD318" i="8"/>
  <c r="AC318" i="8"/>
  <c r="AB318" i="8"/>
  <c r="AA318" i="8"/>
  <c r="AG317" i="8"/>
  <c r="AF317" i="8"/>
  <c r="AE317" i="8"/>
  <c r="AC317" i="8"/>
  <c r="AB317" i="8"/>
  <c r="AA317" i="8"/>
  <c r="Q317" i="8"/>
  <c r="AD317" i="8" s="1"/>
  <c r="AG316" i="8"/>
  <c r="AF316" i="8"/>
  <c r="AE316" i="8"/>
  <c r="AD316" i="8"/>
  <c r="AC316" i="8"/>
  <c r="AB316" i="8"/>
  <c r="AA316" i="8"/>
  <c r="AG315" i="8"/>
  <c r="AF315" i="8"/>
  <c r="AE315" i="8"/>
  <c r="AD315" i="8"/>
  <c r="AC315" i="8"/>
  <c r="AB315" i="8"/>
  <c r="AA315" i="8"/>
  <c r="AG314" i="8"/>
  <c r="AF314" i="8"/>
  <c r="AE314" i="8"/>
  <c r="AC314" i="8"/>
  <c r="AB314" i="8"/>
  <c r="AA314" i="8"/>
  <c r="Q314" i="8"/>
  <c r="AD314" i="8" s="1"/>
  <c r="AG313" i="8"/>
  <c r="AF313" i="8"/>
  <c r="AE313" i="8"/>
  <c r="AD313" i="8"/>
  <c r="AC313" i="8"/>
  <c r="AB313" i="8"/>
  <c r="AA313" i="8"/>
  <c r="AG312" i="8"/>
  <c r="AF312" i="8"/>
  <c r="AE312" i="8"/>
  <c r="AD312" i="8"/>
  <c r="AC312" i="8"/>
  <c r="AB312" i="8"/>
  <c r="AA312" i="8"/>
  <c r="AG311" i="8"/>
  <c r="AF311" i="8"/>
  <c r="AE311" i="8"/>
  <c r="AC311" i="8"/>
  <c r="AB311" i="8"/>
  <c r="AA311" i="8"/>
  <c r="Q311" i="8"/>
  <c r="AD311" i="8" s="1"/>
  <c r="AG310" i="8"/>
  <c r="AF310" i="8"/>
  <c r="AE310" i="8"/>
  <c r="AD310" i="8"/>
  <c r="AC310" i="8"/>
  <c r="AB310" i="8"/>
  <c r="AA310" i="8"/>
  <c r="AG309" i="8"/>
  <c r="AF309" i="8"/>
  <c r="AE309" i="8"/>
  <c r="AD309" i="8"/>
  <c r="AC309" i="8"/>
  <c r="AB309" i="8"/>
  <c r="AA309" i="8"/>
  <c r="AG308" i="8"/>
  <c r="AF308" i="8"/>
  <c r="AE308" i="8"/>
  <c r="AC308" i="8"/>
  <c r="AB308" i="8"/>
  <c r="AA308" i="8"/>
  <c r="Q308" i="8"/>
  <c r="AD308" i="8" s="1"/>
  <c r="AG307" i="8"/>
  <c r="AF307" i="8"/>
  <c r="AE307" i="8"/>
  <c r="AC307" i="8"/>
  <c r="AB307" i="8"/>
  <c r="AA307" i="8"/>
  <c r="Q307" i="8"/>
  <c r="AD307" i="8" s="1"/>
  <c r="AG306" i="8"/>
  <c r="AF306" i="8"/>
  <c r="AE306" i="8"/>
  <c r="AD306" i="8"/>
  <c r="AC306" i="8"/>
  <c r="AB306" i="8"/>
  <c r="AA306" i="8"/>
  <c r="AG305" i="8"/>
  <c r="AF305" i="8"/>
  <c r="AE305" i="8"/>
  <c r="AD305" i="8"/>
  <c r="AC305" i="8"/>
  <c r="AB305" i="8"/>
  <c r="AA305" i="8"/>
  <c r="AG304" i="8"/>
  <c r="AF304" i="8"/>
  <c r="AE304" i="8"/>
  <c r="AC304" i="8"/>
  <c r="AB304" i="8"/>
  <c r="AA304" i="8"/>
  <c r="Q304" i="8"/>
  <c r="AD304" i="8" s="1"/>
  <c r="AG303" i="8"/>
  <c r="AF303" i="8"/>
  <c r="AE303" i="8"/>
  <c r="AD303" i="8"/>
  <c r="AC303" i="8"/>
  <c r="AB303" i="8"/>
  <c r="AA303" i="8"/>
  <c r="AG302" i="8"/>
  <c r="AF302" i="8"/>
  <c r="AE302" i="8"/>
  <c r="AD302" i="8"/>
  <c r="AC302" i="8"/>
  <c r="AB302" i="8"/>
  <c r="AA302" i="8"/>
  <c r="AG301" i="8"/>
  <c r="AF301" i="8"/>
  <c r="AE301" i="8"/>
  <c r="AC301" i="8"/>
  <c r="AB301" i="8"/>
  <c r="AA301" i="8"/>
  <c r="Q301" i="8"/>
  <c r="AD301" i="8" s="1"/>
  <c r="AG300" i="8"/>
  <c r="AF300" i="8"/>
  <c r="AE300" i="8"/>
  <c r="AD300" i="8"/>
  <c r="AC300" i="8"/>
  <c r="AB300" i="8"/>
  <c r="AA300" i="8"/>
  <c r="AG299" i="8"/>
  <c r="AF299" i="8"/>
  <c r="AE299" i="8"/>
  <c r="AD299" i="8"/>
  <c r="AC299" i="8"/>
  <c r="AB299" i="8"/>
  <c r="AA299" i="8"/>
  <c r="AG298" i="8"/>
  <c r="AF298" i="8"/>
  <c r="AE298" i="8"/>
  <c r="AD298" i="8"/>
  <c r="AC298" i="8"/>
  <c r="AB298" i="8"/>
  <c r="AA298" i="8"/>
  <c r="AG297" i="8"/>
  <c r="AF297" i="8"/>
  <c r="AE297" i="8"/>
  <c r="AD297" i="8"/>
  <c r="AC297" i="8"/>
  <c r="AB297" i="8"/>
  <c r="AA297" i="8"/>
  <c r="AG296" i="8"/>
  <c r="AF296" i="8"/>
  <c r="AE296" i="8"/>
  <c r="AC296" i="8"/>
  <c r="AB296" i="8"/>
  <c r="AA296" i="8"/>
  <c r="Q296" i="8"/>
  <c r="AD296" i="8" s="1"/>
  <c r="AG295" i="8"/>
  <c r="AF295" i="8"/>
  <c r="AE295" i="8"/>
  <c r="AD295" i="8"/>
  <c r="AC295" i="8"/>
  <c r="AB295" i="8"/>
  <c r="AA295" i="8"/>
  <c r="AG294" i="8"/>
  <c r="AF294" i="8"/>
  <c r="AE294" i="8"/>
  <c r="AD294" i="8"/>
  <c r="AC294" i="8"/>
  <c r="AB294" i="8"/>
  <c r="AA294" i="8"/>
  <c r="AG293" i="8"/>
  <c r="AF293" i="8"/>
  <c r="AE293" i="8"/>
  <c r="AC293" i="8"/>
  <c r="AB293" i="8"/>
  <c r="AA293" i="8"/>
  <c r="Q293" i="8"/>
  <c r="AD293" i="8" s="1"/>
  <c r="AG292" i="8"/>
  <c r="AF292" i="8"/>
  <c r="AE292" i="8"/>
  <c r="AD292" i="8"/>
  <c r="AC292" i="8"/>
  <c r="AB292" i="8"/>
  <c r="AA292" i="8"/>
  <c r="AG291" i="8"/>
  <c r="AF291" i="8"/>
  <c r="AE291" i="8"/>
  <c r="AD291" i="8"/>
  <c r="AC291" i="8"/>
  <c r="AB291" i="8"/>
  <c r="AA291" i="8"/>
  <c r="AG290" i="8"/>
  <c r="AF290" i="8"/>
  <c r="AE290" i="8"/>
  <c r="AC290" i="8"/>
  <c r="AB290" i="8"/>
  <c r="AA290" i="8"/>
  <c r="Q290" i="8"/>
  <c r="AD290" i="8" s="1"/>
  <c r="AG289" i="8"/>
  <c r="AF289" i="8"/>
  <c r="AE289" i="8"/>
  <c r="AD289" i="8"/>
  <c r="AC289" i="8"/>
  <c r="AB289" i="8"/>
  <c r="AA289" i="8"/>
  <c r="AG288" i="8"/>
  <c r="AF288" i="8"/>
  <c r="AE288" i="8"/>
  <c r="AD288" i="8"/>
  <c r="AC288" i="8"/>
  <c r="AB288" i="8"/>
  <c r="AA288" i="8"/>
  <c r="AG287" i="8"/>
  <c r="AF287" i="8"/>
  <c r="AE287" i="8"/>
  <c r="AC287" i="8"/>
  <c r="AB287" i="8"/>
  <c r="AA287" i="8"/>
  <c r="Q287" i="8"/>
  <c r="AD287" i="8" s="1"/>
  <c r="AG286" i="8"/>
  <c r="AF286" i="8"/>
  <c r="AE286" i="8"/>
  <c r="AD286" i="8"/>
  <c r="AC286" i="8"/>
  <c r="AB286" i="8"/>
  <c r="AA286" i="8"/>
  <c r="AG285" i="8"/>
  <c r="AF285" i="8"/>
  <c r="AE285" i="8"/>
  <c r="AD285" i="8"/>
  <c r="AC285" i="8"/>
  <c r="AB285" i="8"/>
  <c r="AA285" i="8"/>
  <c r="AG284" i="8"/>
  <c r="AF284" i="8"/>
  <c r="AE284" i="8"/>
  <c r="AC284" i="8"/>
  <c r="AB284" i="8"/>
  <c r="AA284" i="8"/>
  <c r="Q284" i="8"/>
  <c r="AD284" i="8" s="1"/>
  <c r="AG283" i="8"/>
  <c r="AF283" i="8"/>
  <c r="AE283" i="8"/>
  <c r="AD283" i="8"/>
  <c r="AC283" i="8"/>
  <c r="AB283" i="8"/>
  <c r="AA283" i="8"/>
  <c r="AG282" i="8"/>
  <c r="AF282" i="8"/>
  <c r="AE282" i="8"/>
  <c r="AD282" i="8"/>
  <c r="AC282" i="8"/>
  <c r="AB282" i="8"/>
  <c r="AA282" i="8"/>
  <c r="AG281" i="8"/>
  <c r="AF281" i="8"/>
  <c r="AE281" i="8"/>
  <c r="AC281" i="8"/>
  <c r="AB281" i="8"/>
  <c r="AA281" i="8"/>
  <c r="Q281" i="8"/>
  <c r="AD281" i="8" s="1"/>
  <c r="AG280" i="8"/>
  <c r="AF280" i="8"/>
  <c r="AE280" i="8"/>
  <c r="AD280" i="8"/>
  <c r="AC280" i="8"/>
  <c r="AB280" i="8"/>
  <c r="AA280" i="8"/>
  <c r="AG279" i="8"/>
  <c r="AF279" i="8"/>
  <c r="AE279" i="8"/>
  <c r="AD279" i="8"/>
  <c r="AC279" i="8"/>
  <c r="AB279" i="8"/>
  <c r="AA279" i="8"/>
  <c r="AG278" i="8"/>
  <c r="AF278" i="8"/>
  <c r="AE278" i="8"/>
  <c r="AC278" i="8"/>
  <c r="AB278" i="8"/>
  <c r="AA278" i="8"/>
  <c r="Q278" i="8"/>
  <c r="AD278" i="8" s="1"/>
  <c r="AG277" i="8"/>
  <c r="AF277" i="8"/>
  <c r="AE277" i="8"/>
  <c r="AD277" i="8"/>
  <c r="AC277" i="8"/>
  <c r="AB277" i="8"/>
  <c r="AA277" i="8"/>
  <c r="AG276" i="8"/>
  <c r="AF276" i="8"/>
  <c r="AE276" i="8"/>
  <c r="AD276" i="8"/>
  <c r="AC276" i="8"/>
  <c r="AB276" i="8"/>
  <c r="AA276" i="8"/>
  <c r="AG275" i="8"/>
  <c r="AF275" i="8"/>
  <c r="AE275" i="8"/>
  <c r="AC275" i="8"/>
  <c r="AB275" i="8"/>
  <c r="AA275" i="8"/>
  <c r="Q275" i="8"/>
  <c r="AD275" i="8" s="1"/>
  <c r="AG274" i="8"/>
  <c r="AF274" i="8"/>
  <c r="AE274" i="8"/>
  <c r="AC274" i="8"/>
  <c r="AB274" i="8"/>
  <c r="AA274" i="8"/>
  <c r="Q274" i="8"/>
  <c r="AD274" i="8" s="1"/>
  <c r="AG273" i="8"/>
  <c r="AF273" i="8"/>
  <c r="AE273" i="8"/>
  <c r="AD273" i="8"/>
  <c r="AC273" i="8"/>
  <c r="AB273" i="8"/>
  <c r="AA273" i="8"/>
  <c r="AG272" i="8"/>
  <c r="AF272" i="8"/>
  <c r="AE272" i="8"/>
  <c r="AD272" i="8"/>
  <c r="AC272" i="8"/>
  <c r="AB272" i="8"/>
  <c r="AA272" i="8"/>
  <c r="AG271" i="8"/>
  <c r="AF271" i="8"/>
  <c r="AE271" i="8"/>
  <c r="AC271" i="8"/>
  <c r="AB271" i="8"/>
  <c r="AA271" i="8"/>
  <c r="Q271" i="8"/>
  <c r="AD271" i="8" s="1"/>
  <c r="AG270" i="8"/>
  <c r="AF270" i="8"/>
  <c r="AE270" i="8"/>
  <c r="AD270" i="8"/>
  <c r="AC270" i="8"/>
  <c r="AB270" i="8"/>
  <c r="AA270" i="8"/>
  <c r="AG269" i="8"/>
  <c r="AF269" i="8"/>
  <c r="AE269" i="8"/>
  <c r="AD269" i="8"/>
  <c r="AC269" i="8"/>
  <c r="AB269" i="8"/>
  <c r="AA269" i="8"/>
  <c r="AG268" i="8"/>
  <c r="AF268" i="8"/>
  <c r="AE268" i="8"/>
  <c r="AC268" i="8"/>
  <c r="AB268" i="8"/>
  <c r="AA268" i="8"/>
  <c r="Q268" i="8"/>
  <c r="AD268" i="8" s="1"/>
  <c r="AG267" i="8"/>
  <c r="AF267" i="8"/>
  <c r="AE267" i="8"/>
  <c r="AD267" i="8"/>
  <c r="AC267" i="8"/>
  <c r="AB267" i="8"/>
  <c r="AA267" i="8"/>
  <c r="AG266" i="8"/>
  <c r="AF266" i="8"/>
  <c r="AE266" i="8"/>
  <c r="AD266" i="8"/>
  <c r="AC266" i="8"/>
  <c r="AB266" i="8"/>
  <c r="AA266" i="8"/>
  <c r="AG265" i="8"/>
  <c r="AF265" i="8"/>
  <c r="AE265" i="8"/>
  <c r="AD265" i="8"/>
  <c r="AC265" i="8"/>
  <c r="AB265" i="8"/>
  <c r="AA265" i="8"/>
  <c r="AG264" i="8"/>
  <c r="AF264" i="8"/>
  <c r="AE264" i="8"/>
  <c r="AD264" i="8"/>
  <c r="AC264" i="8"/>
  <c r="AB264" i="8"/>
  <c r="AA264" i="8"/>
  <c r="AG263" i="8"/>
  <c r="AF263" i="8"/>
  <c r="AE263" i="8"/>
  <c r="AC263" i="8"/>
  <c r="AB263" i="8"/>
  <c r="AA263" i="8"/>
  <c r="Q263" i="8"/>
  <c r="AD263" i="8" s="1"/>
  <c r="AG262" i="8"/>
  <c r="AF262" i="8"/>
  <c r="AE262" i="8"/>
  <c r="AD262" i="8"/>
  <c r="AC262" i="8"/>
  <c r="AB262" i="8"/>
  <c r="AA262" i="8"/>
  <c r="AG261" i="8"/>
  <c r="AF261" i="8"/>
  <c r="AE261" i="8"/>
  <c r="AD261" i="8"/>
  <c r="AC261" i="8"/>
  <c r="AB261" i="8"/>
  <c r="AA261" i="8"/>
  <c r="AG260" i="8"/>
  <c r="AF260" i="8"/>
  <c r="AE260" i="8"/>
  <c r="AC260" i="8"/>
  <c r="AB260" i="8"/>
  <c r="AA260" i="8"/>
  <c r="Q260" i="8"/>
  <c r="AD260" i="8" s="1"/>
  <c r="AG259" i="8"/>
  <c r="AF259" i="8"/>
  <c r="AE259" i="8"/>
  <c r="AD259" i="8"/>
  <c r="AC259" i="8"/>
  <c r="AB259" i="8"/>
  <c r="AA259" i="8"/>
  <c r="AG258" i="8"/>
  <c r="AF258" i="8"/>
  <c r="AE258" i="8"/>
  <c r="AD258" i="8"/>
  <c r="AC258" i="8"/>
  <c r="AB258" i="8"/>
  <c r="AA258" i="8"/>
  <c r="AG257" i="8"/>
  <c r="AF257" i="8"/>
  <c r="AE257" i="8"/>
  <c r="AC257" i="8"/>
  <c r="AB257" i="8"/>
  <c r="AA257" i="8"/>
  <c r="Q257" i="8"/>
  <c r="AD257" i="8" s="1"/>
  <c r="AG256" i="8"/>
  <c r="AF256" i="8"/>
  <c r="AE256" i="8"/>
  <c r="AD256" i="8"/>
  <c r="AC256" i="8"/>
  <c r="AB256" i="8"/>
  <c r="AA256" i="8"/>
  <c r="AG255" i="8"/>
  <c r="AF255" i="8"/>
  <c r="AE255" i="8"/>
  <c r="AD255" i="8"/>
  <c r="AC255" i="8"/>
  <c r="AB255" i="8"/>
  <c r="AA255" i="8"/>
  <c r="AG254" i="8"/>
  <c r="AF254" i="8"/>
  <c r="AE254" i="8"/>
  <c r="AC254" i="8"/>
  <c r="AB254" i="8"/>
  <c r="AA254" i="8"/>
  <c r="Q254" i="8"/>
  <c r="AD254" i="8" s="1"/>
  <c r="AG253" i="8"/>
  <c r="AF253" i="8"/>
  <c r="AE253" i="8"/>
  <c r="AD253" i="8"/>
  <c r="AC253" i="8"/>
  <c r="AB253" i="8"/>
  <c r="AA253" i="8"/>
  <c r="AG252" i="8"/>
  <c r="AF252" i="8"/>
  <c r="AE252" i="8"/>
  <c r="AD252" i="8"/>
  <c r="AC252" i="8"/>
  <c r="AB252" i="8"/>
  <c r="AA252" i="8"/>
  <c r="AG251" i="8"/>
  <c r="AF251" i="8"/>
  <c r="AE251" i="8"/>
  <c r="AC251" i="8"/>
  <c r="AB251" i="8"/>
  <c r="AA251" i="8"/>
  <c r="Q251" i="8"/>
  <c r="AD251" i="8" s="1"/>
  <c r="AG250" i="8"/>
  <c r="AF250" i="8"/>
  <c r="AE250" i="8"/>
  <c r="AD250" i="8"/>
  <c r="AC250" i="8"/>
  <c r="AB250" i="8"/>
  <c r="AA250" i="8"/>
  <c r="AG249" i="8"/>
  <c r="AF249" i="8"/>
  <c r="AE249" i="8"/>
  <c r="AD249" i="8"/>
  <c r="AC249" i="8"/>
  <c r="AB249" i="8"/>
  <c r="AA249" i="8"/>
  <c r="AG248" i="8"/>
  <c r="AF248" i="8"/>
  <c r="AE248" i="8"/>
  <c r="AC248" i="8"/>
  <c r="AB248" i="8"/>
  <c r="AA248" i="8"/>
  <c r="Q248" i="8"/>
  <c r="AD248" i="8" s="1"/>
  <c r="AG247" i="8"/>
  <c r="AF247" i="8"/>
  <c r="AE247" i="8"/>
  <c r="AD247" i="8"/>
  <c r="AC247" i="8"/>
  <c r="AB247" i="8"/>
  <c r="AA247" i="8"/>
  <c r="AG246" i="8"/>
  <c r="AF246" i="8"/>
  <c r="AE246" i="8"/>
  <c r="AD246" i="8"/>
  <c r="AC246" i="8"/>
  <c r="AB246" i="8"/>
  <c r="AA246" i="8"/>
  <c r="AG245" i="8"/>
  <c r="AF245" i="8"/>
  <c r="AE245" i="8"/>
  <c r="AC245" i="8"/>
  <c r="AB245" i="8"/>
  <c r="AA245" i="8"/>
  <c r="Q245" i="8"/>
  <c r="AD245" i="8" s="1"/>
  <c r="AG244" i="8"/>
  <c r="AF244" i="8"/>
  <c r="AE244" i="8"/>
  <c r="AD244" i="8"/>
  <c r="AC244" i="8"/>
  <c r="AB244" i="8"/>
  <c r="AA244" i="8"/>
  <c r="AG243" i="8"/>
  <c r="AF243" i="8"/>
  <c r="AE243" i="8"/>
  <c r="AD243" i="8"/>
  <c r="AC243" i="8"/>
  <c r="AB243" i="8"/>
  <c r="AA243" i="8"/>
  <c r="AG242" i="8"/>
  <c r="AF242" i="8"/>
  <c r="AE242" i="8"/>
  <c r="AC242" i="8"/>
  <c r="AB242" i="8"/>
  <c r="AA242" i="8"/>
  <c r="Q242" i="8"/>
  <c r="AD242" i="8" s="1"/>
  <c r="AG241" i="8"/>
  <c r="AF241" i="8"/>
  <c r="AE241" i="8"/>
  <c r="AC241" i="8"/>
  <c r="AB241" i="8"/>
  <c r="AA241" i="8"/>
  <c r="Q241" i="8"/>
  <c r="AD241" i="8" s="1"/>
  <c r="AG240" i="8"/>
  <c r="AF240" i="8"/>
  <c r="AE240" i="8"/>
  <c r="AD240" i="8"/>
  <c r="AC240" i="8"/>
  <c r="AB240" i="8"/>
  <c r="AA240" i="8"/>
  <c r="AG239" i="8"/>
  <c r="AF239" i="8"/>
  <c r="AE239" i="8"/>
  <c r="AD239" i="8"/>
  <c r="AC239" i="8"/>
  <c r="AB239" i="8"/>
  <c r="AA239" i="8"/>
  <c r="AG238" i="8"/>
  <c r="AF238" i="8"/>
  <c r="AE238" i="8"/>
  <c r="AC238" i="8"/>
  <c r="AB238" i="8"/>
  <c r="AA238" i="8"/>
  <c r="Q238" i="8"/>
  <c r="AD238" i="8" s="1"/>
  <c r="AG237" i="8"/>
  <c r="AF237" i="8"/>
  <c r="AE237" i="8"/>
  <c r="AD237" i="8"/>
  <c r="AC237" i="8"/>
  <c r="AB237" i="8"/>
  <c r="AA237" i="8"/>
  <c r="AG236" i="8"/>
  <c r="AF236" i="8"/>
  <c r="AE236" i="8"/>
  <c r="AD236" i="8"/>
  <c r="AC236" i="8"/>
  <c r="AB236" i="8"/>
  <c r="AA236" i="8"/>
  <c r="AG235" i="8"/>
  <c r="AF235" i="8"/>
  <c r="AE235" i="8"/>
  <c r="AC235" i="8"/>
  <c r="AB235" i="8"/>
  <c r="AA235" i="8"/>
  <c r="Q235" i="8"/>
  <c r="AD235" i="8" s="1"/>
  <c r="AG234" i="8"/>
  <c r="AF234" i="8"/>
  <c r="AE234" i="8"/>
  <c r="AD234" i="8"/>
  <c r="AC234" i="8"/>
  <c r="AB234" i="8"/>
  <c r="AA234" i="8"/>
  <c r="AG233" i="8"/>
  <c r="AF233" i="8"/>
  <c r="AE233" i="8"/>
  <c r="AD233" i="8"/>
  <c r="AC233" i="8"/>
  <c r="AB233" i="8"/>
  <c r="AA233" i="8"/>
  <c r="AG232" i="8"/>
  <c r="AF232" i="8"/>
  <c r="AE232" i="8"/>
  <c r="AD232" i="8"/>
  <c r="AC232" i="8"/>
  <c r="AB232" i="8"/>
  <c r="AA232" i="8"/>
  <c r="AG231" i="8"/>
  <c r="AF231" i="8"/>
  <c r="AE231" i="8"/>
  <c r="AD231" i="8"/>
  <c r="AC231" i="8"/>
  <c r="AB231" i="8"/>
  <c r="AA231" i="8"/>
  <c r="AG230" i="8"/>
  <c r="AF230" i="8"/>
  <c r="AE230" i="8"/>
  <c r="AC230" i="8"/>
  <c r="AB230" i="8"/>
  <c r="AA230" i="8"/>
  <c r="Q230" i="8"/>
  <c r="AD230" i="8" s="1"/>
  <c r="AG229" i="8"/>
  <c r="AF229" i="8"/>
  <c r="AE229" i="8"/>
  <c r="AD229" i="8"/>
  <c r="AC229" i="8"/>
  <c r="AB229" i="8"/>
  <c r="AA229" i="8"/>
  <c r="AG228" i="8"/>
  <c r="AF228" i="8"/>
  <c r="AE228" i="8"/>
  <c r="AD228" i="8"/>
  <c r="AC228" i="8"/>
  <c r="AB228" i="8"/>
  <c r="AA228" i="8"/>
  <c r="AG227" i="8"/>
  <c r="AF227" i="8"/>
  <c r="AE227" i="8"/>
  <c r="AD227" i="8"/>
  <c r="AC227" i="8"/>
  <c r="AB227" i="8"/>
  <c r="AA227" i="8"/>
  <c r="AG226" i="8"/>
  <c r="AF226" i="8"/>
  <c r="AE226" i="8"/>
  <c r="AD226" i="8"/>
  <c r="AC226" i="8"/>
  <c r="AB226" i="8"/>
  <c r="AA226" i="8"/>
  <c r="AG225" i="8"/>
  <c r="AF225" i="8"/>
  <c r="AE225" i="8"/>
  <c r="AD225" i="8"/>
  <c r="AC225" i="8"/>
  <c r="AB225" i="8"/>
  <c r="AA225" i="8"/>
  <c r="AG224" i="8"/>
  <c r="AF224" i="8"/>
  <c r="AE224" i="8"/>
  <c r="AD224" i="8"/>
  <c r="AC224" i="8"/>
  <c r="AB224" i="8"/>
  <c r="AA224" i="8"/>
  <c r="AG223" i="8"/>
  <c r="AF223" i="8"/>
  <c r="AE223" i="8"/>
  <c r="AD223" i="8"/>
  <c r="AC223" i="8"/>
  <c r="AB223" i="8"/>
  <c r="AA223" i="8"/>
  <c r="AG222" i="8"/>
  <c r="AF222" i="8"/>
  <c r="AE222" i="8"/>
  <c r="AD222" i="8"/>
  <c r="AC222" i="8"/>
  <c r="AB222" i="8"/>
  <c r="AA222" i="8"/>
  <c r="AG221" i="8"/>
  <c r="AF221" i="8"/>
  <c r="AE221" i="8"/>
  <c r="AC221" i="8"/>
  <c r="AB221" i="8"/>
  <c r="AA221" i="8"/>
  <c r="Q221" i="8"/>
  <c r="AD221" i="8" s="1"/>
  <c r="AG220" i="8"/>
  <c r="AF220" i="8"/>
  <c r="AE220" i="8"/>
  <c r="AC220" i="8"/>
  <c r="AB220" i="8"/>
  <c r="AA220" i="8"/>
  <c r="Q220" i="8"/>
  <c r="AD220" i="8" s="1"/>
  <c r="AG219" i="8"/>
  <c r="AF219" i="8"/>
  <c r="AE219" i="8"/>
  <c r="AD219" i="8"/>
  <c r="AC219" i="8"/>
  <c r="AB219" i="8"/>
  <c r="AA219" i="8"/>
  <c r="AG218" i="8"/>
  <c r="AF218" i="8"/>
  <c r="AE218" i="8"/>
  <c r="AD218" i="8"/>
  <c r="AC218" i="8"/>
  <c r="AB218" i="8"/>
  <c r="AA218" i="8"/>
  <c r="AG217" i="8"/>
  <c r="AF217" i="8"/>
  <c r="AE217" i="8"/>
  <c r="AD217" i="8"/>
  <c r="AC217" i="8"/>
  <c r="AB217" i="8"/>
  <c r="AA217" i="8"/>
  <c r="AG216" i="8"/>
  <c r="AF216" i="8"/>
  <c r="AE216" i="8"/>
  <c r="AD216" i="8"/>
  <c r="AC216" i="8"/>
  <c r="AB216" i="8"/>
  <c r="AA216" i="8"/>
  <c r="AG215" i="8"/>
  <c r="AF215" i="8"/>
  <c r="AE215" i="8"/>
  <c r="AC215" i="8"/>
  <c r="AB215" i="8"/>
  <c r="AA215" i="8"/>
  <c r="Q215" i="8"/>
  <c r="AD215" i="8" s="1"/>
  <c r="AG214" i="8"/>
  <c r="AF214" i="8"/>
  <c r="AE214" i="8"/>
  <c r="AD214" i="8"/>
  <c r="AC214" i="8"/>
  <c r="AB214" i="8"/>
  <c r="AA214" i="8"/>
  <c r="AG213" i="8"/>
  <c r="AF213" i="8"/>
  <c r="AE213" i="8"/>
  <c r="AD213" i="8"/>
  <c r="AC213" i="8"/>
  <c r="AB213" i="8"/>
  <c r="AA213" i="8"/>
  <c r="AG212" i="8"/>
  <c r="AF212" i="8"/>
  <c r="AE212" i="8"/>
  <c r="AC212" i="8"/>
  <c r="AB212" i="8"/>
  <c r="AA212" i="8"/>
  <c r="Q212" i="8"/>
  <c r="AD212" i="8" s="1"/>
  <c r="AG211" i="8"/>
  <c r="AF211" i="8"/>
  <c r="AE211" i="8"/>
  <c r="AC211" i="8"/>
  <c r="AB211" i="8"/>
  <c r="AA211" i="8"/>
  <c r="Q211" i="8"/>
  <c r="AD211" i="8" s="1"/>
  <c r="AG210" i="8"/>
  <c r="AF210" i="8"/>
  <c r="AE210" i="8"/>
  <c r="AD210" i="8"/>
  <c r="AC210" i="8"/>
  <c r="AB210" i="8"/>
  <c r="AA210" i="8"/>
  <c r="AG209" i="8"/>
  <c r="AF209" i="8"/>
  <c r="AE209" i="8"/>
  <c r="AD209" i="8"/>
  <c r="AC209" i="8"/>
  <c r="AB209" i="8"/>
  <c r="AA209" i="8"/>
  <c r="AG208" i="8"/>
  <c r="AF208" i="8"/>
  <c r="AE208" i="8"/>
  <c r="AC208" i="8"/>
  <c r="AB208" i="8"/>
  <c r="AA208" i="8"/>
  <c r="Q208" i="8"/>
  <c r="AD208" i="8" s="1"/>
  <c r="AG207" i="8"/>
  <c r="AF207" i="8"/>
  <c r="AE207" i="8"/>
  <c r="AD207" i="8"/>
  <c r="AC207" i="8"/>
  <c r="AB207" i="8"/>
  <c r="AA207" i="8"/>
  <c r="AG206" i="8"/>
  <c r="AF206" i="8"/>
  <c r="AE206" i="8"/>
  <c r="AD206" i="8"/>
  <c r="AC206" i="8"/>
  <c r="AB206" i="8"/>
  <c r="AA206" i="8"/>
  <c r="AG205" i="8"/>
  <c r="AF205" i="8"/>
  <c r="AE205" i="8"/>
  <c r="AC205" i="8"/>
  <c r="AB205" i="8"/>
  <c r="AA205" i="8"/>
  <c r="Q205" i="8"/>
  <c r="AD205" i="8" s="1"/>
  <c r="AG204" i="8"/>
  <c r="AF204" i="8"/>
  <c r="AE204" i="8"/>
  <c r="AD204" i="8"/>
  <c r="AC204" i="8"/>
  <c r="AB204" i="8"/>
  <c r="AA204" i="8"/>
  <c r="AG203" i="8"/>
  <c r="AF203" i="8"/>
  <c r="AE203" i="8"/>
  <c r="AD203" i="8"/>
  <c r="AC203" i="8"/>
  <c r="AB203" i="8"/>
  <c r="AA203" i="8"/>
  <c r="AG202" i="8"/>
  <c r="AF202" i="8"/>
  <c r="AE202" i="8"/>
  <c r="AC202" i="8"/>
  <c r="AB202" i="8"/>
  <c r="AA202" i="8"/>
  <c r="Q202" i="8"/>
  <c r="AD202" i="8" s="1"/>
  <c r="AG201" i="8"/>
  <c r="AF201" i="8"/>
  <c r="AE201" i="8"/>
  <c r="AD201" i="8"/>
  <c r="AC201" i="8"/>
  <c r="AB201" i="8"/>
  <c r="AA201" i="8"/>
  <c r="AG200" i="8"/>
  <c r="AF200" i="8"/>
  <c r="AE200" i="8"/>
  <c r="AD200" i="8"/>
  <c r="AC200" i="8"/>
  <c r="AB200" i="8"/>
  <c r="AA200" i="8"/>
  <c r="AG199" i="8"/>
  <c r="AF199" i="8"/>
  <c r="AE199" i="8"/>
  <c r="AD199" i="8"/>
  <c r="AC199" i="8"/>
  <c r="AB199" i="8"/>
  <c r="AA199" i="8"/>
  <c r="AG198" i="8"/>
  <c r="AF198" i="8"/>
  <c r="AE198" i="8"/>
  <c r="AD198" i="8"/>
  <c r="AC198" i="8"/>
  <c r="AB198" i="8"/>
  <c r="AA198" i="8"/>
  <c r="AG197" i="8"/>
  <c r="AF197" i="8"/>
  <c r="AE197" i="8"/>
  <c r="AD197" i="8"/>
  <c r="AC197" i="8"/>
  <c r="AB197" i="8"/>
  <c r="AA197" i="8"/>
  <c r="AA196" i="8"/>
  <c r="AA195" i="8"/>
  <c r="AA194" i="8"/>
  <c r="Z194" i="8"/>
  <c r="Y194" i="8"/>
  <c r="X194" i="8"/>
  <c r="W194" i="8"/>
  <c r="V194" i="8"/>
  <c r="V195" i="8" s="1"/>
  <c r="U194" i="8"/>
  <c r="T194" i="8"/>
  <c r="S194" i="8"/>
  <c r="AD194" i="8" s="1"/>
  <c r="R194" i="8"/>
  <c r="AB194" i="8" s="1"/>
  <c r="AG193" i="8"/>
  <c r="AF193" i="8"/>
  <c r="AE193" i="8"/>
  <c r="AD193" i="8"/>
  <c r="AC193" i="8"/>
  <c r="AB193" i="8"/>
  <c r="AA193" i="8"/>
  <c r="AG192" i="8"/>
  <c r="AF192" i="8"/>
  <c r="AE192" i="8"/>
  <c r="AD192" i="8"/>
  <c r="AC192" i="8"/>
  <c r="AB192" i="8"/>
  <c r="AA192" i="8"/>
  <c r="AG191" i="8"/>
  <c r="AF191" i="8"/>
  <c r="AE191" i="8"/>
  <c r="AC191" i="8"/>
  <c r="AB191" i="8"/>
  <c r="AA191" i="8"/>
  <c r="Q191" i="8"/>
  <c r="AD191" i="8" s="1"/>
  <c r="AG190" i="8"/>
  <c r="AF190" i="8"/>
  <c r="AE190" i="8"/>
  <c r="AD190" i="8"/>
  <c r="AC190" i="8"/>
  <c r="AB190" i="8"/>
  <c r="AA190" i="8"/>
  <c r="AG189" i="8"/>
  <c r="AF189" i="8"/>
  <c r="AE189" i="8"/>
  <c r="AD189" i="8"/>
  <c r="AC189" i="8"/>
  <c r="AB189" i="8"/>
  <c r="AA189" i="8"/>
  <c r="AG188" i="8"/>
  <c r="AF188" i="8"/>
  <c r="AE188" i="8"/>
  <c r="AC188" i="8"/>
  <c r="AB188" i="8"/>
  <c r="AA188" i="8"/>
  <c r="Q188" i="8"/>
  <c r="AD188" i="8" s="1"/>
  <c r="AG187" i="8"/>
  <c r="AF187" i="8"/>
  <c r="AE187" i="8"/>
  <c r="AD187" i="8"/>
  <c r="AC187" i="8"/>
  <c r="AB187" i="8"/>
  <c r="AA187" i="8"/>
  <c r="AG186" i="8"/>
  <c r="AF186" i="8"/>
  <c r="AE186" i="8"/>
  <c r="AD186" i="8"/>
  <c r="AC186" i="8"/>
  <c r="AB186" i="8"/>
  <c r="AA186" i="8"/>
  <c r="AG185" i="8"/>
  <c r="AF185" i="8"/>
  <c r="AE185" i="8"/>
  <c r="AC185" i="8"/>
  <c r="AB185" i="8"/>
  <c r="AA185" i="8"/>
  <c r="Q185" i="8"/>
  <c r="AD185" i="8" s="1"/>
  <c r="AG184" i="8"/>
  <c r="AF184" i="8"/>
  <c r="AE184" i="8"/>
  <c r="AD184" i="8"/>
  <c r="AC184" i="8"/>
  <c r="AB184" i="8"/>
  <c r="AA184" i="8"/>
  <c r="AG183" i="8"/>
  <c r="AF183" i="8"/>
  <c r="AE183" i="8"/>
  <c r="AD183" i="8"/>
  <c r="AC183" i="8"/>
  <c r="AB183" i="8"/>
  <c r="AA183" i="8"/>
  <c r="AG182" i="8"/>
  <c r="AF182" i="8"/>
  <c r="AE182" i="8"/>
  <c r="AC182" i="8"/>
  <c r="AB182" i="8"/>
  <c r="AA182" i="8"/>
  <c r="Q182" i="8"/>
  <c r="AD182" i="8" s="1"/>
  <c r="AG181" i="8"/>
  <c r="AF181" i="8"/>
  <c r="AE181" i="8"/>
  <c r="AC181" i="8"/>
  <c r="AB181" i="8"/>
  <c r="AA181" i="8"/>
  <c r="Q181" i="8"/>
  <c r="AD181" i="8" s="1"/>
  <c r="AG180" i="8"/>
  <c r="AF180" i="8"/>
  <c r="AE180" i="8"/>
  <c r="AD180" i="8"/>
  <c r="AC180" i="8"/>
  <c r="AB180" i="8"/>
  <c r="AA180" i="8"/>
  <c r="AG179" i="8"/>
  <c r="AF179" i="8"/>
  <c r="AE179" i="8"/>
  <c r="AD179" i="8"/>
  <c r="AC179" i="8"/>
  <c r="AB179" i="8"/>
  <c r="AA179" i="8"/>
  <c r="AG178" i="8"/>
  <c r="AF178" i="8"/>
  <c r="AE178" i="8"/>
  <c r="AC178" i="8"/>
  <c r="AB178" i="8"/>
  <c r="AA178" i="8"/>
  <c r="Q178" i="8"/>
  <c r="AD178" i="8" s="1"/>
  <c r="AG177" i="8"/>
  <c r="AF177" i="8"/>
  <c r="AE177" i="8"/>
  <c r="AD177" i="8"/>
  <c r="AC177" i="8"/>
  <c r="AB177" i="8"/>
  <c r="AA177" i="8"/>
  <c r="AG176" i="8"/>
  <c r="AF176" i="8"/>
  <c r="AE176" i="8"/>
  <c r="AD176" i="8"/>
  <c r="AC176" i="8"/>
  <c r="AB176" i="8"/>
  <c r="AA176" i="8"/>
  <c r="AG175" i="8"/>
  <c r="AF175" i="8"/>
  <c r="AE175" i="8"/>
  <c r="AC175" i="8"/>
  <c r="AB175" i="8"/>
  <c r="AA175" i="8"/>
  <c r="Q175" i="8"/>
  <c r="AD175" i="8" s="1"/>
  <c r="AG174" i="8"/>
  <c r="AF174" i="8"/>
  <c r="AE174" i="8"/>
  <c r="AD174" i="8"/>
  <c r="AC174" i="8"/>
  <c r="AB174" i="8"/>
  <c r="AA174" i="8"/>
  <c r="AG173" i="8"/>
  <c r="AF173" i="8"/>
  <c r="AE173" i="8"/>
  <c r="AD173" i="8"/>
  <c r="AC173" i="8"/>
  <c r="AB173" i="8"/>
  <c r="AA173" i="8"/>
  <c r="AG172" i="8"/>
  <c r="AF172" i="8"/>
  <c r="AE172" i="8"/>
  <c r="AC172" i="8"/>
  <c r="AB172" i="8"/>
  <c r="AA172" i="8"/>
  <c r="Q172" i="8"/>
  <c r="AD172" i="8" s="1"/>
  <c r="AG171" i="8"/>
  <c r="AF171" i="8"/>
  <c r="AE171" i="8"/>
  <c r="AD171" i="8"/>
  <c r="AC171" i="8"/>
  <c r="AB171" i="8"/>
  <c r="AA171" i="8"/>
  <c r="AG170" i="8"/>
  <c r="AF170" i="8"/>
  <c r="AE170" i="8"/>
  <c r="AD170" i="8"/>
  <c r="AC170" i="8"/>
  <c r="AB170" i="8"/>
  <c r="AA170" i="8"/>
  <c r="AG169" i="8"/>
  <c r="AF169" i="8"/>
  <c r="AE169" i="8"/>
  <c r="AD169" i="8"/>
  <c r="AC169" i="8"/>
  <c r="AB169" i="8"/>
  <c r="AA169" i="8"/>
  <c r="AG168" i="8"/>
  <c r="AF168" i="8"/>
  <c r="AE168" i="8"/>
  <c r="AD168" i="8"/>
  <c r="AC168" i="8"/>
  <c r="AB168" i="8"/>
  <c r="AA168" i="8"/>
  <c r="AG167" i="8"/>
  <c r="AF167" i="8"/>
  <c r="AE167" i="8"/>
  <c r="AC167" i="8"/>
  <c r="AB167" i="8"/>
  <c r="AA167" i="8"/>
  <c r="Q167" i="8"/>
  <c r="AD167" i="8" s="1"/>
  <c r="AG166" i="8"/>
  <c r="AF166" i="8"/>
  <c r="AE166" i="8"/>
  <c r="AD166" i="8"/>
  <c r="AC166" i="8"/>
  <c r="AB166" i="8"/>
  <c r="AA166" i="8"/>
  <c r="AG165" i="8"/>
  <c r="AF165" i="8"/>
  <c r="AE165" i="8"/>
  <c r="AD165" i="8"/>
  <c r="AC165" i="8"/>
  <c r="AB165" i="8"/>
  <c r="AA165" i="8"/>
  <c r="AG164" i="8"/>
  <c r="AF164" i="8"/>
  <c r="AE164" i="8"/>
  <c r="AC164" i="8"/>
  <c r="AB164" i="8"/>
  <c r="AA164" i="8"/>
  <c r="Q164" i="8"/>
  <c r="AD164" i="8" s="1"/>
  <c r="AG163" i="8"/>
  <c r="AF163" i="8"/>
  <c r="AE163" i="8"/>
  <c r="AD163" i="8"/>
  <c r="AC163" i="8"/>
  <c r="AB163" i="8"/>
  <c r="AA163" i="8"/>
  <c r="AG162" i="8"/>
  <c r="AF162" i="8"/>
  <c r="AE162" i="8"/>
  <c r="AD162" i="8"/>
  <c r="AC162" i="8"/>
  <c r="AB162" i="8"/>
  <c r="AA162" i="8"/>
  <c r="AG161" i="8"/>
  <c r="AF161" i="8"/>
  <c r="AE161" i="8"/>
  <c r="AC161" i="8"/>
  <c r="AB161" i="8"/>
  <c r="AA161" i="8"/>
  <c r="Q161" i="8"/>
  <c r="AD161" i="8" s="1"/>
  <c r="AG160" i="8"/>
  <c r="AF160" i="8"/>
  <c r="AE160" i="8"/>
  <c r="AD160" i="8"/>
  <c r="AC160" i="8"/>
  <c r="AB160" i="8"/>
  <c r="AA160" i="8"/>
  <c r="AG159" i="8"/>
  <c r="AF159" i="8"/>
  <c r="AE159" i="8"/>
  <c r="AD159" i="8"/>
  <c r="AC159" i="8"/>
  <c r="AB159" i="8"/>
  <c r="AA159" i="8"/>
  <c r="AG158" i="8"/>
  <c r="AF158" i="8"/>
  <c r="AE158" i="8"/>
  <c r="AC158" i="8"/>
  <c r="AB158" i="8"/>
  <c r="AA158" i="8"/>
  <c r="Q158" i="8"/>
  <c r="AD158" i="8" s="1"/>
  <c r="AG157" i="8"/>
  <c r="AF157" i="8"/>
  <c r="AE157" i="8"/>
  <c r="AD157" i="8"/>
  <c r="AC157" i="8"/>
  <c r="AB157" i="8"/>
  <c r="AA157" i="8"/>
  <c r="AG156" i="8"/>
  <c r="AF156" i="8"/>
  <c r="AE156" i="8"/>
  <c r="AD156" i="8"/>
  <c r="AC156" i="8"/>
  <c r="AB156" i="8"/>
  <c r="AA156" i="8"/>
  <c r="AG155" i="8"/>
  <c r="AF155" i="8"/>
  <c r="AE155" i="8"/>
  <c r="AC155" i="8"/>
  <c r="AB155" i="8"/>
  <c r="AA155" i="8"/>
  <c r="Q155" i="8"/>
  <c r="AD155" i="8" s="1"/>
  <c r="AG154" i="8"/>
  <c r="AF154" i="8"/>
  <c r="AE154" i="8"/>
  <c r="AD154" i="8"/>
  <c r="AC154" i="8"/>
  <c r="AB154" i="8"/>
  <c r="AA154" i="8"/>
  <c r="AG153" i="8"/>
  <c r="AF153" i="8"/>
  <c r="AE153" i="8"/>
  <c r="AD153" i="8"/>
  <c r="AC153" i="8"/>
  <c r="AB153" i="8"/>
  <c r="AA153" i="8"/>
  <c r="AG152" i="8"/>
  <c r="AF152" i="8"/>
  <c r="AE152" i="8"/>
  <c r="AD152" i="8"/>
  <c r="AC152" i="8"/>
  <c r="AB152" i="8"/>
  <c r="AA152" i="8"/>
  <c r="AG151" i="8"/>
  <c r="AF151" i="8"/>
  <c r="AE151" i="8"/>
  <c r="AD151" i="8"/>
  <c r="AC151" i="8"/>
  <c r="AB151" i="8"/>
  <c r="AA151" i="8"/>
  <c r="AG150" i="8"/>
  <c r="AF150" i="8"/>
  <c r="AE150" i="8"/>
  <c r="AC150" i="8"/>
  <c r="AB150" i="8"/>
  <c r="AA150" i="8"/>
  <c r="Q150" i="8"/>
  <c r="AD150" i="8" s="1"/>
  <c r="AG149" i="8"/>
  <c r="AF149" i="8"/>
  <c r="AE149" i="8"/>
  <c r="AC149" i="8"/>
  <c r="AB149" i="8"/>
  <c r="AA149" i="8"/>
  <c r="Q149" i="8"/>
  <c r="AD149" i="8" s="1"/>
  <c r="AG148" i="8"/>
  <c r="AF148" i="8"/>
  <c r="AE148" i="8"/>
  <c r="AD148" i="8"/>
  <c r="AC148" i="8"/>
  <c r="AB148" i="8"/>
  <c r="AA148" i="8"/>
  <c r="AG147" i="8"/>
  <c r="AF147" i="8"/>
  <c r="AE147" i="8"/>
  <c r="AD147" i="8"/>
  <c r="AC147" i="8"/>
  <c r="AB147" i="8"/>
  <c r="AA147" i="8"/>
  <c r="AG146" i="8"/>
  <c r="AF146" i="8"/>
  <c r="AE146" i="8"/>
  <c r="AC146" i="8"/>
  <c r="AB146" i="8"/>
  <c r="AA146" i="8"/>
  <c r="Q146" i="8"/>
  <c r="AD146" i="8" s="1"/>
  <c r="AG145" i="8"/>
  <c r="AF145" i="8"/>
  <c r="AE145" i="8"/>
  <c r="AD145" i="8"/>
  <c r="AC145" i="8"/>
  <c r="AB145" i="8"/>
  <c r="AA145" i="8"/>
  <c r="AG144" i="8"/>
  <c r="AF144" i="8"/>
  <c r="AE144" i="8"/>
  <c r="AD144" i="8"/>
  <c r="AC144" i="8"/>
  <c r="AB144" i="8"/>
  <c r="AA144" i="8"/>
  <c r="AG143" i="8"/>
  <c r="AF143" i="8"/>
  <c r="AE143" i="8"/>
  <c r="AC143" i="8"/>
  <c r="AB143" i="8"/>
  <c r="AA143" i="8"/>
  <c r="Q143" i="8"/>
  <c r="AD143" i="8" s="1"/>
  <c r="AG142" i="8"/>
  <c r="AF142" i="8"/>
  <c r="AE142" i="8"/>
  <c r="AD142" i="8"/>
  <c r="AC142" i="8"/>
  <c r="AB142" i="8"/>
  <c r="AA142" i="8"/>
  <c r="AG141" i="8"/>
  <c r="AF141" i="8"/>
  <c r="AE141" i="8"/>
  <c r="AD141" i="8"/>
  <c r="AC141" i="8"/>
  <c r="AB141" i="8"/>
  <c r="AA141" i="8"/>
  <c r="AG140" i="8"/>
  <c r="AF140" i="8"/>
  <c r="AE140" i="8"/>
  <c r="AD140" i="8"/>
  <c r="AC140" i="8"/>
  <c r="AB140" i="8"/>
  <c r="AA140" i="8"/>
  <c r="AG139" i="8"/>
  <c r="AF139" i="8"/>
  <c r="AE139" i="8"/>
  <c r="AD139" i="8"/>
  <c r="AC139" i="8"/>
  <c r="AB139" i="8"/>
  <c r="AA139" i="8"/>
  <c r="AG138" i="8"/>
  <c r="AF138" i="8"/>
  <c r="AE138" i="8"/>
  <c r="AC138" i="8"/>
  <c r="AB138" i="8"/>
  <c r="AA138" i="8"/>
  <c r="Q138" i="8"/>
  <c r="AD138" i="8" s="1"/>
  <c r="AG137" i="8"/>
  <c r="AF137" i="8"/>
  <c r="AE137" i="8"/>
  <c r="AD137" i="8"/>
  <c r="AC137" i="8"/>
  <c r="AB137" i="8"/>
  <c r="AA137" i="8"/>
  <c r="AG136" i="8"/>
  <c r="AF136" i="8"/>
  <c r="AE136" i="8"/>
  <c r="AD136" i="8"/>
  <c r="AC136" i="8"/>
  <c r="AB136" i="8"/>
  <c r="AA136" i="8"/>
  <c r="AG135" i="8"/>
  <c r="AF135" i="8"/>
  <c r="AE135" i="8"/>
  <c r="AC135" i="8"/>
  <c r="AB135" i="8"/>
  <c r="AA135" i="8"/>
  <c r="Q135" i="8"/>
  <c r="AD135" i="8" s="1"/>
  <c r="AG134" i="8"/>
  <c r="AF134" i="8"/>
  <c r="AE134" i="8"/>
  <c r="AD134" i="8"/>
  <c r="AC134" i="8"/>
  <c r="AB134" i="8"/>
  <c r="AA134" i="8"/>
  <c r="AG133" i="8"/>
  <c r="AF133" i="8"/>
  <c r="AE133" i="8"/>
  <c r="AD133" i="8"/>
  <c r="AC133" i="8"/>
  <c r="AB133" i="8"/>
  <c r="AA133" i="8"/>
  <c r="AG132" i="8"/>
  <c r="AF132" i="8"/>
  <c r="AE132" i="8"/>
  <c r="AC132" i="8"/>
  <c r="AB132" i="8"/>
  <c r="AA132" i="8"/>
  <c r="Q132" i="8"/>
  <c r="AD132" i="8" s="1"/>
  <c r="AG131" i="8"/>
  <c r="AF131" i="8"/>
  <c r="AE131" i="8"/>
  <c r="AD131" i="8"/>
  <c r="AC131" i="8"/>
  <c r="AB131" i="8"/>
  <c r="AA131" i="8"/>
  <c r="AG130" i="8"/>
  <c r="AF130" i="8"/>
  <c r="AE130" i="8"/>
  <c r="AD130" i="8"/>
  <c r="AC130" i="8"/>
  <c r="AB130" i="8"/>
  <c r="AA130" i="8"/>
  <c r="AG129" i="8"/>
  <c r="AF129" i="8"/>
  <c r="AE129" i="8"/>
  <c r="AC129" i="8"/>
  <c r="AB129" i="8"/>
  <c r="AA129" i="8"/>
  <c r="Q129" i="8"/>
  <c r="AD129" i="8" s="1"/>
  <c r="AG128" i="8"/>
  <c r="AF128" i="8"/>
  <c r="AE128" i="8"/>
  <c r="AD128" i="8"/>
  <c r="AC128" i="8"/>
  <c r="AB128" i="8"/>
  <c r="AA128" i="8"/>
  <c r="AG127" i="8"/>
  <c r="AF127" i="8"/>
  <c r="AE127" i="8"/>
  <c r="AD127" i="8"/>
  <c r="AC127" i="8"/>
  <c r="AB127" i="8"/>
  <c r="AA127" i="8"/>
  <c r="AG126" i="8"/>
  <c r="AF126" i="8"/>
  <c r="AE126" i="8"/>
  <c r="AC126" i="8"/>
  <c r="AB126" i="8"/>
  <c r="AA126" i="8"/>
  <c r="Q126" i="8"/>
  <c r="AD126" i="8" s="1"/>
  <c r="AG125" i="8"/>
  <c r="AF125" i="8"/>
  <c r="AE125" i="8"/>
  <c r="AD125" i="8"/>
  <c r="AC125" i="8"/>
  <c r="AB125" i="8"/>
  <c r="AA125" i="8"/>
  <c r="AG124" i="8"/>
  <c r="AF124" i="8"/>
  <c r="AE124" i="8"/>
  <c r="AD124" i="8"/>
  <c r="AC124" i="8"/>
  <c r="AB124" i="8"/>
  <c r="AA124" i="8"/>
  <c r="AG123" i="8"/>
  <c r="AF123" i="8"/>
  <c r="AE123" i="8"/>
  <c r="AD123" i="8"/>
  <c r="AC123" i="8"/>
  <c r="AB123" i="8"/>
  <c r="AA123" i="8"/>
  <c r="AG122" i="8"/>
  <c r="AF122" i="8"/>
  <c r="AE122" i="8"/>
  <c r="AD122" i="8"/>
  <c r="AC122" i="8"/>
  <c r="AB122" i="8"/>
  <c r="AA122" i="8"/>
  <c r="AG121" i="8"/>
  <c r="AF121" i="8"/>
  <c r="AE121" i="8"/>
  <c r="AD121" i="8"/>
  <c r="AC121" i="8"/>
  <c r="AB121" i="8"/>
  <c r="AA121" i="8"/>
  <c r="AG120" i="8"/>
  <c r="AF120" i="8"/>
  <c r="AE120" i="8"/>
  <c r="AD120" i="8"/>
  <c r="AC120" i="8"/>
  <c r="AB120" i="8"/>
  <c r="AA120" i="8"/>
  <c r="AG119" i="8"/>
  <c r="AF119" i="8"/>
  <c r="AE119" i="8"/>
  <c r="AD119" i="8"/>
  <c r="AC119" i="8"/>
  <c r="AB119" i="8"/>
  <c r="AA119" i="8"/>
  <c r="AG118" i="8"/>
  <c r="AF118" i="8"/>
  <c r="AE118" i="8"/>
  <c r="AD118" i="8"/>
  <c r="AC118" i="8"/>
  <c r="AB118" i="8"/>
  <c r="AA118" i="8"/>
  <c r="AG117" i="8"/>
  <c r="AF117" i="8"/>
  <c r="AE117" i="8"/>
  <c r="AD117" i="8"/>
  <c r="AC117" i="8"/>
  <c r="AB117" i="8"/>
  <c r="AA117" i="8"/>
  <c r="AG116" i="8"/>
  <c r="AF116" i="8"/>
  <c r="AE116" i="8"/>
  <c r="AD116" i="8"/>
  <c r="AC116" i="8"/>
  <c r="AB116" i="8"/>
  <c r="AA116" i="8"/>
  <c r="AG115" i="8"/>
  <c r="AF115" i="8"/>
  <c r="AE115" i="8"/>
  <c r="AD115" i="8"/>
  <c r="AC115" i="8"/>
  <c r="AB115" i="8"/>
  <c r="AA115" i="8"/>
  <c r="AG114" i="8"/>
  <c r="AF114" i="8"/>
  <c r="AE114" i="8"/>
  <c r="AD114" i="8"/>
  <c r="AC114" i="8"/>
  <c r="AB114" i="8"/>
  <c r="AA114" i="8"/>
  <c r="AG113" i="8"/>
  <c r="AF113" i="8"/>
  <c r="AE113" i="8"/>
  <c r="AD113" i="8"/>
  <c r="AC113" i="8"/>
  <c r="AB113" i="8"/>
  <c r="AA113" i="8"/>
  <c r="AG112" i="8"/>
  <c r="AF112" i="8"/>
  <c r="AE112" i="8"/>
  <c r="AD112" i="8"/>
  <c r="AC112" i="8"/>
  <c r="AB112" i="8"/>
  <c r="AA112" i="8"/>
  <c r="AG111" i="8"/>
  <c r="AF111" i="8"/>
  <c r="AE111" i="8"/>
  <c r="AD111" i="8"/>
  <c r="AC111" i="8"/>
  <c r="AB111" i="8"/>
  <c r="AA111" i="8"/>
  <c r="AG110" i="8"/>
  <c r="AF110" i="8"/>
  <c r="AE110" i="8"/>
  <c r="AD110" i="8"/>
  <c r="AC110" i="8"/>
  <c r="AB110" i="8"/>
  <c r="AA110" i="8"/>
  <c r="AG109" i="8"/>
  <c r="AF109" i="8"/>
  <c r="AE109" i="8"/>
  <c r="AD109" i="8"/>
  <c r="AC109" i="8"/>
  <c r="AB109" i="8"/>
  <c r="AA109" i="8"/>
  <c r="AG108" i="8"/>
  <c r="AF108" i="8"/>
  <c r="AE108" i="8"/>
  <c r="AD108" i="8"/>
  <c r="AC108" i="8"/>
  <c r="AB108" i="8"/>
  <c r="AA108" i="8"/>
  <c r="AG107" i="8"/>
  <c r="AF107" i="8"/>
  <c r="AE107" i="8"/>
  <c r="AD107" i="8"/>
  <c r="AC107" i="8"/>
  <c r="AB107" i="8"/>
  <c r="AA107" i="8"/>
  <c r="AG106" i="8"/>
  <c r="AF106" i="8"/>
  <c r="AE106" i="8"/>
  <c r="AD106" i="8"/>
  <c r="AC106" i="8"/>
  <c r="AB106" i="8"/>
  <c r="AA106" i="8"/>
  <c r="AG105" i="8"/>
  <c r="AF105" i="8"/>
  <c r="AE105" i="8"/>
  <c r="AD105" i="8"/>
  <c r="AC105" i="8"/>
  <c r="AB105" i="8"/>
  <c r="AA105" i="8"/>
  <c r="AG104" i="8"/>
  <c r="AF104" i="8"/>
  <c r="AE104" i="8"/>
  <c r="AC104" i="8"/>
  <c r="AB104" i="8"/>
  <c r="AA104" i="8"/>
  <c r="Q104" i="8"/>
  <c r="AD104" i="8" s="1"/>
  <c r="AG103" i="8"/>
  <c r="AF103" i="8"/>
  <c r="AE103" i="8"/>
  <c r="AD103" i="8"/>
  <c r="AC103" i="8"/>
  <c r="AB103" i="8"/>
  <c r="AA103" i="8"/>
  <c r="AG102" i="8"/>
  <c r="AF102" i="8"/>
  <c r="AE102" i="8"/>
  <c r="AD102" i="8"/>
  <c r="AC102" i="8"/>
  <c r="AB102" i="8"/>
  <c r="AA102" i="8"/>
  <c r="AG101" i="8"/>
  <c r="AF101" i="8"/>
  <c r="AE101" i="8"/>
  <c r="AD101" i="8"/>
  <c r="AC101" i="8"/>
  <c r="AB101" i="8"/>
  <c r="AA101" i="8"/>
  <c r="AG100" i="8"/>
  <c r="AF100" i="8"/>
  <c r="AE100" i="8"/>
  <c r="AD100" i="8"/>
  <c r="AC100" i="8"/>
  <c r="AB100" i="8"/>
  <c r="AA100" i="8"/>
  <c r="AG99" i="8"/>
  <c r="AF99" i="8"/>
  <c r="AE99" i="8"/>
  <c r="AD99" i="8"/>
  <c r="AC99" i="8"/>
  <c r="AB99" i="8"/>
  <c r="AA99" i="8"/>
  <c r="AG98" i="8"/>
  <c r="AF98" i="8"/>
  <c r="AE98" i="8"/>
  <c r="AD98" i="8"/>
  <c r="AC98" i="8"/>
  <c r="AB98" i="8"/>
  <c r="AA98" i="8"/>
  <c r="AG97" i="8"/>
  <c r="AF97" i="8"/>
  <c r="AE97" i="8"/>
  <c r="AD97" i="8"/>
  <c r="AC97" i="8"/>
  <c r="AB97" i="8"/>
  <c r="AA97" i="8"/>
  <c r="AG96" i="8"/>
  <c r="AF96" i="8"/>
  <c r="AE96" i="8"/>
  <c r="AD96" i="8"/>
  <c r="AC96" i="8"/>
  <c r="AB96" i="8"/>
  <c r="AA96" i="8"/>
  <c r="AG95" i="8"/>
  <c r="AF95" i="8"/>
  <c r="AE95" i="8"/>
  <c r="AC95" i="8"/>
  <c r="AB95" i="8"/>
  <c r="AA95" i="8"/>
  <c r="Q95" i="8"/>
  <c r="AD95" i="8" s="1"/>
  <c r="AG94" i="8"/>
  <c r="AF94" i="8"/>
  <c r="AE94" i="8"/>
  <c r="AD94" i="8"/>
  <c r="AC94" i="8"/>
  <c r="AB94" i="8"/>
  <c r="AA94" i="8"/>
  <c r="AG93" i="8"/>
  <c r="AF93" i="8"/>
  <c r="AE93" i="8"/>
  <c r="AD93" i="8"/>
  <c r="AC93" i="8"/>
  <c r="AB93" i="8"/>
  <c r="AA93" i="8"/>
  <c r="AG92" i="8"/>
  <c r="AF92" i="8"/>
  <c r="AE92" i="8"/>
  <c r="AC92" i="8"/>
  <c r="AB92" i="8"/>
  <c r="AA92" i="8"/>
  <c r="Q92" i="8"/>
  <c r="AD92" i="8" s="1"/>
  <c r="AG91" i="8"/>
  <c r="AF91" i="8"/>
  <c r="AE91" i="8"/>
  <c r="AD91" i="8"/>
  <c r="AC91" i="8"/>
  <c r="AB91" i="8"/>
  <c r="AA91" i="8"/>
  <c r="AG90" i="8"/>
  <c r="AF90" i="8"/>
  <c r="AE90" i="8"/>
  <c r="AD90" i="8"/>
  <c r="AC90" i="8"/>
  <c r="AB90" i="8"/>
  <c r="AA90" i="8"/>
  <c r="AG89" i="8"/>
  <c r="AF89" i="8"/>
  <c r="AE89" i="8"/>
  <c r="AD89" i="8"/>
  <c r="AC89" i="8"/>
  <c r="AB89" i="8"/>
  <c r="AA89" i="8"/>
  <c r="AG88" i="8"/>
  <c r="AF88" i="8"/>
  <c r="AE88" i="8"/>
  <c r="AD88" i="8"/>
  <c r="AC88" i="8"/>
  <c r="AB88" i="8"/>
  <c r="AA88" i="8"/>
  <c r="AG87" i="8"/>
  <c r="AF87" i="8"/>
  <c r="AE87" i="8"/>
  <c r="AD87" i="8"/>
  <c r="AC87" i="8"/>
  <c r="AB87" i="8"/>
  <c r="AA87" i="8"/>
  <c r="AG86" i="8"/>
  <c r="AF86" i="8"/>
  <c r="AE86" i="8"/>
  <c r="AD86" i="8"/>
  <c r="AC86" i="8"/>
  <c r="AB86" i="8"/>
  <c r="AA86" i="8"/>
  <c r="AG85" i="8"/>
  <c r="AF85" i="8"/>
  <c r="AE85" i="8"/>
  <c r="AD85" i="8"/>
  <c r="AC85" i="8"/>
  <c r="AB85" i="8"/>
  <c r="AA85" i="8"/>
  <c r="AG84" i="8"/>
  <c r="AF84" i="8"/>
  <c r="AE84" i="8"/>
  <c r="AD84" i="8"/>
  <c r="AC84" i="8"/>
  <c r="AB84" i="8"/>
  <c r="AA84" i="8"/>
  <c r="AG83" i="8"/>
  <c r="AF83" i="8"/>
  <c r="AE83" i="8"/>
  <c r="AD83" i="8"/>
  <c r="AC83" i="8"/>
  <c r="AB83" i="8"/>
  <c r="AA83" i="8"/>
  <c r="AG82" i="8"/>
  <c r="AF82" i="8"/>
  <c r="AE82" i="8"/>
  <c r="AD82" i="8"/>
  <c r="AC82" i="8"/>
  <c r="AB82" i="8"/>
  <c r="AA82" i="8"/>
  <c r="AG81" i="8"/>
  <c r="AF81" i="8"/>
  <c r="AE81" i="8"/>
  <c r="AD81" i="8"/>
  <c r="AC81" i="8"/>
  <c r="AB81" i="8"/>
  <c r="AA81" i="8"/>
  <c r="AG80" i="8"/>
  <c r="AF80" i="8"/>
  <c r="AE80" i="8"/>
  <c r="AD80" i="8"/>
  <c r="AC80" i="8"/>
  <c r="AB80" i="8"/>
  <c r="AA80" i="8"/>
  <c r="AG79" i="8"/>
  <c r="AF79" i="8"/>
  <c r="AE79" i="8"/>
  <c r="AD79" i="8"/>
  <c r="AC79" i="8"/>
  <c r="AB79" i="8"/>
  <c r="AA79" i="8"/>
  <c r="AG78" i="8"/>
  <c r="AF78" i="8"/>
  <c r="AE78" i="8"/>
  <c r="AD78" i="8"/>
  <c r="AC78" i="8"/>
  <c r="AB78" i="8"/>
  <c r="AA78" i="8"/>
  <c r="AG77" i="8"/>
  <c r="AF77" i="8"/>
  <c r="AE77" i="8"/>
  <c r="AD77" i="8"/>
  <c r="AC77" i="8"/>
  <c r="AB77" i="8"/>
  <c r="AA77" i="8"/>
  <c r="AG76" i="8"/>
  <c r="AF76" i="8"/>
  <c r="AE76" i="8"/>
  <c r="AD76" i="8"/>
  <c r="AC76" i="8"/>
  <c r="AB76" i="8"/>
  <c r="AA76" i="8"/>
  <c r="AG75" i="8"/>
  <c r="AF75" i="8"/>
  <c r="AE75" i="8"/>
  <c r="AD75" i="8"/>
  <c r="AC75" i="8"/>
  <c r="AB75" i="8"/>
  <c r="AA75" i="8"/>
  <c r="AG74" i="8"/>
  <c r="AF74" i="8"/>
  <c r="AE74" i="8"/>
  <c r="AD74" i="8"/>
  <c r="AC74" i="8"/>
  <c r="AB74" i="8"/>
  <c r="AA74" i="8"/>
  <c r="AG73" i="8"/>
  <c r="AF73" i="8"/>
  <c r="AE73" i="8"/>
  <c r="AD73" i="8"/>
  <c r="AC73" i="8"/>
  <c r="AB73" i="8"/>
  <c r="AA73" i="8"/>
  <c r="AG72" i="8"/>
  <c r="AF72" i="8"/>
  <c r="AE72" i="8"/>
  <c r="AD72" i="8"/>
  <c r="AC72" i="8"/>
  <c r="AB72" i="8"/>
  <c r="AA72" i="8"/>
  <c r="AG71" i="8"/>
  <c r="AF71" i="8"/>
  <c r="AE71" i="8"/>
  <c r="AD71" i="8"/>
  <c r="AC71" i="8"/>
  <c r="AB71" i="8"/>
  <c r="AA71" i="8"/>
  <c r="AG70" i="8"/>
  <c r="AF70" i="8"/>
  <c r="AE70" i="8"/>
  <c r="AD70" i="8"/>
  <c r="AC70" i="8"/>
  <c r="AB70" i="8"/>
  <c r="AA70" i="8"/>
  <c r="AG69" i="8"/>
  <c r="AF69" i="8"/>
  <c r="AE69" i="8"/>
  <c r="AD69" i="8"/>
  <c r="AC69" i="8"/>
  <c r="AB69" i="8"/>
  <c r="AA69" i="8"/>
  <c r="AG68" i="8"/>
  <c r="AF68" i="8"/>
  <c r="AE68" i="8"/>
  <c r="AD68" i="8"/>
  <c r="AC68" i="8"/>
  <c r="AB68" i="8"/>
  <c r="AA68" i="8"/>
  <c r="AG67" i="8"/>
  <c r="AF67" i="8"/>
  <c r="AE67" i="8"/>
  <c r="AD67" i="8"/>
  <c r="AC67" i="8"/>
  <c r="AB67" i="8"/>
  <c r="AA67" i="8"/>
  <c r="AG66" i="8"/>
  <c r="AF66" i="8"/>
  <c r="AE66" i="8"/>
  <c r="AC66" i="8"/>
  <c r="AB66" i="8"/>
  <c r="AA66" i="8"/>
  <c r="Q66" i="8"/>
  <c r="AD66" i="8" s="1"/>
  <c r="AG65" i="8"/>
  <c r="AF65" i="8"/>
  <c r="AE65" i="8"/>
  <c r="AD65" i="8"/>
  <c r="AC65" i="8"/>
  <c r="AB65" i="8"/>
  <c r="AA65" i="8"/>
  <c r="AG64" i="8"/>
  <c r="AF64" i="8"/>
  <c r="AE64" i="8"/>
  <c r="AD64" i="8"/>
  <c r="AC64" i="8"/>
  <c r="AB64" i="8"/>
  <c r="AA64" i="8"/>
  <c r="AG63" i="8"/>
  <c r="AF63" i="8"/>
  <c r="AE63" i="8"/>
  <c r="AD63" i="8"/>
  <c r="AC63" i="8"/>
  <c r="AB63" i="8"/>
  <c r="AA63" i="8"/>
  <c r="AG62" i="8"/>
  <c r="AF62" i="8"/>
  <c r="AE62" i="8"/>
  <c r="AD62" i="8"/>
  <c r="AC62" i="8"/>
  <c r="AB62" i="8"/>
  <c r="AA62" i="8"/>
  <c r="AG61" i="8"/>
  <c r="AF61" i="8"/>
  <c r="AE61" i="8"/>
  <c r="AD61" i="8"/>
  <c r="AC61" i="8"/>
  <c r="AB61" i="8"/>
  <c r="AA61" i="8"/>
  <c r="AG60" i="8"/>
  <c r="AF60" i="8"/>
  <c r="AE60" i="8"/>
  <c r="AD60" i="8"/>
  <c r="AC60" i="8"/>
  <c r="AB60" i="8"/>
  <c r="AA60" i="8"/>
  <c r="AG59" i="8"/>
  <c r="AF59" i="8"/>
  <c r="AE59" i="8"/>
  <c r="AD59" i="8"/>
  <c r="AC59" i="8"/>
  <c r="AB59" i="8"/>
  <c r="AA59" i="8"/>
  <c r="AG58" i="8"/>
  <c r="AF58" i="8"/>
  <c r="AE58" i="8"/>
  <c r="AD58" i="8"/>
  <c r="AC58" i="8"/>
  <c r="AB58" i="8"/>
  <c r="AA58" i="8"/>
  <c r="AG57" i="8"/>
  <c r="AF57" i="8"/>
  <c r="AE57" i="8"/>
  <c r="AD57" i="8"/>
  <c r="AC57" i="8"/>
  <c r="AB57" i="8"/>
  <c r="AA57" i="8"/>
  <c r="AG56" i="8"/>
  <c r="AF56" i="8"/>
  <c r="AE56" i="8"/>
  <c r="AD56" i="8"/>
  <c r="AC56" i="8"/>
  <c r="AB56" i="8"/>
  <c r="AA56" i="8"/>
  <c r="AG55" i="8"/>
  <c r="AF55" i="8"/>
  <c r="AE55" i="8"/>
  <c r="AD55" i="8"/>
  <c r="AC55" i="8"/>
  <c r="AB55" i="8"/>
  <c r="AA55" i="8"/>
  <c r="AG54" i="8"/>
  <c r="AF54" i="8"/>
  <c r="AE54" i="8"/>
  <c r="AD54" i="8"/>
  <c r="AC54" i="8"/>
  <c r="AB54" i="8"/>
  <c r="AA54" i="8"/>
  <c r="AG53" i="8"/>
  <c r="AF53" i="8"/>
  <c r="AE53" i="8"/>
  <c r="AD53" i="8"/>
  <c r="AC53" i="8"/>
  <c r="AB53" i="8"/>
  <c r="AA53" i="8"/>
  <c r="AG52" i="8"/>
  <c r="AF52" i="8"/>
  <c r="AE52" i="8"/>
  <c r="AD52" i="8"/>
  <c r="AC52" i="8"/>
  <c r="AB52" i="8"/>
  <c r="AA52" i="8"/>
  <c r="AG51" i="8"/>
  <c r="AF51" i="8"/>
  <c r="AE51" i="8"/>
  <c r="AD51" i="8"/>
  <c r="AC51" i="8"/>
  <c r="AB51" i="8"/>
  <c r="AA51" i="8"/>
  <c r="AG50" i="8"/>
  <c r="AF50" i="8"/>
  <c r="AE50" i="8"/>
  <c r="AD50" i="8"/>
  <c r="AC50" i="8"/>
  <c r="AB50" i="8"/>
  <c r="AA50" i="8"/>
  <c r="AG49" i="8"/>
  <c r="AF49" i="8"/>
  <c r="AE49" i="8"/>
  <c r="AD49" i="8"/>
  <c r="AC49" i="8"/>
  <c r="AB49" i="8"/>
  <c r="AA49" i="8"/>
  <c r="AG48" i="8"/>
  <c r="AF48" i="8"/>
  <c r="AE48" i="8"/>
  <c r="AD48" i="8"/>
  <c r="AC48" i="8"/>
  <c r="AB48" i="8"/>
  <c r="AA48" i="8"/>
  <c r="AG47" i="8"/>
  <c r="AF47" i="8"/>
  <c r="AE47" i="8"/>
  <c r="AD47" i="8"/>
  <c r="AC47" i="8"/>
  <c r="AB47" i="8"/>
  <c r="AA47" i="8"/>
  <c r="AG46" i="8"/>
  <c r="AF46" i="8"/>
  <c r="AE46" i="8"/>
  <c r="AD46" i="8"/>
  <c r="AC46" i="8"/>
  <c r="AB46" i="8"/>
  <c r="AA46" i="8"/>
  <c r="AG45" i="8"/>
  <c r="AF45" i="8"/>
  <c r="AE45" i="8"/>
  <c r="AD45" i="8"/>
  <c r="AC45" i="8"/>
  <c r="AB45" i="8"/>
  <c r="AA45" i="8"/>
  <c r="AG44" i="8"/>
  <c r="AF44" i="8"/>
  <c r="AE44" i="8"/>
  <c r="AD44" i="8"/>
  <c r="AC44" i="8"/>
  <c r="AB44" i="8"/>
  <c r="AA44" i="8"/>
  <c r="AG43" i="8"/>
  <c r="AF43" i="8"/>
  <c r="AE43" i="8"/>
  <c r="AD43" i="8"/>
  <c r="AC43" i="8"/>
  <c r="AB43" i="8"/>
  <c r="AA43" i="8"/>
  <c r="AG42" i="8"/>
  <c r="AF42" i="8"/>
  <c r="AE42" i="8"/>
  <c r="AD42" i="8"/>
  <c r="AC42" i="8"/>
  <c r="AB42" i="8"/>
  <c r="AA42" i="8"/>
  <c r="AG41" i="8"/>
  <c r="AF41" i="8"/>
  <c r="AE41" i="8"/>
  <c r="AC41" i="8"/>
  <c r="AB41" i="8"/>
  <c r="AA41" i="8"/>
  <c r="Q41" i="8"/>
  <c r="AD41" i="8" s="1"/>
  <c r="AG40" i="8"/>
  <c r="AF40" i="8"/>
  <c r="AE40" i="8"/>
  <c r="AD40" i="8"/>
  <c r="AC40" i="8"/>
  <c r="AB40" i="8"/>
  <c r="AA40" i="8"/>
  <c r="AG39" i="8"/>
  <c r="AF39" i="8"/>
  <c r="AE39" i="8"/>
  <c r="AD39" i="8"/>
  <c r="AC39" i="8"/>
  <c r="AB39" i="8"/>
  <c r="AA39" i="8"/>
  <c r="AG38" i="8"/>
  <c r="AF38" i="8"/>
  <c r="AE38" i="8"/>
  <c r="AD38" i="8"/>
  <c r="AC38" i="8"/>
  <c r="AB38" i="8"/>
  <c r="AA38" i="8"/>
  <c r="Q38" i="8"/>
  <c r="AG37" i="8"/>
  <c r="AF37" i="8"/>
  <c r="AE37" i="8"/>
  <c r="AD37" i="8"/>
  <c r="AC37" i="8"/>
  <c r="AB37" i="8"/>
  <c r="AA37" i="8"/>
  <c r="AG36" i="8"/>
  <c r="AF36" i="8"/>
  <c r="AE36" i="8"/>
  <c r="AD36" i="8"/>
  <c r="AC36" i="8"/>
  <c r="AB36" i="8"/>
  <c r="AA36" i="8"/>
  <c r="AG35" i="8"/>
  <c r="AF35" i="8"/>
  <c r="AE35" i="8"/>
  <c r="AC35" i="8"/>
  <c r="AB35" i="8"/>
  <c r="AA35" i="8"/>
  <c r="Q35" i="8"/>
  <c r="AD35" i="8" s="1"/>
  <c r="AG34" i="8"/>
  <c r="AF34" i="8"/>
  <c r="AE34" i="8"/>
  <c r="AD34" i="8"/>
  <c r="AC34" i="8"/>
  <c r="AB34" i="8"/>
  <c r="AA34" i="8"/>
  <c r="AG33" i="8"/>
  <c r="AF33" i="8"/>
  <c r="AE33" i="8"/>
  <c r="AD33" i="8"/>
  <c r="AC33" i="8"/>
  <c r="AB33" i="8"/>
  <c r="AA33" i="8"/>
  <c r="AG32" i="8"/>
  <c r="AF32" i="8"/>
  <c r="AE32" i="8"/>
  <c r="AD32" i="8"/>
  <c r="AC32" i="8"/>
  <c r="AB32" i="8"/>
  <c r="AA32" i="8"/>
  <c r="AG31" i="8"/>
  <c r="AF31" i="8"/>
  <c r="AE31" i="8"/>
  <c r="AD31" i="8"/>
  <c r="AC31" i="8"/>
  <c r="AB31" i="8"/>
  <c r="AA31" i="8"/>
  <c r="AG30" i="8"/>
  <c r="AF30" i="8"/>
  <c r="AE30" i="8"/>
  <c r="AD30" i="8"/>
  <c r="AC30" i="8"/>
  <c r="AB30" i="8"/>
  <c r="AA30" i="8"/>
  <c r="AG29" i="8"/>
  <c r="AF29" i="8"/>
  <c r="AE29" i="8"/>
  <c r="AD29" i="8"/>
  <c r="AC29" i="8"/>
  <c r="AB29" i="8"/>
  <c r="AA29" i="8"/>
  <c r="AG28" i="8"/>
  <c r="AF28" i="8"/>
  <c r="AE28" i="8"/>
  <c r="AD28" i="8"/>
  <c r="AC28" i="8"/>
  <c r="AB28" i="8"/>
  <c r="AA28" i="8"/>
  <c r="AG27" i="8"/>
  <c r="AF27" i="8"/>
  <c r="AE27" i="8"/>
  <c r="AD27" i="8"/>
  <c r="AC27" i="8"/>
  <c r="AB27" i="8"/>
  <c r="AA27" i="8"/>
  <c r="AG26" i="8"/>
  <c r="AF26" i="8"/>
  <c r="AE26" i="8"/>
  <c r="AD26" i="8"/>
  <c r="AC26" i="8"/>
  <c r="AB26" i="8"/>
  <c r="AA26" i="8"/>
  <c r="AG25" i="8"/>
  <c r="AF25" i="8"/>
  <c r="AE25" i="8"/>
  <c r="AD25" i="8"/>
  <c r="AC25" i="8"/>
  <c r="AB25" i="8"/>
  <c r="AA25" i="8"/>
  <c r="AG24" i="8"/>
  <c r="AF24" i="8"/>
  <c r="AE24" i="8"/>
  <c r="AD24" i="8"/>
  <c r="AC24" i="8"/>
  <c r="AB24" i="8"/>
  <c r="AA24" i="8"/>
  <c r="AG23" i="8"/>
  <c r="AF23" i="8"/>
  <c r="AE23" i="8"/>
  <c r="AD23" i="8"/>
  <c r="AC23" i="8"/>
  <c r="AB23" i="8"/>
  <c r="AA23" i="8"/>
  <c r="AG22" i="8"/>
  <c r="AF22" i="8"/>
  <c r="AE22" i="8"/>
  <c r="AD22" i="8"/>
  <c r="AC22" i="8"/>
  <c r="AB22" i="8"/>
  <c r="AA22" i="8"/>
  <c r="AG21" i="8"/>
  <c r="AF21" i="8"/>
  <c r="AE21" i="8"/>
  <c r="AD21" i="8"/>
  <c r="AC21" i="8"/>
  <c r="AB21" i="8"/>
  <c r="AA21" i="8"/>
  <c r="AG20" i="8"/>
  <c r="AF20" i="8"/>
  <c r="AE20" i="8"/>
  <c r="AD20" i="8"/>
  <c r="AC20" i="8"/>
  <c r="AB20" i="8"/>
  <c r="AA20" i="8"/>
  <c r="AG19" i="8"/>
  <c r="AF19" i="8"/>
  <c r="AE19" i="8"/>
  <c r="AD19" i="8"/>
  <c r="AC19" i="8"/>
  <c r="AB19" i="8"/>
  <c r="AA19" i="8"/>
  <c r="AG18" i="8"/>
  <c r="AF18" i="8"/>
  <c r="AE18" i="8"/>
  <c r="AD18" i="8"/>
  <c r="AC18" i="8"/>
  <c r="AB18" i="8"/>
  <c r="AA18" i="8"/>
  <c r="AG17" i="8"/>
  <c r="AF17" i="8"/>
  <c r="AE17" i="8"/>
  <c r="AD17" i="8"/>
  <c r="AC17" i="8"/>
  <c r="AB17" i="8"/>
  <c r="AA17" i="8"/>
  <c r="AG16" i="8"/>
  <c r="AF16" i="8"/>
  <c r="AE16" i="8"/>
  <c r="AD16" i="8"/>
  <c r="AC16" i="8"/>
  <c r="AB16" i="8"/>
  <c r="AA16" i="8"/>
  <c r="AG15" i="8"/>
  <c r="AF15" i="8"/>
  <c r="AE15" i="8"/>
  <c r="AD15" i="8"/>
  <c r="AC15" i="8"/>
  <c r="AB15" i="8"/>
  <c r="AA15" i="8"/>
  <c r="AG14" i="8"/>
  <c r="AF14" i="8"/>
  <c r="AE14" i="8"/>
  <c r="AD14" i="8"/>
  <c r="AC14" i="8"/>
  <c r="AB14" i="8"/>
  <c r="AA14" i="8"/>
  <c r="AG13" i="8"/>
  <c r="AF13" i="8"/>
  <c r="AE13" i="8"/>
  <c r="AD13" i="8"/>
  <c r="AC13" i="8"/>
  <c r="AB13" i="8"/>
  <c r="AA13" i="8"/>
  <c r="AG12" i="8"/>
  <c r="AF12" i="8"/>
  <c r="AE12" i="8"/>
  <c r="AD12" i="8"/>
  <c r="AC12" i="8"/>
  <c r="AB12" i="8"/>
  <c r="AA12" i="8"/>
  <c r="AG11" i="8"/>
  <c r="AF11" i="8"/>
  <c r="AE11" i="8"/>
  <c r="AC11" i="8"/>
  <c r="AB11" i="8"/>
  <c r="AA11" i="8"/>
  <c r="Q11" i="8"/>
  <c r="AD11" i="8" s="1"/>
  <c r="AG10" i="8"/>
  <c r="AF10" i="8"/>
  <c r="AE10" i="8"/>
  <c r="AD10" i="8"/>
  <c r="AC10" i="8"/>
  <c r="AB10" i="8"/>
  <c r="AA10" i="8"/>
  <c r="AG9" i="8"/>
  <c r="AF9" i="8"/>
  <c r="AE9" i="8"/>
  <c r="AD9" i="8"/>
  <c r="AC9" i="8"/>
  <c r="AB9" i="8"/>
  <c r="AA9" i="8"/>
  <c r="AG8" i="8"/>
  <c r="AF8" i="8"/>
  <c r="AE8" i="8"/>
  <c r="AC8" i="8"/>
  <c r="AB8" i="8"/>
  <c r="AA8" i="8"/>
  <c r="Q8" i="8"/>
  <c r="AD8" i="8" s="1"/>
  <c r="AG7" i="8"/>
  <c r="AF7" i="8"/>
  <c r="AE7" i="8"/>
  <c r="AD7" i="8"/>
  <c r="AC7" i="8"/>
  <c r="AB7" i="8"/>
  <c r="AA7" i="8"/>
  <c r="AG6" i="8"/>
  <c r="AF6" i="8"/>
  <c r="AE6" i="8"/>
  <c r="AD6" i="8"/>
  <c r="AC6" i="8"/>
  <c r="AB6" i="8"/>
  <c r="AA6" i="8"/>
  <c r="AG5" i="8"/>
  <c r="AF5" i="8"/>
  <c r="AE5" i="8"/>
  <c r="AC5" i="8"/>
  <c r="AB5" i="8"/>
  <c r="AA5" i="8"/>
  <c r="Q5" i="8"/>
  <c r="AD5" i="8" s="1"/>
  <c r="AG4" i="8"/>
  <c r="AF4" i="8"/>
  <c r="AE4" i="8"/>
  <c r="AD4" i="8"/>
  <c r="AC4" i="8"/>
  <c r="AB4" i="8"/>
  <c r="AA4" i="8"/>
  <c r="AG3" i="8"/>
  <c r="AF3" i="8"/>
  <c r="AE3" i="8"/>
  <c r="AD3" i="8"/>
  <c r="AC3" i="8"/>
  <c r="AB3" i="8"/>
  <c r="AA3" i="8"/>
  <c r="AG2" i="8"/>
  <c r="AF2" i="8"/>
  <c r="AE2" i="8"/>
  <c r="AD2" i="8"/>
  <c r="AC2" i="8"/>
  <c r="AB2" i="8"/>
  <c r="AA2" i="8"/>
  <c r="V196" i="8" l="1"/>
  <c r="AE194" i="8"/>
  <c r="W195" i="8"/>
  <c r="AF195" i="8" s="1"/>
  <c r="AF194" i="8"/>
  <c r="X195" i="8"/>
  <c r="X196" i="8" s="1"/>
  <c r="AC194" i="8"/>
  <c r="AG194" i="8"/>
  <c r="Y195" i="8"/>
  <c r="Y196" i="8" s="1"/>
  <c r="AG196" i="8" s="1"/>
  <c r="U195" i="8"/>
  <c r="AC195" i="8" s="1"/>
  <c r="R195" i="8"/>
  <c r="AB195" i="8" s="1"/>
  <c r="Z195" i="8"/>
  <c r="Z196" i="8" s="1"/>
  <c r="S195" i="8"/>
  <c r="AD195" i="8" s="1"/>
  <c r="T195" i="8"/>
  <c r="AE195" i="8" s="1"/>
  <c r="AG195" i="8" l="1"/>
  <c r="S196" i="8"/>
  <c r="AD196" i="8" s="1"/>
  <c r="R196" i="8"/>
  <c r="AB196" i="8" s="1"/>
  <c r="W196" i="8"/>
  <c r="AF196" i="8" s="1"/>
  <c r="T196" i="8"/>
  <c r="AE196" i="8" s="1"/>
  <c r="U196" i="8"/>
  <c r="AC196" i="8" s="1"/>
  <c r="D42" i="3"/>
  <c r="AH20" i="3"/>
  <c r="AH21" i="3"/>
  <c r="AH22" i="3"/>
  <c r="AH23" i="3"/>
  <c r="AH24" i="3"/>
  <c r="AH25" i="3"/>
  <c r="AH26" i="3"/>
  <c r="AH27" i="3"/>
  <c r="AH28" i="3"/>
  <c r="AH29" i="3"/>
  <c r="AH30" i="3"/>
  <c r="AH31" i="3"/>
  <c r="AH32" i="3"/>
  <c r="AH19" i="3"/>
  <c r="D40" i="3"/>
  <c r="D41" i="3"/>
  <c r="D43" i="3"/>
  <c r="D44" i="3"/>
  <c r="D39" i="3"/>
  <c r="AH4" i="3"/>
  <c r="AH5" i="3"/>
  <c r="AH6" i="3"/>
  <c r="AH7" i="3"/>
  <c r="AH8" i="3"/>
  <c r="AH9" i="3"/>
  <c r="AH10" i="3"/>
  <c r="AH11" i="3"/>
  <c r="AH12" i="3"/>
  <c r="AH13" i="3"/>
  <c r="AH14" i="3"/>
  <c r="AH15" i="3"/>
  <c r="AH16" i="3"/>
  <c r="AH17" i="3"/>
  <c r="AH18" i="3"/>
  <c r="H6" i="2"/>
  <c r="H5" i="2"/>
  <c r="AG373" i="1"/>
  <c r="AF373" i="1"/>
  <c r="AE373" i="1"/>
  <c r="AD373" i="1"/>
  <c r="AC373" i="1"/>
  <c r="AB373" i="1"/>
  <c r="AA373" i="1"/>
  <c r="AG372" i="1"/>
  <c r="AF372" i="1"/>
  <c r="AE372" i="1"/>
  <c r="AD372" i="1"/>
  <c r="AC372" i="1"/>
  <c r="AB372" i="1"/>
  <c r="AA372" i="1"/>
  <c r="AG371" i="1"/>
  <c r="AF371" i="1"/>
  <c r="AE371" i="1"/>
  <c r="AC371" i="1"/>
  <c r="AB371" i="1"/>
  <c r="AA371" i="1"/>
  <c r="Q371" i="1"/>
  <c r="AD371" i="1" s="1"/>
  <c r="AG370" i="1"/>
  <c r="AF370" i="1"/>
  <c r="AE370" i="1"/>
  <c r="AD370" i="1"/>
  <c r="AC370" i="1"/>
  <c r="AB370" i="1"/>
  <c r="AA370" i="1"/>
  <c r="AG369" i="1"/>
  <c r="AF369" i="1"/>
  <c r="AE369" i="1"/>
  <c r="AD369" i="1"/>
  <c r="AC369" i="1"/>
  <c r="AB369" i="1"/>
  <c r="AA369" i="1"/>
  <c r="AG368" i="1"/>
  <c r="AF368" i="1"/>
  <c r="AE368" i="1"/>
  <c r="AC368" i="1"/>
  <c r="AB368" i="1"/>
  <c r="AA368" i="1"/>
  <c r="Q368" i="1"/>
  <c r="AD368" i="1" s="1"/>
  <c r="AG367" i="1"/>
  <c r="AF367" i="1"/>
  <c r="AE367" i="1"/>
  <c r="AD367" i="1"/>
  <c r="AC367" i="1"/>
  <c r="AB367" i="1"/>
  <c r="AA367" i="1"/>
  <c r="AG366" i="1"/>
  <c r="AF366" i="1"/>
  <c r="AE366" i="1"/>
  <c r="AD366" i="1"/>
  <c r="AC366" i="1"/>
  <c r="AB366" i="1"/>
  <c r="AA366" i="1"/>
  <c r="AG365" i="1"/>
  <c r="AF365" i="1"/>
  <c r="AE365" i="1"/>
  <c r="AC365" i="1"/>
  <c r="AB365" i="1"/>
  <c r="AA365" i="1"/>
  <c r="Q365" i="1"/>
  <c r="AD365" i="1" s="1"/>
  <c r="AG364" i="1"/>
  <c r="AF364" i="1"/>
  <c r="AE364" i="1"/>
  <c r="AC364" i="1"/>
  <c r="AB364" i="1"/>
  <c r="AA364" i="1"/>
  <c r="Q364" i="1"/>
  <c r="AD364" i="1" s="1"/>
  <c r="AG363" i="1"/>
  <c r="AF363" i="1"/>
  <c r="AE363" i="1"/>
  <c r="AD363" i="1"/>
  <c r="AC363" i="1"/>
  <c r="AB363" i="1"/>
  <c r="AA363" i="1"/>
  <c r="AG362" i="1"/>
  <c r="AF362" i="1"/>
  <c r="AE362" i="1"/>
  <c r="AD362" i="1"/>
  <c r="AC362" i="1"/>
  <c r="AB362" i="1"/>
  <c r="AA362" i="1"/>
  <c r="AG361" i="1"/>
  <c r="AF361" i="1"/>
  <c r="AE361" i="1"/>
  <c r="AC361" i="1"/>
  <c r="AB361" i="1"/>
  <c r="AA361" i="1"/>
  <c r="Q361" i="1"/>
  <c r="AD361" i="1" s="1"/>
  <c r="AG360" i="1"/>
  <c r="AF360" i="1"/>
  <c r="AE360" i="1"/>
  <c r="AD360" i="1"/>
  <c r="AC360" i="1"/>
  <c r="AB360" i="1"/>
  <c r="AA360" i="1"/>
  <c r="AG359" i="1"/>
  <c r="AF359" i="1"/>
  <c r="AE359" i="1"/>
  <c r="AD359" i="1"/>
  <c r="AC359" i="1"/>
  <c r="AB359" i="1"/>
  <c r="AA359" i="1"/>
  <c r="AG358" i="1"/>
  <c r="AF358" i="1"/>
  <c r="AE358" i="1"/>
  <c r="AC358" i="1"/>
  <c r="AB358" i="1"/>
  <c r="AA358" i="1"/>
  <c r="Q358" i="1"/>
  <c r="AD358" i="1" s="1"/>
  <c r="AG357" i="1"/>
  <c r="AF357" i="1"/>
  <c r="AE357" i="1"/>
  <c r="AD357" i="1"/>
  <c r="AC357" i="1"/>
  <c r="AB357" i="1"/>
  <c r="AA357" i="1"/>
  <c r="AG356" i="1"/>
  <c r="AF356" i="1"/>
  <c r="AE356" i="1"/>
  <c r="AD356" i="1"/>
  <c r="AC356" i="1"/>
  <c r="AB356" i="1"/>
  <c r="AA356" i="1"/>
  <c r="AG355" i="1"/>
  <c r="AF355" i="1"/>
  <c r="AE355" i="1"/>
  <c r="AD355" i="1"/>
  <c r="AC355" i="1"/>
  <c r="AB355" i="1"/>
  <c r="AA355" i="1"/>
  <c r="AG354" i="1"/>
  <c r="AF354" i="1"/>
  <c r="AE354" i="1"/>
  <c r="AD354" i="1"/>
  <c r="AC354" i="1"/>
  <c r="AB354" i="1"/>
  <c r="AA354" i="1"/>
  <c r="AG353" i="1"/>
  <c r="AF353" i="1"/>
  <c r="AE353" i="1"/>
  <c r="AD353" i="1"/>
  <c r="AC353" i="1"/>
  <c r="AB353" i="1"/>
  <c r="AA353" i="1"/>
  <c r="AG352" i="1"/>
  <c r="AF352" i="1"/>
  <c r="AE352" i="1"/>
  <c r="AD352" i="1"/>
  <c r="AC352" i="1"/>
  <c r="AB352" i="1"/>
  <c r="AA352" i="1"/>
  <c r="AG351" i="1"/>
  <c r="AF351" i="1"/>
  <c r="AE351" i="1"/>
  <c r="AD351" i="1"/>
  <c r="AC351" i="1"/>
  <c r="AB351" i="1"/>
  <c r="AA351" i="1"/>
  <c r="AG350" i="1"/>
  <c r="AF350" i="1"/>
  <c r="AE350" i="1"/>
  <c r="AD350" i="1"/>
  <c r="AC350" i="1"/>
  <c r="AB350" i="1"/>
  <c r="AA350" i="1"/>
  <c r="AG349" i="1"/>
  <c r="AF349" i="1"/>
  <c r="AE349" i="1"/>
  <c r="AD349" i="1"/>
  <c r="AC349" i="1"/>
  <c r="AB349" i="1"/>
  <c r="AA349" i="1"/>
  <c r="AG348" i="1"/>
  <c r="AF348" i="1"/>
  <c r="AE348" i="1"/>
  <c r="AD348" i="1"/>
  <c r="AC348" i="1"/>
  <c r="AB348" i="1"/>
  <c r="AA348" i="1"/>
  <c r="AG347" i="1"/>
  <c r="AF347" i="1"/>
  <c r="AE347" i="1"/>
  <c r="AC347" i="1"/>
  <c r="AB347" i="1"/>
  <c r="AA347" i="1"/>
  <c r="Q347" i="1"/>
  <c r="AD347" i="1" s="1"/>
  <c r="AG346" i="1"/>
  <c r="AF346" i="1"/>
  <c r="AE346" i="1"/>
  <c r="AD346" i="1"/>
  <c r="AC346" i="1"/>
  <c r="AB346" i="1"/>
  <c r="AA346" i="1"/>
  <c r="AG345" i="1"/>
  <c r="AF345" i="1"/>
  <c r="AE345" i="1"/>
  <c r="AD345" i="1"/>
  <c r="AC345" i="1"/>
  <c r="AB345" i="1"/>
  <c r="AA345" i="1"/>
  <c r="AG344" i="1"/>
  <c r="AF344" i="1"/>
  <c r="AE344" i="1"/>
  <c r="AC344" i="1"/>
  <c r="AB344" i="1"/>
  <c r="AA344" i="1"/>
  <c r="Q344" i="1"/>
  <c r="AD344" i="1" s="1"/>
  <c r="AG343" i="1"/>
  <c r="AF343" i="1"/>
  <c r="AE343" i="1"/>
  <c r="AD343" i="1"/>
  <c r="AC343" i="1"/>
  <c r="AB343" i="1"/>
  <c r="AA343" i="1"/>
  <c r="AG342" i="1"/>
  <c r="AF342" i="1"/>
  <c r="AE342" i="1"/>
  <c r="AD342" i="1"/>
  <c r="AC342" i="1"/>
  <c r="AB342" i="1"/>
  <c r="AA342" i="1"/>
  <c r="AG341" i="1"/>
  <c r="AF341" i="1"/>
  <c r="AE341" i="1"/>
  <c r="AC341" i="1"/>
  <c r="AB341" i="1"/>
  <c r="AA341" i="1"/>
  <c r="Q341" i="1"/>
  <c r="AD341" i="1" s="1"/>
  <c r="AG340" i="1"/>
  <c r="AF340" i="1"/>
  <c r="AE340" i="1"/>
  <c r="AD340" i="1"/>
  <c r="AC340" i="1"/>
  <c r="AB340" i="1"/>
  <c r="AA340" i="1"/>
  <c r="AG339" i="1"/>
  <c r="AF339" i="1"/>
  <c r="AE339" i="1"/>
  <c r="AD339" i="1"/>
  <c r="AC339" i="1"/>
  <c r="AB339" i="1"/>
  <c r="AA339" i="1"/>
  <c r="AG338" i="1"/>
  <c r="AF338" i="1"/>
  <c r="AE338" i="1"/>
  <c r="AC338" i="1"/>
  <c r="AB338" i="1"/>
  <c r="AA338" i="1"/>
  <c r="Q338" i="1"/>
  <c r="AD338" i="1" s="1"/>
  <c r="AG337" i="1"/>
  <c r="AF337" i="1"/>
  <c r="AE337" i="1"/>
  <c r="AC337" i="1"/>
  <c r="AB337" i="1"/>
  <c r="AA337" i="1"/>
  <c r="Q337" i="1"/>
  <c r="AD337" i="1" s="1"/>
  <c r="AG336" i="1"/>
  <c r="AF336" i="1"/>
  <c r="AE336" i="1"/>
  <c r="AD336" i="1"/>
  <c r="AC336" i="1"/>
  <c r="AB336" i="1"/>
  <c r="AA336" i="1"/>
  <c r="AG335" i="1"/>
  <c r="AF335" i="1"/>
  <c r="AE335" i="1"/>
  <c r="AD335" i="1"/>
  <c r="AC335" i="1"/>
  <c r="AB335" i="1"/>
  <c r="AA335" i="1"/>
  <c r="AG334" i="1"/>
  <c r="AF334" i="1"/>
  <c r="AE334" i="1"/>
  <c r="AC334" i="1"/>
  <c r="AB334" i="1"/>
  <c r="AA334" i="1"/>
  <c r="Q334" i="1"/>
  <c r="AD334" i="1" s="1"/>
  <c r="AG333" i="1"/>
  <c r="AF333" i="1"/>
  <c r="AE333" i="1"/>
  <c r="AD333" i="1"/>
  <c r="AC333" i="1"/>
  <c r="AB333" i="1"/>
  <c r="AA333" i="1"/>
  <c r="AG332" i="1"/>
  <c r="AF332" i="1"/>
  <c r="AE332" i="1"/>
  <c r="AD332" i="1"/>
  <c r="AC332" i="1"/>
  <c r="AB332" i="1"/>
  <c r="AA332" i="1"/>
  <c r="AG331" i="1"/>
  <c r="AF331" i="1"/>
  <c r="AE331" i="1"/>
  <c r="AC331" i="1"/>
  <c r="AB331" i="1"/>
  <c r="AA331" i="1"/>
  <c r="Q331" i="1"/>
  <c r="AD331" i="1" s="1"/>
  <c r="AG330" i="1"/>
  <c r="AF330" i="1"/>
  <c r="AE330" i="1"/>
  <c r="AD330" i="1"/>
  <c r="AC330" i="1"/>
  <c r="AB330" i="1"/>
  <c r="AA330" i="1"/>
  <c r="AG329" i="1"/>
  <c r="AF329" i="1"/>
  <c r="AE329" i="1"/>
  <c r="AD329" i="1"/>
  <c r="AC329" i="1"/>
  <c r="AB329" i="1"/>
  <c r="AA329" i="1"/>
  <c r="AG328" i="1"/>
  <c r="AF328" i="1"/>
  <c r="AE328" i="1"/>
  <c r="AC328" i="1"/>
  <c r="AB328" i="1"/>
  <c r="AA328" i="1"/>
  <c r="Q328" i="1"/>
  <c r="AD328" i="1" s="1"/>
  <c r="AG327" i="1"/>
  <c r="AF327" i="1"/>
  <c r="AE327" i="1"/>
  <c r="AD327" i="1"/>
  <c r="AC327" i="1"/>
  <c r="AB327" i="1"/>
  <c r="AA327" i="1"/>
  <c r="AG326" i="1"/>
  <c r="AF326" i="1"/>
  <c r="AE326" i="1"/>
  <c r="AD326" i="1"/>
  <c r="AC326" i="1"/>
  <c r="AB326" i="1"/>
  <c r="AA326" i="1"/>
  <c r="AG325" i="1"/>
  <c r="AF325" i="1"/>
  <c r="AE325" i="1"/>
  <c r="AD325" i="1"/>
  <c r="AC325" i="1"/>
  <c r="AB325" i="1"/>
  <c r="AA325" i="1"/>
  <c r="AG324" i="1"/>
  <c r="AF324" i="1"/>
  <c r="AE324" i="1"/>
  <c r="AD324" i="1"/>
  <c r="AC324" i="1"/>
  <c r="AB324" i="1"/>
  <c r="AA324" i="1"/>
  <c r="AG323" i="1"/>
  <c r="AF323" i="1"/>
  <c r="AE323" i="1"/>
  <c r="AD323" i="1"/>
  <c r="AC323" i="1"/>
  <c r="AB323" i="1"/>
  <c r="AA323" i="1"/>
  <c r="AG322" i="1"/>
  <c r="AF322" i="1"/>
  <c r="AE322" i="1"/>
  <c r="AD322" i="1"/>
  <c r="AC322" i="1"/>
  <c r="AB322" i="1"/>
  <c r="AA322" i="1"/>
  <c r="AG321" i="1"/>
  <c r="AF321" i="1"/>
  <c r="AE321" i="1"/>
  <c r="AD321" i="1"/>
  <c r="AC321" i="1"/>
  <c r="AB321" i="1"/>
  <c r="AA321" i="1"/>
  <c r="AG320" i="1"/>
  <c r="AF320" i="1"/>
  <c r="AE320" i="1"/>
  <c r="AD320" i="1"/>
  <c r="AC320" i="1"/>
  <c r="AB320" i="1"/>
  <c r="AA320" i="1"/>
  <c r="AG319" i="1"/>
  <c r="AF319" i="1"/>
  <c r="AE319" i="1"/>
  <c r="AD319" i="1"/>
  <c r="AC319" i="1"/>
  <c r="AB319" i="1"/>
  <c r="AA319" i="1"/>
  <c r="AG318" i="1"/>
  <c r="AF318" i="1"/>
  <c r="AE318" i="1"/>
  <c r="AD318" i="1"/>
  <c r="AC318" i="1"/>
  <c r="AB318" i="1"/>
  <c r="AA318" i="1"/>
  <c r="AG317" i="1"/>
  <c r="AF317" i="1"/>
  <c r="AE317" i="1"/>
  <c r="AC317" i="1"/>
  <c r="AB317" i="1"/>
  <c r="AA317" i="1"/>
  <c r="Q317" i="1"/>
  <c r="AD317" i="1" s="1"/>
  <c r="AG316" i="1"/>
  <c r="AF316" i="1"/>
  <c r="AE316" i="1"/>
  <c r="AD316" i="1"/>
  <c r="AC316" i="1"/>
  <c r="AB316" i="1"/>
  <c r="AA316" i="1"/>
  <c r="AG315" i="1"/>
  <c r="AF315" i="1"/>
  <c r="AE315" i="1"/>
  <c r="AD315" i="1"/>
  <c r="AC315" i="1"/>
  <c r="AB315" i="1"/>
  <c r="AA315" i="1"/>
  <c r="AG314" i="1"/>
  <c r="AF314" i="1"/>
  <c r="AE314" i="1"/>
  <c r="AC314" i="1"/>
  <c r="AB314" i="1"/>
  <c r="AA314" i="1"/>
  <c r="Q314" i="1"/>
  <c r="AD314" i="1" s="1"/>
  <c r="AG313" i="1"/>
  <c r="AF313" i="1"/>
  <c r="AE313" i="1"/>
  <c r="AD313" i="1"/>
  <c r="AC313" i="1"/>
  <c r="AB313" i="1"/>
  <c r="AA313" i="1"/>
  <c r="AG312" i="1"/>
  <c r="AF312" i="1"/>
  <c r="AE312" i="1"/>
  <c r="AD312" i="1"/>
  <c r="AC312" i="1"/>
  <c r="AB312" i="1"/>
  <c r="AA312" i="1"/>
  <c r="AG311" i="1"/>
  <c r="AF311" i="1"/>
  <c r="AE311" i="1"/>
  <c r="AC311" i="1"/>
  <c r="AB311" i="1"/>
  <c r="AA311" i="1"/>
  <c r="Q311" i="1"/>
  <c r="AD311" i="1" s="1"/>
  <c r="AG310" i="1"/>
  <c r="AF310" i="1"/>
  <c r="AE310" i="1"/>
  <c r="AD310" i="1"/>
  <c r="AC310" i="1"/>
  <c r="AB310" i="1"/>
  <c r="AA310" i="1"/>
  <c r="AG309" i="1"/>
  <c r="AF309" i="1"/>
  <c r="AE309" i="1"/>
  <c r="AD309" i="1"/>
  <c r="AC309" i="1"/>
  <c r="AB309" i="1"/>
  <c r="AA309" i="1"/>
  <c r="AG308" i="1"/>
  <c r="AF308" i="1"/>
  <c r="AE308" i="1"/>
  <c r="AC308" i="1"/>
  <c r="AB308" i="1"/>
  <c r="AA308" i="1"/>
  <c r="Q308" i="1"/>
  <c r="AD308" i="1" s="1"/>
  <c r="AG307" i="1"/>
  <c r="AF307" i="1"/>
  <c r="AE307" i="1"/>
  <c r="AC307" i="1"/>
  <c r="AB307" i="1"/>
  <c r="AA307" i="1"/>
  <c r="Q307" i="1"/>
  <c r="AD307" i="1" s="1"/>
  <c r="AG306" i="1"/>
  <c r="AF306" i="1"/>
  <c r="AE306" i="1"/>
  <c r="AD306" i="1"/>
  <c r="AC306" i="1"/>
  <c r="AB306" i="1"/>
  <c r="AA306" i="1"/>
  <c r="AG305" i="1"/>
  <c r="AF305" i="1"/>
  <c r="AE305" i="1"/>
  <c r="AD305" i="1"/>
  <c r="AC305" i="1"/>
  <c r="AB305" i="1"/>
  <c r="AA305" i="1"/>
  <c r="AG304" i="1"/>
  <c r="AF304" i="1"/>
  <c r="AE304" i="1"/>
  <c r="AC304" i="1"/>
  <c r="AB304" i="1"/>
  <c r="AA304" i="1"/>
  <c r="Q304" i="1"/>
  <c r="AD304" i="1" s="1"/>
  <c r="AG303" i="1"/>
  <c r="AF303" i="1"/>
  <c r="AE303" i="1"/>
  <c r="AD303" i="1"/>
  <c r="AC303" i="1"/>
  <c r="AB303" i="1"/>
  <c r="AA303" i="1"/>
  <c r="AG302" i="1"/>
  <c r="AF302" i="1"/>
  <c r="AE302" i="1"/>
  <c r="AD302" i="1"/>
  <c r="AC302" i="1"/>
  <c r="AB302" i="1"/>
  <c r="AA302" i="1"/>
  <c r="AG301" i="1"/>
  <c r="AF301" i="1"/>
  <c r="AE301" i="1"/>
  <c r="AC301" i="1"/>
  <c r="AB301" i="1"/>
  <c r="AA301" i="1"/>
  <c r="Q301" i="1"/>
  <c r="AD301" i="1" s="1"/>
  <c r="AG300" i="1"/>
  <c r="AF300" i="1"/>
  <c r="AE300" i="1"/>
  <c r="AD300" i="1"/>
  <c r="AC300" i="1"/>
  <c r="AB300" i="1"/>
  <c r="AA300" i="1"/>
  <c r="AG299" i="1"/>
  <c r="AF299" i="1"/>
  <c r="AE299" i="1"/>
  <c r="AD299" i="1"/>
  <c r="AC299" i="1"/>
  <c r="AB299" i="1"/>
  <c r="AA299" i="1"/>
  <c r="AG298" i="1"/>
  <c r="AF298" i="1"/>
  <c r="AE298" i="1"/>
  <c r="AD298" i="1"/>
  <c r="AC298" i="1"/>
  <c r="AB298" i="1"/>
  <c r="AA298" i="1"/>
  <c r="AG297" i="1"/>
  <c r="AF297" i="1"/>
  <c r="AE297" i="1"/>
  <c r="AD297" i="1"/>
  <c r="AC297" i="1"/>
  <c r="AB297" i="1"/>
  <c r="AA297" i="1"/>
  <c r="AG296" i="1"/>
  <c r="AF296" i="1"/>
  <c r="AE296" i="1"/>
  <c r="AC296" i="1"/>
  <c r="AB296" i="1"/>
  <c r="AA296" i="1"/>
  <c r="Q296" i="1"/>
  <c r="AD296" i="1" s="1"/>
  <c r="AG295" i="1"/>
  <c r="AF295" i="1"/>
  <c r="AE295" i="1"/>
  <c r="AD295" i="1"/>
  <c r="AC295" i="1"/>
  <c r="AB295" i="1"/>
  <c r="AA295" i="1"/>
  <c r="AG294" i="1"/>
  <c r="AF294" i="1"/>
  <c r="AE294" i="1"/>
  <c r="AD294" i="1"/>
  <c r="AC294" i="1"/>
  <c r="AB294" i="1"/>
  <c r="AA294" i="1"/>
  <c r="AG293" i="1"/>
  <c r="AF293" i="1"/>
  <c r="AE293" i="1"/>
  <c r="AC293" i="1"/>
  <c r="AB293" i="1"/>
  <c r="AA293" i="1"/>
  <c r="Q293" i="1"/>
  <c r="AD293" i="1" s="1"/>
  <c r="AG292" i="1"/>
  <c r="AF292" i="1"/>
  <c r="AE292" i="1"/>
  <c r="AD292" i="1"/>
  <c r="AC292" i="1"/>
  <c r="AB292" i="1"/>
  <c r="AA292" i="1"/>
  <c r="AG291" i="1"/>
  <c r="AF291" i="1"/>
  <c r="AE291" i="1"/>
  <c r="AD291" i="1"/>
  <c r="AC291" i="1"/>
  <c r="AB291" i="1"/>
  <c r="AA291" i="1"/>
  <c r="AG290" i="1"/>
  <c r="AF290" i="1"/>
  <c r="AE290" i="1"/>
  <c r="AC290" i="1"/>
  <c r="AB290" i="1"/>
  <c r="AA290" i="1"/>
  <c r="Q290" i="1"/>
  <c r="AD290" i="1" s="1"/>
  <c r="AG289" i="1"/>
  <c r="AF289" i="1"/>
  <c r="AE289" i="1"/>
  <c r="AD289" i="1"/>
  <c r="AC289" i="1"/>
  <c r="AB289" i="1"/>
  <c r="AA289" i="1"/>
  <c r="AG288" i="1"/>
  <c r="AF288" i="1"/>
  <c r="AE288" i="1"/>
  <c r="AD288" i="1"/>
  <c r="AC288" i="1"/>
  <c r="AB288" i="1"/>
  <c r="AA288" i="1"/>
  <c r="AG287" i="1"/>
  <c r="AF287" i="1"/>
  <c r="AE287" i="1"/>
  <c r="AC287" i="1"/>
  <c r="AB287" i="1"/>
  <c r="AA287" i="1"/>
  <c r="Q287" i="1"/>
  <c r="AD287" i="1" s="1"/>
  <c r="AG286" i="1"/>
  <c r="AF286" i="1"/>
  <c r="AE286" i="1"/>
  <c r="AD286" i="1"/>
  <c r="AC286" i="1"/>
  <c r="AB286" i="1"/>
  <c r="AA286" i="1"/>
  <c r="AG285" i="1"/>
  <c r="AF285" i="1"/>
  <c r="AE285" i="1"/>
  <c r="AD285" i="1"/>
  <c r="AC285" i="1"/>
  <c r="AB285" i="1"/>
  <c r="AA285" i="1"/>
  <c r="AG284" i="1"/>
  <c r="AF284" i="1"/>
  <c r="AE284" i="1"/>
  <c r="AC284" i="1"/>
  <c r="AB284" i="1"/>
  <c r="AA284" i="1"/>
  <c r="Q284" i="1"/>
  <c r="AD284" i="1" s="1"/>
  <c r="AG283" i="1"/>
  <c r="AF283" i="1"/>
  <c r="AE283" i="1"/>
  <c r="AD283" i="1"/>
  <c r="AC283" i="1"/>
  <c r="AB283" i="1"/>
  <c r="AA283" i="1"/>
  <c r="AG282" i="1"/>
  <c r="AF282" i="1"/>
  <c r="AE282" i="1"/>
  <c r="AD282" i="1"/>
  <c r="AC282" i="1"/>
  <c r="AB282" i="1"/>
  <c r="AA282" i="1"/>
  <c r="AG281" i="1"/>
  <c r="AF281" i="1"/>
  <c r="AE281" i="1"/>
  <c r="AC281" i="1"/>
  <c r="AB281" i="1"/>
  <c r="AA281" i="1"/>
  <c r="Q281" i="1"/>
  <c r="AD281" i="1" s="1"/>
  <c r="AG280" i="1"/>
  <c r="AF280" i="1"/>
  <c r="AE280" i="1"/>
  <c r="AD280" i="1"/>
  <c r="AC280" i="1"/>
  <c r="AB280" i="1"/>
  <c r="AA280" i="1"/>
  <c r="AG279" i="1"/>
  <c r="AF279" i="1"/>
  <c r="AE279" i="1"/>
  <c r="AD279" i="1"/>
  <c r="AC279" i="1"/>
  <c r="AB279" i="1"/>
  <c r="AA279" i="1"/>
  <c r="AG278" i="1"/>
  <c r="AF278" i="1"/>
  <c r="AE278" i="1"/>
  <c r="AC278" i="1"/>
  <c r="AB278" i="1"/>
  <c r="AA278" i="1"/>
  <c r="Q278" i="1"/>
  <c r="AD278" i="1" s="1"/>
  <c r="AG277" i="1"/>
  <c r="AF277" i="1"/>
  <c r="AE277" i="1"/>
  <c r="AD277" i="1"/>
  <c r="AC277" i="1"/>
  <c r="AB277" i="1"/>
  <c r="AA277" i="1"/>
  <c r="AG276" i="1"/>
  <c r="AF276" i="1"/>
  <c r="AE276" i="1"/>
  <c r="AD276" i="1"/>
  <c r="AC276" i="1"/>
  <c r="AB276" i="1"/>
  <c r="AA276" i="1"/>
  <c r="AG275" i="1"/>
  <c r="AF275" i="1"/>
  <c r="AE275" i="1"/>
  <c r="AC275" i="1"/>
  <c r="AB275" i="1"/>
  <c r="AA275" i="1"/>
  <c r="Q275" i="1"/>
  <c r="AD275" i="1" s="1"/>
  <c r="AG274" i="1"/>
  <c r="AF274" i="1"/>
  <c r="AE274" i="1"/>
  <c r="AC274" i="1"/>
  <c r="AB274" i="1"/>
  <c r="AA274" i="1"/>
  <c r="Q274" i="1"/>
  <c r="AD274" i="1" s="1"/>
  <c r="AG273" i="1"/>
  <c r="AF273" i="1"/>
  <c r="AE273" i="1"/>
  <c r="AD273" i="1"/>
  <c r="AC273" i="1"/>
  <c r="AB273" i="1"/>
  <c r="AA273" i="1"/>
  <c r="AG272" i="1"/>
  <c r="AF272" i="1"/>
  <c r="AE272" i="1"/>
  <c r="AD272" i="1"/>
  <c r="AC272" i="1"/>
  <c r="AB272" i="1"/>
  <c r="AA272" i="1"/>
  <c r="AG271" i="1"/>
  <c r="AF271" i="1"/>
  <c r="AE271" i="1"/>
  <c r="AC271" i="1"/>
  <c r="AB271" i="1"/>
  <c r="AA271" i="1"/>
  <c r="Q271" i="1"/>
  <c r="AD271" i="1" s="1"/>
  <c r="AG270" i="1"/>
  <c r="AF270" i="1"/>
  <c r="AE270" i="1"/>
  <c r="AD270" i="1"/>
  <c r="AC270" i="1"/>
  <c r="AB270" i="1"/>
  <c r="AA270" i="1"/>
  <c r="AG269" i="1"/>
  <c r="AF269" i="1"/>
  <c r="AE269" i="1"/>
  <c r="AD269" i="1"/>
  <c r="AC269" i="1"/>
  <c r="AB269" i="1"/>
  <c r="AA269" i="1"/>
  <c r="AG268" i="1"/>
  <c r="AF268" i="1"/>
  <c r="AE268" i="1"/>
  <c r="AC268" i="1"/>
  <c r="AB268" i="1"/>
  <c r="AA268" i="1"/>
  <c r="Q268" i="1"/>
  <c r="AD268" i="1" s="1"/>
  <c r="AG267" i="1"/>
  <c r="AF267" i="1"/>
  <c r="AE267" i="1"/>
  <c r="AD267" i="1"/>
  <c r="AC267" i="1"/>
  <c r="AB267" i="1"/>
  <c r="AA267" i="1"/>
  <c r="AG266" i="1"/>
  <c r="AF266" i="1"/>
  <c r="AE266" i="1"/>
  <c r="AD266" i="1"/>
  <c r="AC266" i="1"/>
  <c r="AB266" i="1"/>
  <c r="AA266" i="1"/>
  <c r="AG265" i="1"/>
  <c r="AF265" i="1"/>
  <c r="AE265" i="1"/>
  <c r="AD265" i="1"/>
  <c r="AC265" i="1"/>
  <c r="AB265" i="1"/>
  <c r="AA265" i="1"/>
  <c r="AG264" i="1"/>
  <c r="AF264" i="1"/>
  <c r="AE264" i="1"/>
  <c r="AD264" i="1"/>
  <c r="AC264" i="1"/>
  <c r="AB264" i="1"/>
  <c r="AA264" i="1"/>
  <c r="AG263" i="1"/>
  <c r="AF263" i="1"/>
  <c r="AE263" i="1"/>
  <c r="AC263" i="1"/>
  <c r="AB263" i="1"/>
  <c r="AA263" i="1"/>
  <c r="Q263" i="1"/>
  <c r="AD263" i="1" s="1"/>
  <c r="AG262" i="1"/>
  <c r="AF262" i="1"/>
  <c r="AE262" i="1"/>
  <c r="AD262" i="1"/>
  <c r="AC262" i="1"/>
  <c r="AB262" i="1"/>
  <c r="AA262" i="1"/>
  <c r="AG261" i="1"/>
  <c r="AF261" i="1"/>
  <c r="AE261" i="1"/>
  <c r="AD261" i="1"/>
  <c r="AC261" i="1"/>
  <c r="AB261" i="1"/>
  <c r="AA261" i="1"/>
  <c r="AG260" i="1"/>
  <c r="AF260" i="1"/>
  <c r="AE260" i="1"/>
  <c r="AC260" i="1"/>
  <c r="AB260" i="1"/>
  <c r="AA260" i="1"/>
  <c r="Q260" i="1"/>
  <c r="AD260" i="1" s="1"/>
  <c r="AG259" i="1"/>
  <c r="AF259" i="1"/>
  <c r="AE259" i="1"/>
  <c r="AD259" i="1"/>
  <c r="AC259" i="1"/>
  <c r="AB259" i="1"/>
  <c r="AA259" i="1"/>
  <c r="AG258" i="1"/>
  <c r="AF258" i="1"/>
  <c r="AE258" i="1"/>
  <c r="AD258" i="1"/>
  <c r="AC258" i="1"/>
  <c r="AB258" i="1"/>
  <c r="AA258" i="1"/>
  <c r="AG257" i="1"/>
  <c r="AF257" i="1"/>
  <c r="AE257" i="1"/>
  <c r="AC257" i="1"/>
  <c r="AB257" i="1"/>
  <c r="AA257" i="1"/>
  <c r="Q257" i="1"/>
  <c r="AD257" i="1" s="1"/>
  <c r="AG256" i="1"/>
  <c r="AF256" i="1"/>
  <c r="AE256" i="1"/>
  <c r="AD256" i="1"/>
  <c r="AC256" i="1"/>
  <c r="AB256" i="1"/>
  <c r="AA256" i="1"/>
  <c r="AG255" i="1"/>
  <c r="AF255" i="1"/>
  <c r="AE255" i="1"/>
  <c r="AD255" i="1"/>
  <c r="AC255" i="1"/>
  <c r="AB255" i="1"/>
  <c r="AA255" i="1"/>
  <c r="AG254" i="1"/>
  <c r="AF254" i="1"/>
  <c r="AE254" i="1"/>
  <c r="AC254" i="1"/>
  <c r="AB254" i="1"/>
  <c r="AA254" i="1"/>
  <c r="Q254" i="1"/>
  <c r="AD254" i="1" s="1"/>
  <c r="AG253" i="1"/>
  <c r="AF253" i="1"/>
  <c r="AE253" i="1"/>
  <c r="AD253" i="1"/>
  <c r="AC253" i="1"/>
  <c r="AB253" i="1"/>
  <c r="AA253" i="1"/>
  <c r="AG252" i="1"/>
  <c r="AF252" i="1"/>
  <c r="AE252" i="1"/>
  <c r="AD252" i="1"/>
  <c r="AC252" i="1"/>
  <c r="AB252" i="1"/>
  <c r="AA252" i="1"/>
  <c r="AG251" i="1"/>
  <c r="AF251" i="1"/>
  <c r="AE251" i="1"/>
  <c r="AC251" i="1"/>
  <c r="AB251" i="1"/>
  <c r="AA251" i="1"/>
  <c r="Q251" i="1"/>
  <c r="AD251" i="1" s="1"/>
  <c r="AG250" i="1"/>
  <c r="AF250" i="1"/>
  <c r="AE250" i="1"/>
  <c r="AD250" i="1"/>
  <c r="AC250" i="1"/>
  <c r="AB250" i="1"/>
  <c r="AA250" i="1"/>
  <c r="AG249" i="1"/>
  <c r="AF249" i="1"/>
  <c r="AE249" i="1"/>
  <c r="AD249" i="1"/>
  <c r="AC249" i="1"/>
  <c r="AB249" i="1"/>
  <c r="AA249" i="1"/>
  <c r="AG248" i="1"/>
  <c r="AF248" i="1"/>
  <c r="AE248" i="1"/>
  <c r="AC248" i="1"/>
  <c r="AB248" i="1"/>
  <c r="AA248" i="1"/>
  <c r="Q248" i="1"/>
  <c r="AD248" i="1" s="1"/>
  <c r="AG247" i="1"/>
  <c r="AF247" i="1"/>
  <c r="AE247" i="1"/>
  <c r="AD247" i="1"/>
  <c r="AC247" i="1"/>
  <c r="AB247" i="1"/>
  <c r="AA247" i="1"/>
  <c r="AG246" i="1"/>
  <c r="AF246" i="1"/>
  <c r="AE246" i="1"/>
  <c r="AD246" i="1"/>
  <c r="AC246" i="1"/>
  <c r="AB246" i="1"/>
  <c r="AA246" i="1"/>
  <c r="AG245" i="1"/>
  <c r="AF245" i="1"/>
  <c r="AE245" i="1"/>
  <c r="AC245" i="1"/>
  <c r="AB245" i="1"/>
  <c r="AA245" i="1"/>
  <c r="Q245" i="1"/>
  <c r="AD245" i="1" s="1"/>
  <c r="AG244" i="1"/>
  <c r="AF244" i="1"/>
  <c r="AE244" i="1"/>
  <c r="AD244" i="1"/>
  <c r="AC244" i="1"/>
  <c r="AB244" i="1"/>
  <c r="AA244" i="1"/>
  <c r="AG243" i="1"/>
  <c r="AF243" i="1"/>
  <c r="AE243" i="1"/>
  <c r="AD243" i="1"/>
  <c r="AC243" i="1"/>
  <c r="AB243" i="1"/>
  <c r="AA243" i="1"/>
  <c r="AG242" i="1"/>
  <c r="AF242" i="1"/>
  <c r="AE242" i="1"/>
  <c r="AC242" i="1"/>
  <c r="AB242" i="1"/>
  <c r="AA242" i="1"/>
  <c r="Q242" i="1"/>
  <c r="AD242" i="1" s="1"/>
  <c r="AG241" i="1"/>
  <c r="AF241" i="1"/>
  <c r="AE241" i="1"/>
  <c r="AC241" i="1"/>
  <c r="AB241" i="1"/>
  <c r="AA241" i="1"/>
  <c r="Q241" i="1"/>
  <c r="AD241" i="1" s="1"/>
  <c r="AG240" i="1"/>
  <c r="AF240" i="1"/>
  <c r="AE240" i="1"/>
  <c r="AD240" i="1"/>
  <c r="AC240" i="1"/>
  <c r="AB240" i="1"/>
  <c r="AA240" i="1"/>
  <c r="AG239" i="1"/>
  <c r="AF239" i="1"/>
  <c r="AE239" i="1"/>
  <c r="AD239" i="1"/>
  <c r="AC239" i="1"/>
  <c r="AB239" i="1"/>
  <c r="AA239" i="1"/>
  <c r="AG238" i="1"/>
  <c r="AF238" i="1"/>
  <c r="AE238" i="1"/>
  <c r="AC238" i="1"/>
  <c r="AB238" i="1"/>
  <c r="AA238" i="1"/>
  <c r="Q238" i="1"/>
  <c r="AD238" i="1" s="1"/>
  <c r="AG237" i="1"/>
  <c r="AF237" i="1"/>
  <c r="AE237" i="1"/>
  <c r="AD237" i="1"/>
  <c r="AC237" i="1"/>
  <c r="AB237" i="1"/>
  <c r="AA237" i="1"/>
  <c r="AG236" i="1"/>
  <c r="AF236" i="1"/>
  <c r="AE236" i="1"/>
  <c r="AD236" i="1"/>
  <c r="AC236" i="1"/>
  <c r="AB236" i="1"/>
  <c r="AA236" i="1"/>
  <c r="AG235" i="1"/>
  <c r="AF235" i="1"/>
  <c r="AE235" i="1"/>
  <c r="AC235" i="1"/>
  <c r="AB235" i="1"/>
  <c r="AA235" i="1"/>
  <c r="Q235" i="1"/>
  <c r="AD235" i="1" s="1"/>
  <c r="AG234" i="1"/>
  <c r="AF234" i="1"/>
  <c r="AE234" i="1"/>
  <c r="AD234" i="1"/>
  <c r="AC234" i="1"/>
  <c r="AB234" i="1"/>
  <c r="AA234" i="1"/>
  <c r="AG233" i="1"/>
  <c r="AF233" i="1"/>
  <c r="AE233" i="1"/>
  <c r="AD233" i="1"/>
  <c r="AC233" i="1"/>
  <c r="AB233" i="1"/>
  <c r="AA233" i="1"/>
  <c r="AG232" i="1"/>
  <c r="AF232" i="1"/>
  <c r="AE232" i="1"/>
  <c r="AD232" i="1"/>
  <c r="AC232" i="1"/>
  <c r="AB232" i="1"/>
  <c r="AA232" i="1"/>
  <c r="AG231" i="1"/>
  <c r="AF231" i="1"/>
  <c r="AE231" i="1"/>
  <c r="AD231" i="1"/>
  <c r="AC231" i="1"/>
  <c r="AB231" i="1"/>
  <c r="AA231" i="1"/>
  <c r="AG230" i="1"/>
  <c r="AF230" i="1"/>
  <c r="AE230" i="1"/>
  <c r="AC230" i="1"/>
  <c r="AB230" i="1"/>
  <c r="AA230" i="1"/>
  <c r="Q230" i="1"/>
  <c r="AD230" i="1" s="1"/>
  <c r="AG229" i="1"/>
  <c r="AF229" i="1"/>
  <c r="AE229" i="1"/>
  <c r="AD229" i="1"/>
  <c r="AC229" i="1"/>
  <c r="AB229" i="1"/>
  <c r="AA229" i="1"/>
  <c r="AG228" i="1"/>
  <c r="AF228" i="1"/>
  <c r="AE228" i="1"/>
  <c r="AD228" i="1"/>
  <c r="AC228" i="1"/>
  <c r="AB228" i="1"/>
  <c r="AA228" i="1"/>
  <c r="AG227" i="1"/>
  <c r="AF227" i="1"/>
  <c r="AE227" i="1"/>
  <c r="AD227" i="1"/>
  <c r="AC227" i="1"/>
  <c r="AB227" i="1"/>
  <c r="AA227" i="1"/>
  <c r="AG226" i="1"/>
  <c r="AF226" i="1"/>
  <c r="AE226" i="1"/>
  <c r="AD226" i="1"/>
  <c r="AC226" i="1"/>
  <c r="AB226" i="1"/>
  <c r="AA226" i="1"/>
  <c r="AG225" i="1"/>
  <c r="AF225" i="1"/>
  <c r="AE225" i="1"/>
  <c r="AD225" i="1"/>
  <c r="AC225" i="1"/>
  <c r="AB225" i="1"/>
  <c r="AA225" i="1"/>
  <c r="AG224" i="1"/>
  <c r="AF224" i="1"/>
  <c r="AE224" i="1"/>
  <c r="AD224" i="1"/>
  <c r="AC224" i="1"/>
  <c r="AB224" i="1"/>
  <c r="AA224" i="1"/>
  <c r="AG223" i="1"/>
  <c r="AF223" i="1"/>
  <c r="AE223" i="1"/>
  <c r="AD223" i="1"/>
  <c r="AC223" i="1"/>
  <c r="AB223" i="1"/>
  <c r="AA223" i="1"/>
  <c r="AG222" i="1"/>
  <c r="AF222" i="1"/>
  <c r="AE222" i="1"/>
  <c r="AD222" i="1"/>
  <c r="AC222" i="1"/>
  <c r="AB222" i="1"/>
  <c r="AA222" i="1"/>
  <c r="AG221" i="1"/>
  <c r="AF221" i="1"/>
  <c r="AE221" i="1"/>
  <c r="AC221" i="1"/>
  <c r="AB221" i="1"/>
  <c r="AA221" i="1"/>
  <c r="Q221" i="1"/>
  <c r="AD221" i="1" s="1"/>
  <c r="AG220" i="1"/>
  <c r="AF220" i="1"/>
  <c r="AE220" i="1"/>
  <c r="AC220" i="1"/>
  <c r="AB220" i="1"/>
  <c r="AA220" i="1"/>
  <c r="Q220" i="1"/>
  <c r="AD220" i="1" s="1"/>
  <c r="AG219" i="1"/>
  <c r="AF219" i="1"/>
  <c r="AE219" i="1"/>
  <c r="AD219" i="1"/>
  <c r="AC219" i="1"/>
  <c r="AB219" i="1"/>
  <c r="AA219" i="1"/>
  <c r="AG218" i="1"/>
  <c r="AF218" i="1"/>
  <c r="AE218" i="1"/>
  <c r="AD218" i="1"/>
  <c r="AC218" i="1"/>
  <c r="AB218" i="1"/>
  <c r="AA218" i="1"/>
  <c r="AG217" i="1"/>
  <c r="AF217" i="1"/>
  <c r="AE217" i="1"/>
  <c r="AD217" i="1"/>
  <c r="AC217" i="1"/>
  <c r="AB217" i="1"/>
  <c r="AA217" i="1"/>
  <c r="AG216" i="1"/>
  <c r="AF216" i="1"/>
  <c r="AE216" i="1"/>
  <c r="AD216" i="1"/>
  <c r="AC216" i="1"/>
  <c r="AB216" i="1"/>
  <c r="AA216" i="1"/>
  <c r="AG215" i="1"/>
  <c r="AF215" i="1"/>
  <c r="AE215" i="1"/>
  <c r="AC215" i="1"/>
  <c r="AB215" i="1"/>
  <c r="AA215" i="1"/>
  <c r="Q215" i="1"/>
  <c r="AD215" i="1" s="1"/>
  <c r="AG214" i="1"/>
  <c r="AF214" i="1"/>
  <c r="AE214" i="1"/>
  <c r="AD214" i="1"/>
  <c r="AC214" i="1"/>
  <c r="AB214" i="1"/>
  <c r="AA214" i="1"/>
  <c r="AG213" i="1"/>
  <c r="AF213" i="1"/>
  <c r="AE213" i="1"/>
  <c r="AD213" i="1"/>
  <c r="AC213" i="1"/>
  <c r="AB213" i="1"/>
  <c r="AA213" i="1"/>
  <c r="AG212" i="1"/>
  <c r="AF212" i="1"/>
  <c r="AE212" i="1"/>
  <c r="AC212" i="1"/>
  <c r="AB212" i="1"/>
  <c r="AA212" i="1"/>
  <c r="Q212" i="1"/>
  <c r="AD212" i="1" s="1"/>
  <c r="AG211" i="1"/>
  <c r="AF211" i="1"/>
  <c r="AE211" i="1"/>
  <c r="AC211" i="1"/>
  <c r="AB211" i="1"/>
  <c r="AA211" i="1"/>
  <c r="Q211" i="1"/>
  <c r="AD211" i="1" s="1"/>
  <c r="AG210" i="1"/>
  <c r="AF210" i="1"/>
  <c r="AE210" i="1"/>
  <c r="AD210" i="1"/>
  <c r="AC210" i="1"/>
  <c r="AB210" i="1"/>
  <c r="AA210" i="1"/>
  <c r="AG209" i="1"/>
  <c r="AF209" i="1"/>
  <c r="AE209" i="1"/>
  <c r="AD209" i="1"/>
  <c r="AC209" i="1"/>
  <c r="AB209" i="1"/>
  <c r="AA209" i="1"/>
  <c r="AG208" i="1"/>
  <c r="AF208" i="1"/>
  <c r="AE208" i="1"/>
  <c r="AC208" i="1"/>
  <c r="AB208" i="1"/>
  <c r="AA208" i="1"/>
  <c r="Q208" i="1"/>
  <c r="AD208" i="1" s="1"/>
  <c r="AG207" i="1"/>
  <c r="AF207" i="1"/>
  <c r="AE207" i="1"/>
  <c r="AD207" i="1"/>
  <c r="AC207" i="1"/>
  <c r="AB207" i="1"/>
  <c r="AA207" i="1"/>
  <c r="AG206" i="1"/>
  <c r="AF206" i="1"/>
  <c r="AE206" i="1"/>
  <c r="AD206" i="1"/>
  <c r="AC206" i="1"/>
  <c r="AB206" i="1"/>
  <c r="AA206" i="1"/>
  <c r="AG205" i="1"/>
  <c r="AF205" i="1"/>
  <c r="AE205" i="1"/>
  <c r="AC205" i="1"/>
  <c r="AB205" i="1"/>
  <c r="AA205" i="1"/>
  <c r="Q205" i="1"/>
  <c r="AD205" i="1" s="1"/>
  <c r="AG204" i="1"/>
  <c r="AF204" i="1"/>
  <c r="AE204" i="1"/>
  <c r="AD204" i="1"/>
  <c r="AC204" i="1"/>
  <c r="AB204" i="1"/>
  <c r="AA204" i="1"/>
  <c r="AG203" i="1"/>
  <c r="AF203" i="1"/>
  <c r="AE203" i="1"/>
  <c r="AD203" i="1"/>
  <c r="AC203" i="1"/>
  <c r="AB203" i="1"/>
  <c r="AA203" i="1"/>
  <c r="AG202" i="1"/>
  <c r="AF202" i="1"/>
  <c r="AE202" i="1"/>
  <c r="AC202" i="1"/>
  <c r="AB202" i="1"/>
  <c r="AA202" i="1"/>
  <c r="Q202" i="1"/>
  <c r="AD202" i="1" s="1"/>
  <c r="AG201" i="1"/>
  <c r="AF201" i="1"/>
  <c r="AE201" i="1"/>
  <c r="AD201" i="1"/>
  <c r="AC201" i="1"/>
  <c r="AB201" i="1"/>
  <c r="AA201" i="1"/>
  <c r="AG200" i="1"/>
  <c r="AF200" i="1"/>
  <c r="AE200" i="1"/>
  <c r="AD200" i="1"/>
  <c r="AC200" i="1"/>
  <c r="AB200" i="1"/>
  <c r="AA200" i="1"/>
  <c r="AG199" i="1"/>
  <c r="AF199" i="1"/>
  <c r="AE199" i="1"/>
  <c r="AD199" i="1"/>
  <c r="AC199" i="1"/>
  <c r="AB199" i="1"/>
  <c r="AA199" i="1"/>
  <c r="AG198" i="1"/>
  <c r="AF198" i="1"/>
  <c r="AE198" i="1"/>
  <c r="AD198" i="1"/>
  <c r="AC198" i="1"/>
  <c r="AB198" i="1"/>
  <c r="AA198" i="1"/>
  <c r="AG197" i="1"/>
  <c r="AF197" i="1"/>
  <c r="AE197" i="1"/>
  <c r="AD197" i="1"/>
  <c r="AC197" i="1"/>
  <c r="AB197" i="1"/>
  <c r="AA197" i="1"/>
  <c r="AA196" i="1"/>
  <c r="AA195" i="1"/>
  <c r="AA194" i="1"/>
  <c r="Z194" i="1"/>
  <c r="Y194" i="1"/>
  <c r="X194" i="1"/>
  <c r="W194" i="1"/>
  <c r="V194" i="1"/>
  <c r="U194" i="1"/>
  <c r="U195" i="1" s="1"/>
  <c r="T194" i="1"/>
  <c r="AE194" i="1" s="1"/>
  <c r="S194" i="1"/>
  <c r="R194" i="1"/>
  <c r="AB194" i="1" s="1"/>
  <c r="AG193" i="1"/>
  <c r="AF193" i="1"/>
  <c r="AE193" i="1"/>
  <c r="AD193" i="1"/>
  <c r="AC193" i="1"/>
  <c r="AB193" i="1"/>
  <c r="AA193" i="1"/>
  <c r="AG192" i="1"/>
  <c r="AF192" i="1"/>
  <c r="AE192" i="1"/>
  <c r="AD192" i="1"/>
  <c r="AC192" i="1"/>
  <c r="AB192" i="1"/>
  <c r="AA192" i="1"/>
  <c r="AG191" i="1"/>
  <c r="AF191" i="1"/>
  <c r="AE191" i="1"/>
  <c r="AC191" i="1"/>
  <c r="AB191" i="1"/>
  <c r="AA191" i="1"/>
  <c r="Q191" i="1"/>
  <c r="AD191" i="1" s="1"/>
  <c r="AG190" i="1"/>
  <c r="AF190" i="1"/>
  <c r="AE190" i="1"/>
  <c r="AD190" i="1"/>
  <c r="AC190" i="1"/>
  <c r="AB190" i="1"/>
  <c r="AA190" i="1"/>
  <c r="AG189" i="1"/>
  <c r="AF189" i="1"/>
  <c r="AE189" i="1"/>
  <c r="AD189" i="1"/>
  <c r="AC189" i="1"/>
  <c r="AB189" i="1"/>
  <c r="AA189" i="1"/>
  <c r="AG188" i="1"/>
  <c r="AF188" i="1"/>
  <c r="AE188" i="1"/>
  <c r="AC188" i="1"/>
  <c r="AB188" i="1"/>
  <c r="AA188" i="1"/>
  <c r="Q188" i="1"/>
  <c r="AD188" i="1" s="1"/>
  <c r="AG187" i="1"/>
  <c r="AF187" i="1"/>
  <c r="AE187" i="1"/>
  <c r="AD187" i="1"/>
  <c r="AC187" i="1"/>
  <c r="AB187" i="1"/>
  <c r="AA187" i="1"/>
  <c r="AG186" i="1"/>
  <c r="AF186" i="1"/>
  <c r="AE186" i="1"/>
  <c r="AD186" i="1"/>
  <c r="AC186" i="1"/>
  <c r="AB186" i="1"/>
  <c r="AA186" i="1"/>
  <c r="AG185" i="1"/>
  <c r="AF185" i="1"/>
  <c r="AE185" i="1"/>
  <c r="AC185" i="1"/>
  <c r="AB185" i="1"/>
  <c r="AA185" i="1"/>
  <c r="Q185" i="1"/>
  <c r="AD185" i="1" s="1"/>
  <c r="AG184" i="1"/>
  <c r="AF184" i="1"/>
  <c r="AE184" i="1"/>
  <c r="AD184" i="1"/>
  <c r="AC184" i="1"/>
  <c r="AB184" i="1"/>
  <c r="AA184" i="1"/>
  <c r="AG183" i="1"/>
  <c r="AF183" i="1"/>
  <c r="AE183" i="1"/>
  <c r="AD183" i="1"/>
  <c r="AC183" i="1"/>
  <c r="AB183" i="1"/>
  <c r="AA183" i="1"/>
  <c r="AG182" i="1"/>
  <c r="AF182" i="1"/>
  <c r="AE182" i="1"/>
  <c r="AC182" i="1"/>
  <c r="AB182" i="1"/>
  <c r="AA182" i="1"/>
  <c r="Q182" i="1"/>
  <c r="AD182" i="1" s="1"/>
  <c r="AG181" i="1"/>
  <c r="AF181" i="1"/>
  <c r="AE181" i="1"/>
  <c r="AC181" i="1"/>
  <c r="AB181" i="1"/>
  <c r="AA181" i="1"/>
  <c r="Q181" i="1"/>
  <c r="AD181" i="1" s="1"/>
  <c r="AG180" i="1"/>
  <c r="AF180" i="1"/>
  <c r="AE180" i="1"/>
  <c r="AD180" i="1"/>
  <c r="AC180" i="1"/>
  <c r="AB180" i="1"/>
  <c r="AA180" i="1"/>
  <c r="AG179" i="1"/>
  <c r="AF179" i="1"/>
  <c r="AE179" i="1"/>
  <c r="AD179" i="1"/>
  <c r="AC179" i="1"/>
  <c r="AB179" i="1"/>
  <c r="AA179" i="1"/>
  <c r="AG178" i="1"/>
  <c r="AF178" i="1"/>
  <c r="AE178" i="1"/>
  <c r="AC178" i="1"/>
  <c r="AB178" i="1"/>
  <c r="AA178" i="1"/>
  <c r="Q178" i="1"/>
  <c r="AD178" i="1" s="1"/>
  <c r="AG177" i="1"/>
  <c r="AF177" i="1"/>
  <c r="AE177" i="1"/>
  <c r="AD177" i="1"/>
  <c r="AC177" i="1"/>
  <c r="AB177" i="1"/>
  <c r="AA177" i="1"/>
  <c r="AG176" i="1"/>
  <c r="AF176" i="1"/>
  <c r="AE176" i="1"/>
  <c r="AD176" i="1"/>
  <c r="AC176" i="1"/>
  <c r="AB176" i="1"/>
  <c r="AA176" i="1"/>
  <c r="AG175" i="1"/>
  <c r="AF175" i="1"/>
  <c r="AE175" i="1"/>
  <c r="AC175" i="1"/>
  <c r="AB175" i="1"/>
  <c r="AA175" i="1"/>
  <c r="Q175" i="1"/>
  <c r="AD175" i="1" s="1"/>
  <c r="AG174" i="1"/>
  <c r="AF174" i="1"/>
  <c r="AE174" i="1"/>
  <c r="AD174" i="1"/>
  <c r="AC174" i="1"/>
  <c r="AB174" i="1"/>
  <c r="AA174" i="1"/>
  <c r="AG173" i="1"/>
  <c r="AF173" i="1"/>
  <c r="AE173" i="1"/>
  <c r="AD173" i="1"/>
  <c r="AC173" i="1"/>
  <c r="AB173" i="1"/>
  <c r="AA173" i="1"/>
  <c r="AG172" i="1"/>
  <c r="AF172" i="1"/>
  <c r="AE172" i="1"/>
  <c r="AC172" i="1"/>
  <c r="AB172" i="1"/>
  <c r="AA172" i="1"/>
  <c r="Q172" i="1"/>
  <c r="AD172" i="1" s="1"/>
  <c r="AG171" i="1"/>
  <c r="AF171" i="1"/>
  <c r="AE171" i="1"/>
  <c r="AD171" i="1"/>
  <c r="AC171" i="1"/>
  <c r="AB171" i="1"/>
  <c r="AA171" i="1"/>
  <c r="AG170" i="1"/>
  <c r="AF170" i="1"/>
  <c r="AE170" i="1"/>
  <c r="AD170" i="1"/>
  <c r="AC170" i="1"/>
  <c r="AB170" i="1"/>
  <c r="AA170" i="1"/>
  <c r="AG169" i="1"/>
  <c r="AF169" i="1"/>
  <c r="AE169" i="1"/>
  <c r="AD169" i="1"/>
  <c r="AC169" i="1"/>
  <c r="AB169" i="1"/>
  <c r="AA169" i="1"/>
  <c r="AG168" i="1"/>
  <c r="AF168" i="1"/>
  <c r="AE168" i="1"/>
  <c r="AD168" i="1"/>
  <c r="AC168" i="1"/>
  <c r="AB168" i="1"/>
  <c r="AA168" i="1"/>
  <c r="AG167" i="1"/>
  <c r="AF167" i="1"/>
  <c r="AE167" i="1"/>
  <c r="AC167" i="1"/>
  <c r="AB167" i="1"/>
  <c r="AA167" i="1"/>
  <c r="Q167" i="1"/>
  <c r="AD167" i="1" s="1"/>
  <c r="AG166" i="1"/>
  <c r="AF166" i="1"/>
  <c r="AE166" i="1"/>
  <c r="AD166" i="1"/>
  <c r="AC166" i="1"/>
  <c r="AB166" i="1"/>
  <c r="AA166" i="1"/>
  <c r="AG165" i="1"/>
  <c r="AF165" i="1"/>
  <c r="AE165" i="1"/>
  <c r="AD165" i="1"/>
  <c r="AC165" i="1"/>
  <c r="AB165" i="1"/>
  <c r="AA165" i="1"/>
  <c r="AG164" i="1"/>
  <c r="AF164" i="1"/>
  <c r="AE164" i="1"/>
  <c r="AC164" i="1"/>
  <c r="AB164" i="1"/>
  <c r="AA164" i="1"/>
  <c r="Q164" i="1"/>
  <c r="AD164" i="1" s="1"/>
  <c r="AG163" i="1"/>
  <c r="AF163" i="1"/>
  <c r="AE163" i="1"/>
  <c r="AD163" i="1"/>
  <c r="AC163" i="1"/>
  <c r="AB163" i="1"/>
  <c r="AA163" i="1"/>
  <c r="AG162" i="1"/>
  <c r="AF162" i="1"/>
  <c r="AE162" i="1"/>
  <c r="AD162" i="1"/>
  <c r="AC162" i="1"/>
  <c r="AB162" i="1"/>
  <c r="AA162" i="1"/>
  <c r="AG161" i="1"/>
  <c r="AF161" i="1"/>
  <c r="AE161" i="1"/>
  <c r="AC161" i="1"/>
  <c r="AB161" i="1"/>
  <c r="AA161" i="1"/>
  <c r="Q161" i="1"/>
  <c r="AD161" i="1" s="1"/>
  <c r="AG160" i="1"/>
  <c r="AF160" i="1"/>
  <c r="AE160" i="1"/>
  <c r="AD160" i="1"/>
  <c r="AC160" i="1"/>
  <c r="AB160" i="1"/>
  <c r="AA160" i="1"/>
  <c r="AG159" i="1"/>
  <c r="AF159" i="1"/>
  <c r="AE159" i="1"/>
  <c r="AD159" i="1"/>
  <c r="AC159" i="1"/>
  <c r="AB159" i="1"/>
  <c r="AA159" i="1"/>
  <c r="AG158" i="1"/>
  <c r="AF158" i="1"/>
  <c r="AE158" i="1"/>
  <c r="AC158" i="1"/>
  <c r="AB158" i="1"/>
  <c r="AA158" i="1"/>
  <c r="Q158" i="1"/>
  <c r="AD158" i="1" s="1"/>
  <c r="AG157" i="1"/>
  <c r="AF157" i="1"/>
  <c r="AE157" i="1"/>
  <c r="AD157" i="1"/>
  <c r="AC157" i="1"/>
  <c r="AB157" i="1"/>
  <c r="AA157" i="1"/>
  <c r="AG156" i="1"/>
  <c r="AF156" i="1"/>
  <c r="AE156" i="1"/>
  <c r="AD156" i="1"/>
  <c r="AC156" i="1"/>
  <c r="AB156" i="1"/>
  <c r="AA156" i="1"/>
  <c r="AG155" i="1"/>
  <c r="AF155" i="1"/>
  <c r="AE155" i="1"/>
  <c r="AC155" i="1"/>
  <c r="AB155" i="1"/>
  <c r="AA155" i="1"/>
  <c r="Q155" i="1"/>
  <c r="AD155" i="1" s="1"/>
  <c r="AG154" i="1"/>
  <c r="AF154" i="1"/>
  <c r="AE154" i="1"/>
  <c r="AD154" i="1"/>
  <c r="AC154" i="1"/>
  <c r="AB154" i="1"/>
  <c r="AA154" i="1"/>
  <c r="AG153" i="1"/>
  <c r="AF153" i="1"/>
  <c r="AE153" i="1"/>
  <c r="AD153" i="1"/>
  <c r="AC153" i="1"/>
  <c r="AB153" i="1"/>
  <c r="AA153" i="1"/>
  <c r="AG152" i="1"/>
  <c r="AF152" i="1"/>
  <c r="AE152" i="1"/>
  <c r="AD152" i="1"/>
  <c r="AC152" i="1"/>
  <c r="AB152" i="1"/>
  <c r="AA152" i="1"/>
  <c r="AG151" i="1"/>
  <c r="AF151" i="1"/>
  <c r="AE151" i="1"/>
  <c r="AD151" i="1"/>
  <c r="AC151" i="1"/>
  <c r="AB151" i="1"/>
  <c r="AA151" i="1"/>
  <c r="AG150" i="1"/>
  <c r="AF150" i="1"/>
  <c r="AE150" i="1"/>
  <c r="AC150" i="1"/>
  <c r="AB150" i="1"/>
  <c r="AA150" i="1"/>
  <c r="Q150" i="1"/>
  <c r="AD150" i="1" s="1"/>
  <c r="AG149" i="1"/>
  <c r="AF149" i="1"/>
  <c r="AE149" i="1"/>
  <c r="AC149" i="1"/>
  <c r="AB149" i="1"/>
  <c r="AA149" i="1"/>
  <c r="Q149" i="1"/>
  <c r="AD149" i="1" s="1"/>
  <c r="AG148" i="1"/>
  <c r="AF148" i="1"/>
  <c r="AE148" i="1"/>
  <c r="AD148" i="1"/>
  <c r="AC148" i="1"/>
  <c r="AB148" i="1"/>
  <c r="AA148" i="1"/>
  <c r="AG147" i="1"/>
  <c r="AF147" i="1"/>
  <c r="AE147" i="1"/>
  <c r="AD147" i="1"/>
  <c r="AC147" i="1"/>
  <c r="AB147" i="1"/>
  <c r="AA147" i="1"/>
  <c r="AG146" i="1"/>
  <c r="AF146" i="1"/>
  <c r="AE146" i="1"/>
  <c r="AC146" i="1"/>
  <c r="AB146" i="1"/>
  <c r="AA146" i="1"/>
  <c r="Q146" i="1"/>
  <c r="AD146" i="1" s="1"/>
  <c r="AG145" i="1"/>
  <c r="AF145" i="1"/>
  <c r="AE145" i="1"/>
  <c r="AD145" i="1"/>
  <c r="AC145" i="1"/>
  <c r="AB145" i="1"/>
  <c r="AA145" i="1"/>
  <c r="AG144" i="1"/>
  <c r="AF144" i="1"/>
  <c r="AE144" i="1"/>
  <c r="AD144" i="1"/>
  <c r="AC144" i="1"/>
  <c r="AB144" i="1"/>
  <c r="AA144" i="1"/>
  <c r="AG143" i="1"/>
  <c r="AF143" i="1"/>
  <c r="AE143" i="1"/>
  <c r="AC143" i="1"/>
  <c r="AB143" i="1"/>
  <c r="AA143" i="1"/>
  <c r="Q143" i="1"/>
  <c r="AD143" i="1" s="1"/>
  <c r="AG142" i="1"/>
  <c r="AF142" i="1"/>
  <c r="AE142" i="1"/>
  <c r="AD142" i="1"/>
  <c r="AC142" i="1"/>
  <c r="AB142" i="1"/>
  <c r="AA142" i="1"/>
  <c r="AG141" i="1"/>
  <c r="AF141" i="1"/>
  <c r="AE141" i="1"/>
  <c r="AD141" i="1"/>
  <c r="AC141" i="1"/>
  <c r="AB141" i="1"/>
  <c r="AA141" i="1"/>
  <c r="AG140" i="1"/>
  <c r="AF140" i="1"/>
  <c r="AE140" i="1"/>
  <c r="AD140" i="1"/>
  <c r="AC140" i="1"/>
  <c r="AB140" i="1"/>
  <c r="AA140" i="1"/>
  <c r="AG139" i="1"/>
  <c r="AF139" i="1"/>
  <c r="AE139" i="1"/>
  <c r="AD139" i="1"/>
  <c r="AC139" i="1"/>
  <c r="AB139" i="1"/>
  <c r="AA139" i="1"/>
  <c r="AG138" i="1"/>
  <c r="AF138" i="1"/>
  <c r="AE138" i="1"/>
  <c r="AC138" i="1"/>
  <c r="AB138" i="1"/>
  <c r="AA138" i="1"/>
  <c r="Q138" i="1"/>
  <c r="AD138" i="1" s="1"/>
  <c r="AG137" i="1"/>
  <c r="AF137" i="1"/>
  <c r="AE137" i="1"/>
  <c r="AD137" i="1"/>
  <c r="AC137" i="1"/>
  <c r="AB137" i="1"/>
  <c r="AA137" i="1"/>
  <c r="AG136" i="1"/>
  <c r="AF136" i="1"/>
  <c r="AE136" i="1"/>
  <c r="AD136" i="1"/>
  <c r="AC136" i="1"/>
  <c r="AB136" i="1"/>
  <c r="AA136" i="1"/>
  <c r="AG135" i="1"/>
  <c r="AF135" i="1"/>
  <c r="AE135" i="1"/>
  <c r="AC135" i="1"/>
  <c r="AB135" i="1"/>
  <c r="AA135" i="1"/>
  <c r="Q135" i="1"/>
  <c r="AD135" i="1" s="1"/>
  <c r="AG134" i="1"/>
  <c r="AF134" i="1"/>
  <c r="AE134" i="1"/>
  <c r="AD134" i="1"/>
  <c r="AC134" i="1"/>
  <c r="AB134" i="1"/>
  <c r="AA134" i="1"/>
  <c r="AG133" i="1"/>
  <c r="AF133" i="1"/>
  <c r="AE133" i="1"/>
  <c r="AD133" i="1"/>
  <c r="AC133" i="1"/>
  <c r="AB133" i="1"/>
  <c r="AA133" i="1"/>
  <c r="AG132" i="1"/>
  <c r="AF132" i="1"/>
  <c r="AE132" i="1"/>
  <c r="AC132" i="1"/>
  <c r="AB132" i="1"/>
  <c r="AA132" i="1"/>
  <c r="Q132" i="1"/>
  <c r="AD132" i="1" s="1"/>
  <c r="AG131" i="1"/>
  <c r="AF131" i="1"/>
  <c r="AE131" i="1"/>
  <c r="AD131" i="1"/>
  <c r="AC131" i="1"/>
  <c r="AB131" i="1"/>
  <c r="AA131" i="1"/>
  <c r="AG130" i="1"/>
  <c r="AF130" i="1"/>
  <c r="AE130" i="1"/>
  <c r="AD130" i="1"/>
  <c r="AC130" i="1"/>
  <c r="AB130" i="1"/>
  <c r="AA130" i="1"/>
  <c r="AG129" i="1"/>
  <c r="AF129" i="1"/>
  <c r="AE129" i="1"/>
  <c r="AC129" i="1"/>
  <c r="AB129" i="1"/>
  <c r="AA129" i="1"/>
  <c r="Q129" i="1"/>
  <c r="AD129" i="1" s="1"/>
  <c r="AG128" i="1"/>
  <c r="AF128" i="1"/>
  <c r="AE128" i="1"/>
  <c r="AD128" i="1"/>
  <c r="AC128" i="1"/>
  <c r="AB128" i="1"/>
  <c r="AA128" i="1"/>
  <c r="AG127" i="1"/>
  <c r="AF127" i="1"/>
  <c r="AE127" i="1"/>
  <c r="AD127" i="1"/>
  <c r="AC127" i="1"/>
  <c r="AB127" i="1"/>
  <c r="AA127" i="1"/>
  <c r="AG126" i="1"/>
  <c r="AF126" i="1"/>
  <c r="AE126" i="1"/>
  <c r="AC126" i="1"/>
  <c r="AB126" i="1"/>
  <c r="AA126" i="1"/>
  <c r="Q126" i="1"/>
  <c r="AD126" i="1" s="1"/>
  <c r="AG125" i="1"/>
  <c r="AF125" i="1"/>
  <c r="AE125" i="1"/>
  <c r="AD125" i="1"/>
  <c r="AC125" i="1"/>
  <c r="AB125" i="1"/>
  <c r="AA125" i="1"/>
  <c r="AG124" i="1"/>
  <c r="AF124" i="1"/>
  <c r="AE124" i="1"/>
  <c r="AD124" i="1"/>
  <c r="AC124" i="1"/>
  <c r="AB124" i="1"/>
  <c r="AA124" i="1"/>
  <c r="AG123" i="1"/>
  <c r="AF123" i="1"/>
  <c r="AE123" i="1"/>
  <c r="AD123" i="1"/>
  <c r="AC123" i="1"/>
  <c r="AB123" i="1"/>
  <c r="AA123" i="1"/>
  <c r="AG122" i="1"/>
  <c r="AF122" i="1"/>
  <c r="AE122" i="1"/>
  <c r="AD122" i="1"/>
  <c r="AC122" i="1"/>
  <c r="AB122" i="1"/>
  <c r="AA122" i="1"/>
  <c r="AG121" i="1"/>
  <c r="AF121" i="1"/>
  <c r="AE121" i="1"/>
  <c r="AD121" i="1"/>
  <c r="AC121" i="1"/>
  <c r="AB121" i="1"/>
  <c r="AA121" i="1"/>
  <c r="AG120" i="1"/>
  <c r="AF120" i="1"/>
  <c r="AE120" i="1"/>
  <c r="AD120" i="1"/>
  <c r="AC120" i="1"/>
  <c r="AB120" i="1"/>
  <c r="AA120" i="1"/>
  <c r="AG119" i="1"/>
  <c r="AF119" i="1"/>
  <c r="AE119" i="1"/>
  <c r="AD119" i="1"/>
  <c r="AC119" i="1"/>
  <c r="AB119" i="1"/>
  <c r="AA119" i="1"/>
  <c r="AG118" i="1"/>
  <c r="AF118" i="1"/>
  <c r="AE118" i="1"/>
  <c r="AD118" i="1"/>
  <c r="AC118" i="1"/>
  <c r="AB118" i="1"/>
  <c r="AA118" i="1"/>
  <c r="AG117" i="1"/>
  <c r="AF117" i="1"/>
  <c r="AE117" i="1"/>
  <c r="AD117" i="1"/>
  <c r="AC117" i="1"/>
  <c r="AB117" i="1"/>
  <c r="AA117" i="1"/>
  <c r="AG116" i="1"/>
  <c r="AF116" i="1"/>
  <c r="AE116" i="1"/>
  <c r="AD116" i="1"/>
  <c r="AC116" i="1"/>
  <c r="AB116" i="1"/>
  <c r="AA116" i="1"/>
  <c r="AG115" i="1"/>
  <c r="AF115" i="1"/>
  <c r="AE115" i="1"/>
  <c r="AD115" i="1"/>
  <c r="AC115" i="1"/>
  <c r="AB115" i="1"/>
  <c r="AA115" i="1"/>
  <c r="AG114" i="1"/>
  <c r="AF114" i="1"/>
  <c r="AE114" i="1"/>
  <c r="AD114" i="1"/>
  <c r="AC114" i="1"/>
  <c r="AB114" i="1"/>
  <c r="AA114" i="1"/>
  <c r="AG113" i="1"/>
  <c r="AF113" i="1"/>
  <c r="AE113" i="1"/>
  <c r="AD113" i="1"/>
  <c r="AC113" i="1"/>
  <c r="AB113" i="1"/>
  <c r="AA113" i="1"/>
  <c r="AG112" i="1"/>
  <c r="AF112" i="1"/>
  <c r="AE112" i="1"/>
  <c r="AD112" i="1"/>
  <c r="AC112" i="1"/>
  <c r="AB112" i="1"/>
  <c r="AA112" i="1"/>
  <c r="AG111" i="1"/>
  <c r="AF111" i="1"/>
  <c r="AE111" i="1"/>
  <c r="AD111" i="1"/>
  <c r="AC111" i="1"/>
  <c r="AB111" i="1"/>
  <c r="AA111" i="1"/>
  <c r="AG110" i="1"/>
  <c r="AF110" i="1"/>
  <c r="AE110" i="1"/>
  <c r="AD110" i="1"/>
  <c r="AC110" i="1"/>
  <c r="AB110" i="1"/>
  <c r="AA110" i="1"/>
  <c r="AG109" i="1"/>
  <c r="AF109" i="1"/>
  <c r="AE109" i="1"/>
  <c r="AD109" i="1"/>
  <c r="AC109" i="1"/>
  <c r="AB109" i="1"/>
  <c r="AA109" i="1"/>
  <c r="AG108" i="1"/>
  <c r="AF108" i="1"/>
  <c r="AE108" i="1"/>
  <c r="AD108" i="1"/>
  <c r="AC108" i="1"/>
  <c r="AB108" i="1"/>
  <c r="AA108" i="1"/>
  <c r="AG107" i="1"/>
  <c r="AF107" i="1"/>
  <c r="AE107" i="1"/>
  <c r="AD107" i="1"/>
  <c r="AC107" i="1"/>
  <c r="AB107" i="1"/>
  <c r="AA107" i="1"/>
  <c r="AG106" i="1"/>
  <c r="AF106" i="1"/>
  <c r="AE106" i="1"/>
  <c r="AD106" i="1"/>
  <c r="AC106" i="1"/>
  <c r="AB106" i="1"/>
  <c r="AA106" i="1"/>
  <c r="AG105" i="1"/>
  <c r="AF105" i="1"/>
  <c r="AE105" i="1"/>
  <c r="AD105" i="1"/>
  <c r="AC105" i="1"/>
  <c r="AB105" i="1"/>
  <c r="AA105" i="1"/>
  <c r="AG104" i="1"/>
  <c r="AF104" i="1"/>
  <c r="AE104" i="1"/>
  <c r="AC104" i="1"/>
  <c r="AB104" i="1"/>
  <c r="AA104" i="1"/>
  <c r="Q104" i="1"/>
  <c r="AD104" i="1" s="1"/>
  <c r="AG103" i="1"/>
  <c r="AF103" i="1"/>
  <c r="AE103" i="1"/>
  <c r="AD103" i="1"/>
  <c r="AC103" i="1"/>
  <c r="AB103" i="1"/>
  <c r="AA103" i="1"/>
  <c r="AG102" i="1"/>
  <c r="AF102" i="1"/>
  <c r="AE102" i="1"/>
  <c r="AD102" i="1"/>
  <c r="AC102" i="1"/>
  <c r="AB102" i="1"/>
  <c r="AA102" i="1"/>
  <c r="AG101" i="1"/>
  <c r="AF101" i="1"/>
  <c r="AE101" i="1"/>
  <c r="AD101" i="1"/>
  <c r="AC101" i="1"/>
  <c r="AB101" i="1"/>
  <c r="AA101" i="1"/>
  <c r="AG100" i="1"/>
  <c r="AF100" i="1"/>
  <c r="AE100" i="1"/>
  <c r="AD100" i="1"/>
  <c r="AC100" i="1"/>
  <c r="AB100" i="1"/>
  <c r="AA100" i="1"/>
  <c r="AG99" i="1"/>
  <c r="AF99" i="1"/>
  <c r="AE99" i="1"/>
  <c r="AD99" i="1"/>
  <c r="AC99" i="1"/>
  <c r="AB99" i="1"/>
  <c r="AA99" i="1"/>
  <c r="AG98" i="1"/>
  <c r="AF98" i="1"/>
  <c r="AE98" i="1"/>
  <c r="AD98" i="1"/>
  <c r="AC98" i="1"/>
  <c r="AB98" i="1"/>
  <c r="AA98" i="1"/>
  <c r="AG97" i="1"/>
  <c r="AF97" i="1"/>
  <c r="AE97" i="1"/>
  <c r="AD97" i="1"/>
  <c r="AC97" i="1"/>
  <c r="AB97" i="1"/>
  <c r="AA97" i="1"/>
  <c r="AG96" i="1"/>
  <c r="AF96" i="1"/>
  <c r="AE96" i="1"/>
  <c r="AD96" i="1"/>
  <c r="AC96" i="1"/>
  <c r="AB96" i="1"/>
  <c r="AA96" i="1"/>
  <c r="AG95" i="1"/>
  <c r="AF95" i="1"/>
  <c r="AE95" i="1"/>
  <c r="AC95" i="1"/>
  <c r="AB95" i="1"/>
  <c r="AA95" i="1"/>
  <c r="Q95" i="1"/>
  <c r="AD95" i="1" s="1"/>
  <c r="AG94" i="1"/>
  <c r="AF94" i="1"/>
  <c r="AE94" i="1"/>
  <c r="AD94" i="1"/>
  <c r="AC94" i="1"/>
  <c r="AB94" i="1"/>
  <c r="AA94" i="1"/>
  <c r="AG93" i="1"/>
  <c r="AF93" i="1"/>
  <c r="AE93" i="1"/>
  <c r="AD93" i="1"/>
  <c r="AC93" i="1"/>
  <c r="AB93" i="1"/>
  <c r="AA93" i="1"/>
  <c r="AG92" i="1"/>
  <c r="AF92" i="1"/>
  <c r="AE92" i="1"/>
  <c r="AC92" i="1"/>
  <c r="AB92" i="1"/>
  <c r="AA92" i="1"/>
  <c r="Q92" i="1"/>
  <c r="AD92" i="1" s="1"/>
  <c r="AG91" i="1"/>
  <c r="AF91" i="1"/>
  <c r="AE91" i="1"/>
  <c r="AD91" i="1"/>
  <c r="AC91" i="1"/>
  <c r="AB91" i="1"/>
  <c r="AA91" i="1"/>
  <c r="AG90" i="1"/>
  <c r="AF90" i="1"/>
  <c r="AE90" i="1"/>
  <c r="AD90" i="1"/>
  <c r="AC90" i="1"/>
  <c r="AB90" i="1"/>
  <c r="AA90" i="1"/>
  <c r="AG89" i="1"/>
  <c r="AF89" i="1"/>
  <c r="AE89" i="1"/>
  <c r="AD89" i="1"/>
  <c r="AC89" i="1"/>
  <c r="AB89" i="1"/>
  <c r="AA89" i="1"/>
  <c r="AG88" i="1"/>
  <c r="AF88" i="1"/>
  <c r="AE88" i="1"/>
  <c r="AD88" i="1"/>
  <c r="AC88" i="1"/>
  <c r="AB88" i="1"/>
  <c r="AA88" i="1"/>
  <c r="AG87" i="1"/>
  <c r="AF87" i="1"/>
  <c r="AE87" i="1"/>
  <c r="AD87" i="1"/>
  <c r="AC87" i="1"/>
  <c r="AB87" i="1"/>
  <c r="AA87" i="1"/>
  <c r="AG86" i="1"/>
  <c r="AF86" i="1"/>
  <c r="AE86" i="1"/>
  <c r="AD86" i="1"/>
  <c r="AC86" i="1"/>
  <c r="AB86" i="1"/>
  <c r="AA86" i="1"/>
  <c r="AG85" i="1"/>
  <c r="AF85" i="1"/>
  <c r="AE85" i="1"/>
  <c r="AD85" i="1"/>
  <c r="AC85" i="1"/>
  <c r="AB85" i="1"/>
  <c r="AA85" i="1"/>
  <c r="AG84" i="1"/>
  <c r="AF84" i="1"/>
  <c r="AE84" i="1"/>
  <c r="AD84" i="1"/>
  <c r="AC84" i="1"/>
  <c r="AB84" i="1"/>
  <c r="AA84" i="1"/>
  <c r="AG83" i="1"/>
  <c r="AF83" i="1"/>
  <c r="AE83" i="1"/>
  <c r="AD83" i="1"/>
  <c r="AC83" i="1"/>
  <c r="AB83" i="1"/>
  <c r="AA83" i="1"/>
  <c r="AG82" i="1"/>
  <c r="AF82" i="1"/>
  <c r="AE82" i="1"/>
  <c r="AD82" i="1"/>
  <c r="AC82" i="1"/>
  <c r="AB82" i="1"/>
  <c r="AA82" i="1"/>
  <c r="AG81" i="1"/>
  <c r="AF81" i="1"/>
  <c r="AE81" i="1"/>
  <c r="AD81" i="1"/>
  <c r="AC81" i="1"/>
  <c r="AB81" i="1"/>
  <c r="AA81" i="1"/>
  <c r="AG80" i="1"/>
  <c r="AF80" i="1"/>
  <c r="AE80" i="1"/>
  <c r="AD80" i="1"/>
  <c r="AC80" i="1"/>
  <c r="AB80" i="1"/>
  <c r="AA80" i="1"/>
  <c r="AG79" i="1"/>
  <c r="AF79" i="1"/>
  <c r="AE79" i="1"/>
  <c r="AD79" i="1"/>
  <c r="AC79" i="1"/>
  <c r="AB79" i="1"/>
  <c r="AA79" i="1"/>
  <c r="AG78" i="1"/>
  <c r="AF78" i="1"/>
  <c r="AE78" i="1"/>
  <c r="AD78" i="1"/>
  <c r="AC78" i="1"/>
  <c r="AB78" i="1"/>
  <c r="AA78" i="1"/>
  <c r="AG77" i="1"/>
  <c r="AF77" i="1"/>
  <c r="AE77" i="1"/>
  <c r="AD77" i="1"/>
  <c r="AC77" i="1"/>
  <c r="AB77" i="1"/>
  <c r="AA77" i="1"/>
  <c r="AG76" i="1"/>
  <c r="AF76" i="1"/>
  <c r="AE76" i="1"/>
  <c r="AD76" i="1"/>
  <c r="AC76" i="1"/>
  <c r="AB76" i="1"/>
  <c r="AA76" i="1"/>
  <c r="AG75" i="1"/>
  <c r="AF75" i="1"/>
  <c r="AE75" i="1"/>
  <c r="AD75" i="1"/>
  <c r="AC75" i="1"/>
  <c r="AB75" i="1"/>
  <c r="AA75" i="1"/>
  <c r="AG74" i="1"/>
  <c r="AF74" i="1"/>
  <c r="AE74" i="1"/>
  <c r="AD74" i="1"/>
  <c r="AC74" i="1"/>
  <c r="AB74" i="1"/>
  <c r="AA74" i="1"/>
  <c r="AG73" i="1"/>
  <c r="AF73" i="1"/>
  <c r="AE73" i="1"/>
  <c r="AD73" i="1"/>
  <c r="AC73" i="1"/>
  <c r="AB73" i="1"/>
  <c r="AA73" i="1"/>
  <c r="AG72" i="1"/>
  <c r="AF72" i="1"/>
  <c r="AE72" i="1"/>
  <c r="AD72" i="1"/>
  <c r="AC72" i="1"/>
  <c r="AB72" i="1"/>
  <c r="AA72" i="1"/>
  <c r="AG71" i="1"/>
  <c r="AF71" i="1"/>
  <c r="AE71" i="1"/>
  <c r="AD71" i="1"/>
  <c r="AC71" i="1"/>
  <c r="AB71" i="1"/>
  <c r="AA71" i="1"/>
  <c r="AG70" i="1"/>
  <c r="AF70" i="1"/>
  <c r="AE70" i="1"/>
  <c r="AD70" i="1"/>
  <c r="AC70" i="1"/>
  <c r="AB70" i="1"/>
  <c r="AA70" i="1"/>
  <c r="AG69" i="1"/>
  <c r="AF69" i="1"/>
  <c r="AE69" i="1"/>
  <c r="AD69" i="1"/>
  <c r="AC69" i="1"/>
  <c r="AB69" i="1"/>
  <c r="AA69" i="1"/>
  <c r="AG68" i="1"/>
  <c r="AF68" i="1"/>
  <c r="AE68" i="1"/>
  <c r="AD68" i="1"/>
  <c r="AC68" i="1"/>
  <c r="AB68" i="1"/>
  <c r="AA68" i="1"/>
  <c r="AG67" i="1"/>
  <c r="AF67" i="1"/>
  <c r="AE67" i="1"/>
  <c r="AD67" i="1"/>
  <c r="AC67" i="1"/>
  <c r="AB67" i="1"/>
  <c r="AA67" i="1"/>
  <c r="AG66" i="1"/>
  <c r="AF66" i="1"/>
  <c r="AE66" i="1"/>
  <c r="AC66" i="1"/>
  <c r="AB66" i="1"/>
  <c r="AA66" i="1"/>
  <c r="Q66" i="1"/>
  <c r="AD66" i="1" s="1"/>
  <c r="AG65" i="1"/>
  <c r="AF65" i="1"/>
  <c r="AE65" i="1"/>
  <c r="AD65" i="1"/>
  <c r="AC65" i="1"/>
  <c r="AB65" i="1"/>
  <c r="AA65" i="1"/>
  <c r="AG64" i="1"/>
  <c r="AF64" i="1"/>
  <c r="AE64" i="1"/>
  <c r="AD64" i="1"/>
  <c r="AC64" i="1"/>
  <c r="AB64" i="1"/>
  <c r="AA64" i="1"/>
  <c r="AG63" i="1"/>
  <c r="AF63" i="1"/>
  <c r="AE63" i="1"/>
  <c r="AD63" i="1"/>
  <c r="AC63" i="1"/>
  <c r="AB63" i="1"/>
  <c r="AA63" i="1"/>
  <c r="AG62" i="1"/>
  <c r="AF62" i="1"/>
  <c r="AE62" i="1"/>
  <c r="AD62" i="1"/>
  <c r="AC62" i="1"/>
  <c r="AB62" i="1"/>
  <c r="AA62" i="1"/>
  <c r="AG61" i="1"/>
  <c r="AF61" i="1"/>
  <c r="AE61" i="1"/>
  <c r="AD61" i="1"/>
  <c r="AC61" i="1"/>
  <c r="AB61" i="1"/>
  <c r="AA61" i="1"/>
  <c r="AG60" i="1"/>
  <c r="AF60" i="1"/>
  <c r="AE60" i="1"/>
  <c r="AD60" i="1"/>
  <c r="AC60" i="1"/>
  <c r="AB60" i="1"/>
  <c r="AA60" i="1"/>
  <c r="AG59" i="1"/>
  <c r="AF59" i="1"/>
  <c r="AE59" i="1"/>
  <c r="AD59" i="1"/>
  <c r="AC59" i="1"/>
  <c r="AB59" i="1"/>
  <c r="AA59" i="1"/>
  <c r="AG58" i="1"/>
  <c r="AF58" i="1"/>
  <c r="AE58" i="1"/>
  <c r="AD58" i="1"/>
  <c r="AC58" i="1"/>
  <c r="AB58" i="1"/>
  <c r="AA58" i="1"/>
  <c r="AG57" i="1"/>
  <c r="AF57" i="1"/>
  <c r="AE57" i="1"/>
  <c r="AD57" i="1"/>
  <c r="AC57" i="1"/>
  <c r="AB57" i="1"/>
  <c r="AA57" i="1"/>
  <c r="AG56" i="1"/>
  <c r="AF56" i="1"/>
  <c r="AE56" i="1"/>
  <c r="AD56" i="1"/>
  <c r="AC56" i="1"/>
  <c r="AB56" i="1"/>
  <c r="AA56" i="1"/>
  <c r="AG55" i="1"/>
  <c r="AF55" i="1"/>
  <c r="AE55" i="1"/>
  <c r="AD55" i="1"/>
  <c r="AC55" i="1"/>
  <c r="AB55" i="1"/>
  <c r="AA55" i="1"/>
  <c r="AG54" i="1"/>
  <c r="AF54" i="1"/>
  <c r="AE54" i="1"/>
  <c r="AD54" i="1"/>
  <c r="AC54" i="1"/>
  <c r="AB54" i="1"/>
  <c r="AA54" i="1"/>
  <c r="AG53" i="1"/>
  <c r="AF53" i="1"/>
  <c r="AE53" i="1"/>
  <c r="AD53" i="1"/>
  <c r="AC53" i="1"/>
  <c r="AB53" i="1"/>
  <c r="AA53" i="1"/>
  <c r="AG52" i="1"/>
  <c r="AF52" i="1"/>
  <c r="AE52" i="1"/>
  <c r="AD52" i="1"/>
  <c r="AC52" i="1"/>
  <c r="AB52" i="1"/>
  <c r="AA52" i="1"/>
  <c r="AG51" i="1"/>
  <c r="AF51" i="1"/>
  <c r="AE51" i="1"/>
  <c r="AD51" i="1"/>
  <c r="AC51" i="1"/>
  <c r="AB51" i="1"/>
  <c r="AA51" i="1"/>
  <c r="AG50" i="1"/>
  <c r="AF50" i="1"/>
  <c r="AE50" i="1"/>
  <c r="AD50" i="1"/>
  <c r="AC50" i="1"/>
  <c r="AB50" i="1"/>
  <c r="AA50" i="1"/>
  <c r="AG49" i="1"/>
  <c r="AF49" i="1"/>
  <c r="AE49" i="1"/>
  <c r="AD49" i="1"/>
  <c r="AC49" i="1"/>
  <c r="AB49" i="1"/>
  <c r="AA49" i="1"/>
  <c r="AG48" i="1"/>
  <c r="AF48" i="1"/>
  <c r="AE48" i="1"/>
  <c r="AD48" i="1"/>
  <c r="AC48" i="1"/>
  <c r="AB48" i="1"/>
  <c r="AA48" i="1"/>
  <c r="AG47" i="1"/>
  <c r="AF47" i="1"/>
  <c r="AE47" i="1"/>
  <c r="AD47" i="1"/>
  <c r="AC47" i="1"/>
  <c r="AB47" i="1"/>
  <c r="AA47" i="1"/>
  <c r="AG46" i="1"/>
  <c r="AF46" i="1"/>
  <c r="AE46" i="1"/>
  <c r="AD46" i="1"/>
  <c r="AC46" i="1"/>
  <c r="AB46" i="1"/>
  <c r="AA46" i="1"/>
  <c r="AG45" i="1"/>
  <c r="AF45" i="1"/>
  <c r="AE45" i="1"/>
  <c r="AD45" i="1"/>
  <c r="AC45" i="1"/>
  <c r="AB45" i="1"/>
  <c r="AA45" i="1"/>
  <c r="AG44" i="1"/>
  <c r="AF44" i="1"/>
  <c r="AE44" i="1"/>
  <c r="AD44" i="1"/>
  <c r="AC44" i="1"/>
  <c r="AB44" i="1"/>
  <c r="AA44" i="1"/>
  <c r="AG43" i="1"/>
  <c r="AF43" i="1"/>
  <c r="AE43" i="1"/>
  <c r="AD43" i="1"/>
  <c r="AC43" i="1"/>
  <c r="AB43" i="1"/>
  <c r="AA43" i="1"/>
  <c r="AG42" i="1"/>
  <c r="AF42" i="1"/>
  <c r="AE42" i="1"/>
  <c r="AD42" i="1"/>
  <c r="AC42" i="1"/>
  <c r="AB42" i="1"/>
  <c r="AA42" i="1"/>
  <c r="AG41" i="1"/>
  <c r="AF41" i="1"/>
  <c r="AE41" i="1"/>
  <c r="AC41" i="1"/>
  <c r="AB41" i="1"/>
  <c r="AA41" i="1"/>
  <c r="Q41" i="1"/>
  <c r="AD41" i="1" s="1"/>
  <c r="AG40" i="1"/>
  <c r="AF40" i="1"/>
  <c r="AE40" i="1"/>
  <c r="AD40" i="1"/>
  <c r="AC40" i="1"/>
  <c r="AB40" i="1"/>
  <c r="AA40" i="1"/>
  <c r="AG39" i="1"/>
  <c r="AF39" i="1"/>
  <c r="AE39" i="1"/>
  <c r="AD39" i="1"/>
  <c r="AC39" i="1"/>
  <c r="AB39" i="1"/>
  <c r="AA39" i="1"/>
  <c r="AG38" i="1"/>
  <c r="AF38" i="1"/>
  <c r="AE38" i="1"/>
  <c r="AC38" i="1"/>
  <c r="AB38" i="1"/>
  <c r="AA38" i="1"/>
  <c r="Q38" i="1"/>
  <c r="AD38" i="1" s="1"/>
  <c r="AG37" i="1"/>
  <c r="AF37" i="1"/>
  <c r="AE37" i="1"/>
  <c r="AD37" i="1"/>
  <c r="AC37" i="1"/>
  <c r="AB37" i="1"/>
  <c r="AA37" i="1"/>
  <c r="AG36" i="1"/>
  <c r="AF36" i="1"/>
  <c r="AE36" i="1"/>
  <c r="AD36" i="1"/>
  <c r="AC36" i="1"/>
  <c r="AB36" i="1"/>
  <c r="AA36" i="1"/>
  <c r="AG35" i="1"/>
  <c r="AF35" i="1"/>
  <c r="AE35" i="1"/>
  <c r="AC35" i="1"/>
  <c r="AB35" i="1"/>
  <c r="AA35" i="1"/>
  <c r="Q35" i="1"/>
  <c r="AD35" i="1" s="1"/>
  <c r="AG34" i="1"/>
  <c r="AF34" i="1"/>
  <c r="AE34" i="1"/>
  <c r="AD34" i="1"/>
  <c r="AC34" i="1"/>
  <c r="AB34" i="1"/>
  <c r="AA34" i="1"/>
  <c r="AG33" i="1"/>
  <c r="AF33" i="1"/>
  <c r="AE33" i="1"/>
  <c r="AD33" i="1"/>
  <c r="AC33" i="1"/>
  <c r="AB33" i="1"/>
  <c r="AA33" i="1"/>
  <c r="AG32" i="1"/>
  <c r="AF32" i="1"/>
  <c r="AE32" i="1"/>
  <c r="AD32" i="1"/>
  <c r="AC32" i="1"/>
  <c r="AB32" i="1"/>
  <c r="AA32" i="1"/>
  <c r="AG31" i="1"/>
  <c r="AF31" i="1"/>
  <c r="AE31" i="1"/>
  <c r="AD31" i="1"/>
  <c r="AC31" i="1"/>
  <c r="AB31" i="1"/>
  <c r="AA31" i="1"/>
  <c r="AG30" i="1"/>
  <c r="AF30" i="1"/>
  <c r="AE30" i="1"/>
  <c r="AD30" i="1"/>
  <c r="AC30" i="1"/>
  <c r="AB30" i="1"/>
  <c r="AA30" i="1"/>
  <c r="AG29" i="1"/>
  <c r="AF29" i="1"/>
  <c r="AE29" i="1"/>
  <c r="AD29" i="1"/>
  <c r="AC29" i="1"/>
  <c r="AB29" i="1"/>
  <c r="AA29" i="1"/>
  <c r="AG28" i="1"/>
  <c r="AF28" i="1"/>
  <c r="AE28" i="1"/>
  <c r="AD28" i="1"/>
  <c r="AC28" i="1"/>
  <c r="AB28" i="1"/>
  <c r="AA28" i="1"/>
  <c r="AG27" i="1"/>
  <c r="AF27" i="1"/>
  <c r="AE27" i="1"/>
  <c r="AD27" i="1"/>
  <c r="AC27" i="1"/>
  <c r="AB27" i="1"/>
  <c r="AA27" i="1"/>
  <c r="AG26" i="1"/>
  <c r="AF26" i="1"/>
  <c r="AE26" i="1"/>
  <c r="AD26" i="1"/>
  <c r="AC26" i="1"/>
  <c r="AB26" i="1"/>
  <c r="AA26" i="1"/>
  <c r="AG25" i="1"/>
  <c r="AF25" i="1"/>
  <c r="AE25" i="1"/>
  <c r="AD25" i="1"/>
  <c r="AC25" i="1"/>
  <c r="AB25" i="1"/>
  <c r="AA25" i="1"/>
  <c r="AG24" i="1"/>
  <c r="AF24" i="1"/>
  <c r="AE24" i="1"/>
  <c r="AD24" i="1"/>
  <c r="AC24" i="1"/>
  <c r="AB24" i="1"/>
  <c r="AA24" i="1"/>
  <c r="AG23" i="1"/>
  <c r="AF23" i="1"/>
  <c r="AE23" i="1"/>
  <c r="AD23" i="1"/>
  <c r="AC23" i="1"/>
  <c r="AB23" i="1"/>
  <c r="AA23" i="1"/>
  <c r="AG22" i="1"/>
  <c r="AF22" i="1"/>
  <c r="AE22" i="1"/>
  <c r="AD22" i="1"/>
  <c r="AC22" i="1"/>
  <c r="AB22" i="1"/>
  <c r="AA22" i="1"/>
  <c r="AG21" i="1"/>
  <c r="AF21" i="1"/>
  <c r="AE21" i="1"/>
  <c r="AD21" i="1"/>
  <c r="AC21" i="1"/>
  <c r="AB21" i="1"/>
  <c r="AA21" i="1"/>
  <c r="AG20" i="1"/>
  <c r="AF20" i="1"/>
  <c r="AE20" i="1"/>
  <c r="AD20" i="1"/>
  <c r="AC20" i="1"/>
  <c r="AB20" i="1"/>
  <c r="AA20" i="1"/>
  <c r="AG19" i="1"/>
  <c r="AF19" i="1"/>
  <c r="AE19" i="1"/>
  <c r="AD19" i="1"/>
  <c r="AC19" i="1"/>
  <c r="AB19" i="1"/>
  <c r="AA19" i="1"/>
  <c r="AG18" i="1"/>
  <c r="AF18" i="1"/>
  <c r="AE18" i="1"/>
  <c r="AD18" i="1"/>
  <c r="AC18" i="1"/>
  <c r="AB18" i="1"/>
  <c r="AA18" i="1"/>
  <c r="AG17" i="1"/>
  <c r="AF17" i="1"/>
  <c r="AE17" i="1"/>
  <c r="AD17" i="1"/>
  <c r="AC17" i="1"/>
  <c r="AB17" i="1"/>
  <c r="AA17" i="1"/>
  <c r="AG16" i="1"/>
  <c r="AF16" i="1"/>
  <c r="AE16" i="1"/>
  <c r="AD16" i="1"/>
  <c r="AC16" i="1"/>
  <c r="AB16" i="1"/>
  <c r="AA16" i="1"/>
  <c r="AG15" i="1"/>
  <c r="AF15" i="1"/>
  <c r="AE15" i="1"/>
  <c r="AD15" i="1"/>
  <c r="AC15" i="1"/>
  <c r="AB15" i="1"/>
  <c r="AA15" i="1"/>
  <c r="AG14" i="1"/>
  <c r="AF14" i="1"/>
  <c r="AE14" i="1"/>
  <c r="AD14" i="1"/>
  <c r="AC14" i="1"/>
  <c r="AB14" i="1"/>
  <c r="AA14" i="1"/>
  <c r="AG13" i="1"/>
  <c r="AF13" i="1"/>
  <c r="AE13" i="1"/>
  <c r="AD13" i="1"/>
  <c r="AC13" i="1"/>
  <c r="AB13" i="1"/>
  <c r="AA13" i="1"/>
  <c r="AG12" i="1"/>
  <c r="AF12" i="1"/>
  <c r="AE12" i="1"/>
  <c r="AD12" i="1"/>
  <c r="AC12" i="1"/>
  <c r="AB12" i="1"/>
  <c r="AA12" i="1"/>
  <c r="AG11" i="1"/>
  <c r="AF11" i="1"/>
  <c r="AE11" i="1"/>
  <c r="AC11" i="1"/>
  <c r="AB11" i="1"/>
  <c r="AA11" i="1"/>
  <c r="Q11" i="1"/>
  <c r="AD11" i="1" s="1"/>
  <c r="AG10" i="1"/>
  <c r="AF10" i="1"/>
  <c r="AE10" i="1"/>
  <c r="AD10" i="1"/>
  <c r="AC10" i="1"/>
  <c r="AB10" i="1"/>
  <c r="AA10" i="1"/>
  <c r="AG9" i="1"/>
  <c r="AF9" i="1"/>
  <c r="AE9" i="1"/>
  <c r="AD9" i="1"/>
  <c r="AC9" i="1"/>
  <c r="AB9" i="1"/>
  <c r="AA9" i="1"/>
  <c r="AG8" i="1"/>
  <c r="AF8" i="1"/>
  <c r="AE8" i="1"/>
  <c r="AC8" i="1"/>
  <c r="AB8" i="1"/>
  <c r="AA8" i="1"/>
  <c r="Q8" i="1"/>
  <c r="AD8" i="1" s="1"/>
  <c r="AG7" i="1"/>
  <c r="AF7" i="1"/>
  <c r="AE7" i="1"/>
  <c r="AD7" i="1"/>
  <c r="AC7" i="1"/>
  <c r="AB7" i="1"/>
  <c r="AA7" i="1"/>
  <c r="AG6" i="1"/>
  <c r="AF6" i="1"/>
  <c r="AE6" i="1"/>
  <c r="AD6" i="1"/>
  <c r="AC6" i="1"/>
  <c r="AB6" i="1"/>
  <c r="AA6" i="1"/>
  <c r="AG5" i="1"/>
  <c r="AF5" i="1"/>
  <c r="AE5" i="1"/>
  <c r="AC5" i="1"/>
  <c r="AB5" i="1"/>
  <c r="AA5" i="1"/>
  <c r="Q5" i="1"/>
  <c r="AD5" i="1" s="1"/>
  <c r="AG4" i="1"/>
  <c r="AF4" i="1"/>
  <c r="AE4" i="1"/>
  <c r="AD4" i="1"/>
  <c r="AC4" i="1"/>
  <c r="AB4" i="1"/>
  <c r="AA4" i="1"/>
  <c r="AG3" i="1"/>
  <c r="AF3" i="1"/>
  <c r="AE3" i="1"/>
  <c r="AD3" i="1"/>
  <c r="AC3" i="1"/>
  <c r="AB3" i="1"/>
  <c r="AA3" i="1"/>
  <c r="AG2" i="1"/>
  <c r="AF2" i="1"/>
  <c r="AE2" i="1"/>
  <c r="AD2" i="1"/>
  <c r="AC2" i="1"/>
  <c r="AB2" i="1"/>
  <c r="AA2" i="1"/>
  <c r="AF194" i="1" l="1"/>
  <c r="U196" i="1"/>
  <c r="AC196" i="1" s="1"/>
  <c r="AC195" i="1"/>
  <c r="AD194" i="1"/>
  <c r="V195" i="1"/>
  <c r="AC194" i="1"/>
  <c r="W195" i="1"/>
  <c r="W196" i="1" s="1"/>
  <c r="X195" i="1"/>
  <c r="X196" i="1" s="1"/>
  <c r="AG194" i="1"/>
  <c r="Y195" i="1"/>
  <c r="Y196" i="1" s="1"/>
  <c r="R195" i="1"/>
  <c r="AB195" i="1" s="1"/>
  <c r="Z195" i="1"/>
  <c r="Z196" i="1" s="1"/>
  <c r="S195" i="1"/>
  <c r="AD195" i="1" s="1"/>
  <c r="T195" i="1"/>
  <c r="AE195" i="1" s="1"/>
  <c r="AG196" i="1" l="1"/>
  <c r="AG195" i="1"/>
  <c r="AF195" i="1"/>
  <c r="T196" i="1"/>
  <c r="AE196" i="1" s="1"/>
  <c r="S196" i="1"/>
  <c r="AD196" i="1" s="1"/>
  <c r="R196" i="1"/>
  <c r="AB196" i="1" s="1"/>
  <c r="V196" i="1"/>
  <c r="AF196" i="1" s="1"/>
</calcChain>
</file>

<file path=xl/sharedStrings.xml><?xml version="1.0" encoding="utf-8"?>
<sst xmlns="http://schemas.openxmlformats.org/spreadsheetml/2006/main" count="2604" uniqueCount="110">
  <si>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</si>
  <si>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</si>
  <si>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</si>
  <si>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</si>
  <si>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</si>
  <si>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</si>
  <si>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</si>
  <si>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</si>
  <si>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</si>
  <si>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</si>
  <si>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</si>
  <si>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</si>
  <si>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</si>
  <si>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</si>
  <si>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</si>
  <si>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</si>
  <si>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Housing</t>
  </si>
  <si>
    <t>Fuel and light</t>
  </si>
  <si>
    <t>Household goods and services</t>
  </si>
  <si>
    <t>Health</t>
  </si>
  <si>
    <t>Transport and communication</t>
  </si>
  <si>
    <t>Recreation and amusement</t>
  </si>
  <si>
    <t>Education</t>
  </si>
  <si>
    <t>Personal care and effects</t>
  </si>
  <si>
    <t>Miscellaneous</t>
  </si>
  <si>
    <t>General index</t>
  </si>
  <si>
    <t>Food</t>
  </si>
  <si>
    <t>Energy/Fuel</t>
  </si>
  <si>
    <t>Transportation</t>
  </si>
  <si>
    <t xml:space="preserve">Housing </t>
  </si>
  <si>
    <t>Healthcare</t>
  </si>
  <si>
    <t xml:space="preserve">Education &amp; Recreation </t>
  </si>
  <si>
    <t>Others</t>
  </si>
  <si>
    <t>Rural</t>
  </si>
  <si>
    <t>September</t>
  </si>
  <si>
    <t>Rural+Urban</t>
  </si>
  <si>
    <t>Urban</t>
  </si>
  <si>
    <t>August</t>
  </si>
  <si>
    <t>December</t>
  </si>
  <si>
    <t>February</t>
  </si>
  <si>
    <t>October</t>
  </si>
  <si>
    <t>January</t>
  </si>
  <si>
    <t>July</t>
  </si>
  <si>
    <t>June</t>
  </si>
  <si>
    <t xml:space="preserve">November </t>
  </si>
  <si>
    <t>November</t>
  </si>
  <si>
    <t>March</t>
  </si>
  <si>
    <t>May</t>
  </si>
  <si>
    <t>April</t>
  </si>
  <si>
    <t>Marcrh</t>
  </si>
  <si>
    <t>Sum of Food</t>
  </si>
  <si>
    <t>Row Labels</t>
  </si>
  <si>
    <t>Grand Total</t>
  </si>
  <si>
    <t>Sum of Energy/Fuel</t>
  </si>
  <si>
    <t>Sum of Transportation2</t>
  </si>
  <si>
    <t>Total SUM OF all Categories</t>
  </si>
  <si>
    <t>Details for Sum of Transportation2 - Month: December</t>
  </si>
  <si>
    <t>Food = (4290.39)</t>
  </si>
  <si>
    <t>Energy/Fuel = (4146.60)</t>
  </si>
  <si>
    <t>Transportation = (3840.80)</t>
  </si>
  <si>
    <t xml:space="preserve">Calculate Each Price Index Category Percentage Value </t>
  </si>
  <si>
    <t>List of Categories</t>
  </si>
  <si>
    <t>(CHECK THE HIGHEST CPI INFLATION RATE OF THE WHICH CATEGORY)</t>
  </si>
  <si>
    <t xml:space="preserve">The Price Rise of the food category is the highest among all other three categories which is  34.94 %, </t>
  </si>
  <si>
    <t xml:space="preserve">Last Month we have Taken as December </t>
  </si>
  <si>
    <t>Food  (Highest Inflation Contributor)</t>
  </si>
  <si>
    <t>Year on- Year Inflation</t>
  </si>
  <si>
    <t>YEAR _ YEAR INFLATION_RATE</t>
  </si>
  <si>
    <t>YEAR</t>
  </si>
  <si>
    <t>HIGHEST INFLATION RATE WHICH IS = 60.7</t>
  </si>
  <si>
    <t xml:space="preserve">was having the </t>
  </si>
  <si>
    <t>l</t>
  </si>
  <si>
    <t>Q2: Problem Statement 2.</t>
  </si>
  <si>
    <r>
      <t>(</t>
    </r>
    <r>
      <rPr>
        <sz val="11"/>
        <color theme="6" tint="0.79998168889431442"/>
        <rFont val="Calibri"/>
        <family val="2"/>
        <scheme val="minor"/>
      </rPr>
      <t>Highest Inflation Rate</t>
    </r>
    <r>
      <rPr>
        <sz val="11"/>
        <color theme="1"/>
        <rFont val="Calibri"/>
        <family val="2"/>
        <scheme val="minor"/>
      </rPr>
      <t>)</t>
    </r>
  </si>
  <si>
    <t>+</t>
  </si>
  <si>
    <t>INFLATION RISE PER MONTH</t>
  </si>
  <si>
    <t>RURLAL INFLATION RISE OF THE YEAR 2022-2023</t>
  </si>
  <si>
    <t>(i)</t>
  </si>
  <si>
    <t>URBAN INFLATION RISE OF THE YEAR 2022-2023</t>
  </si>
  <si>
    <r>
      <t>(</t>
    </r>
    <r>
      <rPr>
        <b/>
        <sz val="11"/>
        <color theme="1"/>
        <rFont val="Calibri"/>
        <family val="2"/>
        <scheme val="minor"/>
      </rPr>
      <t>II</t>
    </r>
    <r>
      <rPr>
        <sz val="11"/>
        <color theme="1"/>
        <rFont val="Calibri"/>
        <family val="2"/>
        <scheme val="minor"/>
      </rPr>
      <t>)</t>
    </r>
  </si>
  <si>
    <t>(III)</t>
  </si>
  <si>
    <t xml:space="preserve">INFLATION RISE PER MONTH WISE </t>
  </si>
  <si>
    <t>Average of Food</t>
  </si>
  <si>
    <t>Average of Healthcare</t>
  </si>
  <si>
    <t xml:space="preserve">Average of Housing </t>
  </si>
  <si>
    <t>COVID-ERA</t>
  </si>
  <si>
    <t>POST-COVID ERA</t>
  </si>
  <si>
    <t>INFLATION OF FOOD</t>
  </si>
  <si>
    <t>INFLATION OF HEALTHCARE</t>
  </si>
  <si>
    <t>INFLATION OF  HOUSING</t>
  </si>
  <si>
    <t>INFLATION ERA</t>
  </si>
  <si>
    <t>PRE-COVID ERA</t>
  </si>
  <si>
    <t>QNO.4 PROBLEM STATEMENT 4</t>
  </si>
  <si>
    <t>INFLATION RATE OF FOOD, HEALTHCARE AND HOUSING FOR THE PRE-COVID, ON-COVID-AND POST-COVID ERA.</t>
  </si>
  <si>
    <t>PROBLEM STATEMENT 4 ----------&gt;</t>
  </si>
  <si>
    <t xml:space="preserve">Crude Oil Data </t>
  </si>
  <si>
    <t xml:space="preserve">Month -Year </t>
  </si>
  <si>
    <t xml:space="preserve">Imported Crude Oil </t>
  </si>
  <si>
    <t xml:space="preserve">Month-on-Month change </t>
  </si>
  <si>
    <t>INFLATION OF TRANSPORT</t>
  </si>
  <si>
    <t>INFLATION OF HOUSING</t>
  </si>
  <si>
    <t>INFLATION OF EDU &amp; RECREATION</t>
  </si>
  <si>
    <t>OTHERS</t>
  </si>
  <si>
    <t>INFLATION OF ENERGY</t>
  </si>
  <si>
    <t>CO-REALTION BETWEEN CRUDEPRICE  INFLATION  AND CPI CATEGORIES</t>
  </si>
  <si>
    <t>EnergyOthers/Fuel</t>
  </si>
  <si>
    <r>
      <rPr>
        <b/>
        <sz val="11"/>
        <color theme="1"/>
        <rFont val="Calibri"/>
        <family val="2"/>
        <scheme val="minor"/>
      </rPr>
      <t>Housing</t>
    </r>
    <r>
      <rPr>
        <sz val="11"/>
        <color theme="1"/>
        <rFont val="Calibri"/>
        <family val="2"/>
        <scheme val="minor"/>
      </rPr>
      <t xml:space="preserve"> </t>
    </r>
  </si>
  <si>
    <t>Highest inflation occurred in housing due to the rising prices of Crude-Oil</t>
  </si>
  <si>
    <t>Qno.5. Problem Solving 5</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</si>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</sst>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4"/>
      <name val="Calibri"/>
      <family val="2"/>
      <scheme val="minor"/>
    </font>
    <font>
      <sz val="11"/>
      <color theme="8" tint="0.79998168889431442"/>
      <name val="Calibri"/>
      <family val="2"/>
      <scheme val="minor"/>
    </font>
    <font>
      <sz val="11"/>
      <color theme="6" tint="0.59999389629810485"/>
      <name val="Calibri"/>
      <family val="2"/>
      <scheme val="minor"/>
    </font>
    <font>
      <sz val="11"/>
      <color theme="6" tint="0.79998168889431442"/>
      <name val="Calibri"/>
      <family val="2"/>
      <scheme val="minor"/>
    </font>
    <font>
      <b/>
      <sz val="14"/>
      <color theme="1"/>
      <name val="Calibri"/>
      <family val="2"/>
      <scheme val="minor"/>
    </font>
    <font>
      <b/>
      <sz val="16"/>
      <color theme="1"/>
      <name val="Calibri"/>
      <family val="2"/>
      <scheme val="minor"/>
    </font>
  </fonts>
  <fills count="25">
    <fill>
      <patternFill patternType="none"/>
    </fill>
    <fill>
      <patternFill patternType="gray125"/>
    </fill>
    <fill>
      <patternFill patternType="solid">
        <fgColor theme="9"/>
        <bgColor indexed="64"/>
      </patternFill>
    </fill>
    <fill>
      <patternFill patternType="solid">
        <fgColor theme="2"/>
        <bgColor indexed="64"/>
      </patternFill>
    </fill>
    <fill>
      <patternFill patternType="solid">
        <fgColor theme="3" tint="0.79998168889431442"/>
        <bgColor indexed="64"/>
      </patternFill>
    </fill>
    <fill>
      <patternFill patternType="solid">
        <fgColor theme="0" tint="-4.9989318521683403E-2"/>
        <bgColor theme="4"/>
      </patternFill>
    </fill>
    <fill>
      <patternFill patternType="solid">
        <fgColor theme="0" tint="-4.9989318521683403E-2"/>
        <bgColor theme="4" tint="0.79998168889431442"/>
      </patternFill>
    </fill>
    <fill>
      <patternFill patternType="solid">
        <fgColor theme="0" tint="-4.9989318521683403E-2"/>
        <bgColor indexed="64"/>
      </patternFill>
    </fill>
    <fill>
      <patternFill patternType="solid">
        <fgColor theme="3"/>
        <bgColor indexed="64"/>
      </patternFill>
    </fill>
    <fill>
      <patternFill patternType="solid">
        <fgColor theme="7"/>
        <bgColor indexed="64"/>
      </patternFill>
    </fill>
    <fill>
      <patternFill patternType="solid">
        <fgColor theme="5"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4" tint="0.59999389629810485"/>
        <bgColor theme="4"/>
      </patternFill>
    </fill>
    <fill>
      <patternFill patternType="solid">
        <fgColor theme="4" tint="0.59999389629810485"/>
        <bgColor indexed="64"/>
      </patternFill>
    </fill>
    <fill>
      <patternFill patternType="solid">
        <fgColor theme="6"/>
        <bgColor theme="4"/>
      </patternFill>
    </fill>
    <fill>
      <patternFill patternType="solid">
        <fgColor theme="6"/>
        <bgColor indexed="64"/>
      </patternFill>
    </fill>
    <fill>
      <patternFill patternType="solid">
        <fgColor theme="6"/>
        <bgColor theme="4" tint="0.79998168889431442"/>
      </patternFill>
    </fill>
    <fill>
      <patternFill patternType="solid">
        <fgColor theme="3" tint="0.59999389629810485"/>
        <bgColor theme="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5" tint="0.79998168889431442"/>
        <bgColor indexed="64"/>
      </patternFill>
    </fill>
  </fills>
  <borders count="15">
    <border>
      <left/>
      <right/>
      <top/>
      <bottom/>
      <diagonal/>
    </border>
    <border>
      <left/>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4" tint="0.39997558519241921"/>
      </left>
      <right/>
      <top style="thin">
        <color theme="4" tint="0.39997558519241921"/>
      </top>
      <bottom style="thin">
        <color theme="4" tint="0.39997558519241921"/>
      </bottom>
      <diagonal/>
    </border>
    <border>
      <left/>
      <right/>
      <top/>
      <bottom style="thin">
        <color indexed="64"/>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74">
    <xf numFmtId="0" fontId="0" fillId="0" borderId="0" xfId="0"/>
    <xf numFmtId="2" fontId="0" fillId="0" borderId="0" xfId="0" applyNumberFormat="1"/>
    <xf numFmtId="0" fontId="3" fillId="2" borderId="0" xfId="0" applyFont="1"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2" fontId="0" fillId="0" borderId="0" xfId="0" applyNumberFormat="1" applyAlignment="1">
      <alignment horizontal="left"/>
    </xf>
    <xf numFmtId="2" fontId="0" fillId="0" borderId="0" xfId="0" applyNumberFormat="1" applyAlignment="1">
      <alignment horizontal="left" indent="1"/>
    </xf>
    <xf numFmtId="2" fontId="0" fillId="0" borderId="0" xfId="0" applyNumberFormat="1" applyAlignment="1">
      <alignment horizontal="left" indent="2"/>
    </xf>
    <xf numFmtId="0" fontId="3" fillId="0" borderId="0" xfId="0" applyFont="1"/>
    <xf numFmtId="0" fontId="0" fillId="3" borderId="0" xfId="0" applyFill="1"/>
    <xf numFmtId="0" fontId="4" fillId="4" borderId="0" xfId="0" applyFont="1" applyFill="1"/>
    <xf numFmtId="0" fontId="0" fillId="4" borderId="0" xfId="0" applyFill="1"/>
    <xf numFmtId="0" fontId="3" fillId="4" borderId="0" xfId="0" applyFont="1" applyFill="1"/>
    <xf numFmtId="0" fontId="2" fillId="5" borderId="1" xfId="0" applyFont="1" applyFill="1" applyBorder="1"/>
    <xf numFmtId="0" fontId="0" fillId="6" borderId="1" xfId="0" applyFill="1" applyBorder="1"/>
    <xf numFmtId="0" fontId="0" fillId="7" borderId="1" xfId="0" applyFill="1" applyBorder="1"/>
    <xf numFmtId="0" fontId="5" fillId="8" borderId="0" xfId="0" applyFont="1" applyFill="1"/>
    <xf numFmtId="0" fontId="6" fillId="0" borderId="0" xfId="0" applyFont="1"/>
    <xf numFmtId="0" fontId="0" fillId="9" borderId="0" xfId="0" applyFill="1"/>
    <xf numFmtId="0" fontId="5" fillId="10" borderId="0" xfId="0" applyFont="1" applyFill="1"/>
    <xf numFmtId="0" fontId="0" fillId="10" borderId="0" xfId="0" applyFill="1"/>
    <xf numFmtId="0" fontId="0" fillId="10" borderId="1" xfId="0" applyFill="1" applyBorder="1"/>
    <xf numFmtId="0" fontId="0" fillId="0" borderId="11" xfId="0" applyBorder="1"/>
    <xf numFmtId="0" fontId="0" fillId="0" borderId="1" xfId="0" applyBorder="1"/>
    <xf numFmtId="0" fontId="2" fillId="11" borderId="11" xfId="0" applyFont="1" applyFill="1" applyBorder="1"/>
    <xf numFmtId="0" fontId="2" fillId="11" borderId="1" xfId="0" applyFont="1" applyFill="1" applyBorder="1"/>
    <xf numFmtId="0" fontId="0" fillId="12" borderId="11" xfId="0" applyFill="1" applyBorder="1"/>
    <xf numFmtId="0" fontId="0" fillId="12" borderId="1" xfId="0" applyFill="1" applyBorder="1"/>
    <xf numFmtId="0" fontId="0" fillId="13" borderId="0" xfId="0" applyFill="1"/>
    <xf numFmtId="2" fontId="0" fillId="12" borderId="1" xfId="0" applyNumberFormat="1" applyFill="1" applyBorder="1"/>
    <xf numFmtId="2" fontId="0" fillId="0" borderId="1" xfId="0" applyNumberFormat="1" applyBorder="1"/>
    <xf numFmtId="0" fontId="2" fillId="2" borderId="1" xfId="0" applyFont="1" applyFill="1" applyBorder="1"/>
    <xf numFmtId="0" fontId="2" fillId="14" borderId="0" xfId="0" applyFont="1" applyFill="1"/>
    <xf numFmtId="2" fontId="0" fillId="15" borderId="0" xfId="1" applyNumberFormat="1" applyFont="1" applyFill="1"/>
    <xf numFmtId="0" fontId="2" fillId="16" borderId="0" xfId="0" applyFont="1" applyFill="1"/>
    <xf numFmtId="0" fontId="0" fillId="17" borderId="0" xfId="0" applyFill="1"/>
    <xf numFmtId="2" fontId="0" fillId="18" borderId="1" xfId="0" applyNumberFormat="1" applyFill="1" applyBorder="1"/>
    <xf numFmtId="2" fontId="0" fillId="17" borderId="1" xfId="0" applyNumberFormat="1" applyFill="1" applyBorder="1"/>
    <xf numFmtId="0" fontId="2" fillId="19" borderId="0" xfId="0" applyFont="1" applyFill="1"/>
    <xf numFmtId="0" fontId="0" fillId="20" borderId="0" xfId="0" applyFill="1"/>
    <xf numFmtId="0" fontId="0" fillId="0" borderId="0" xfId="0" applyAlignment="1">
      <alignment horizontal="left"/>
    </xf>
    <xf numFmtId="0" fontId="0" fillId="0" borderId="12" xfId="0" applyBorder="1"/>
    <xf numFmtId="0" fontId="0" fillId="21" borderId="0" xfId="0" applyFill="1"/>
    <xf numFmtId="10" fontId="0" fillId="21" borderId="0" xfId="0" applyNumberFormat="1" applyFill="1"/>
    <xf numFmtId="10" fontId="3" fillId="21" borderId="0" xfId="0" applyNumberFormat="1" applyFont="1" applyFill="1"/>
    <xf numFmtId="0" fontId="0" fillId="22" borderId="0" xfId="0" applyFill="1"/>
    <xf numFmtId="0" fontId="3" fillId="23" borderId="0" xfId="0" applyFont="1" applyFill="1"/>
    <xf numFmtId="0" fontId="3" fillId="17" borderId="0" xfId="0" applyFont="1" applyFill="1"/>
    <xf numFmtId="0" fontId="8" fillId="0" borderId="0" xfId="0" applyFont="1"/>
    <xf numFmtId="0" fontId="3" fillId="0" borderId="14" xfId="0" applyFont="1" applyBorder="1"/>
    <xf numFmtId="17" fontId="0" fillId="0" borderId="14" xfId="0" applyNumberFormat="1" applyBorder="1"/>
    <xf numFmtId="0" fontId="0" fillId="0" borderId="14" xfId="0" applyBorder="1"/>
    <xf numFmtId="0" fontId="2" fillId="13" borderId="1" xfId="0" applyFont="1" applyFill="1" applyBorder="1"/>
    <xf numFmtId="0" fontId="2" fillId="13" borderId="13" xfId="0" applyFont="1" applyFill="1" applyBorder="1"/>
    <xf numFmtId="2" fontId="0" fillId="12" borderId="13" xfId="0" applyNumberFormat="1" applyFill="1" applyBorder="1"/>
    <xf numFmtId="2" fontId="0" fillId="0" borderId="13" xfId="0" applyNumberFormat="1" applyBorder="1"/>
    <xf numFmtId="0" fontId="0" fillId="15" borderId="0" xfId="0" applyFill="1"/>
    <xf numFmtId="0" fontId="2" fillId="8" borderId="0" xfId="0" applyFont="1" applyFill="1"/>
    <xf numFmtId="10" fontId="3" fillId="0" borderId="0" xfId="0" applyNumberFormat="1" applyFont="1"/>
    <xf numFmtId="0" fontId="9" fillId="0" borderId="0" xfId="0" applyFont="1"/>
    <xf numFmtId="0" fontId="0" fillId="24" borderId="0" xfId="0" applyFill="1"/>
    <xf numFmtId="10" fontId="3" fillId="24" borderId="0" xfId="0" applyNumberFormat="1" applyFont="1" applyFill="1"/>
    <xf numFmtId="0" fontId="3" fillId="24" borderId="0" xfId="0" applyFont="1" applyFill="1"/>
    <xf numFmtId="2" fontId="3" fillId="4" borderId="0" xfId="1" applyNumberFormat="1" applyFont="1" applyFill="1"/>
    <xf numFmtId="2" fontId="3" fillId="4" borderId="0" xfId="0" applyNumberFormat="1" applyFont="1" applyFill="1"/>
    <xf numFmtId="0" fontId="3" fillId="0" borderId="0" xfId="0" applyFont="1" applyAlignment="1">
      <alignment horizontal="center"/>
    </xf>
  </cellXfs>
  <cellStyles count="2">
    <cellStyle name="Normal" xfId="0" builtinId="0"/>
    <cellStyle name="Percent" xfId="1" builtinId="5"/>
  </cellStyles>
  <dxfs count="2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bg2">
                    <a:lumMod val="90000"/>
                  </a:schemeClr>
                </a:solidFill>
                <a:effectLst>
                  <a:outerShdw blurRad="50800" dist="50800" dir="5400000" algn="ctr" rotWithShape="0">
                    <a:schemeClr val="accent2">
                      <a:lumMod val="75000"/>
                    </a:schemeClr>
                  </a:outerShdw>
                </a:effectLst>
                <a:latin typeface="+mn-lt"/>
                <a:ea typeface="+mn-ea"/>
                <a:cs typeface="+mn-cs"/>
              </a:defRPr>
            </a:pPr>
            <a:r>
              <a:rPr lang="en-US"/>
              <a:t>Y_Y INFLATION GROWTH RATE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lumMod val="90000"/>
                </a:schemeClr>
              </a:solidFill>
              <a:effectLst>
                <a:outerShdw blurRad="50800" dist="50800" dir="5400000" algn="ctr" rotWithShape="0">
                  <a:schemeClr val="accent2">
                    <a:lumMod val="75000"/>
                  </a:schemeClr>
                </a:outerShdw>
              </a:effectLst>
              <a:latin typeface="+mn-lt"/>
              <a:ea typeface="+mn-ea"/>
              <a:cs typeface="+mn-cs"/>
            </a:defRPr>
          </a:pPr>
          <a:endParaRPr lang="en-US"/>
        </a:p>
      </c:txPr>
    </c:title>
    <c:autoTitleDeleted val="0"/>
    <c:plotArea>
      <c:layout>
        <c:manualLayout>
          <c:layoutTarget val="inner"/>
          <c:xMode val="edge"/>
          <c:yMode val="edge"/>
          <c:x val="7.301159230096238E-2"/>
          <c:y val="0.13425925925925927"/>
          <c:w val="0.88254396325459317"/>
          <c:h val="0.80092592592592593"/>
        </c:manualLayout>
      </c:layout>
      <c:lineChart>
        <c:grouping val="standard"/>
        <c:varyColors val="0"/>
        <c:ser>
          <c:idx val="0"/>
          <c:order val="0"/>
          <c:tx>
            <c:strRef>
              <c:f>'Dataset(Highest Inflation rate '!$AH$1:$AH$2</c:f>
              <c:strCache>
                <c:ptCount val="2"/>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trendline>
            <c:spPr>
              <a:ln w="19050" cap="rnd">
                <a:solidFill>
                  <a:schemeClr val="accent2"/>
                </a:solidFill>
              </a:ln>
              <a:effectLst/>
            </c:spPr>
            <c:trendlineType val="linear"/>
            <c:dispRSqr val="0"/>
            <c:dispEq val="0"/>
          </c:trendline>
          <c:cat>
            <c:strRef>
              <c:f>'Dataset(Highest Inflation rate '!$B$3:$B$33</c:f>
              <c:strCache>
                <c:ptCount val="11"/>
                <c:pt idx="0">
                  <c:v>Year</c:v>
                </c:pt>
                <c:pt idx="1">
                  <c:v>2013</c:v>
                </c:pt>
                <c:pt idx="2">
                  <c:v>2014</c:v>
                </c:pt>
                <c:pt idx="3">
                  <c:v>2015</c:v>
                </c:pt>
                <c:pt idx="4">
                  <c:v>2016</c:v>
                </c:pt>
                <c:pt idx="5">
                  <c:v>2017</c:v>
                </c:pt>
                <c:pt idx="6">
                  <c:v>2020</c:v>
                </c:pt>
                <c:pt idx="7">
                  <c:v>2018</c:v>
                </c:pt>
                <c:pt idx="8">
                  <c:v>2019</c:v>
                </c:pt>
                <c:pt idx="9">
                  <c:v>2021</c:v>
                </c:pt>
                <c:pt idx="10">
                  <c:v>2022</c:v>
                </c:pt>
              </c:strCache>
            </c:strRef>
          </c:cat>
          <c:val>
            <c:numRef>
              <c:f>'Dataset(Highest Inflation rate '!$AH$3:$AH$33</c:f>
              <c:numCache>
                <c:formatCode>General</c:formatCode>
                <c:ptCount val="11"/>
                <c:pt idx="0">
                  <c:v>0</c:v>
                </c:pt>
                <c:pt idx="1">
                  <c:v>60.699999999999989</c:v>
                </c:pt>
                <c:pt idx="2">
                  <c:v>66.199999999999989</c:v>
                </c:pt>
                <c:pt idx="3">
                  <c:v>75.699999999999989</c:v>
                </c:pt>
                <c:pt idx="4">
                  <c:v>-100</c:v>
                </c:pt>
                <c:pt idx="5">
                  <c:v>58.900000000000006</c:v>
                </c:pt>
                <c:pt idx="6">
                  <c:v>65.199999999999989</c:v>
                </c:pt>
                <c:pt idx="7">
                  <c:v>66.199999999999989</c:v>
                </c:pt>
                <c:pt idx="8">
                  <c:v>67</c:v>
                </c:pt>
                <c:pt idx="9">
                  <c:v>77.099999999999994</c:v>
                </c:pt>
              </c:numCache>
            </c:numRef>
          </c:val>
          <c:smooth val="0"/>
          <c:extLst>
            <c:ext xmlns:c16="http://schemas.microsoft.com/office/drawing/2014/chart" uri="{C3380CC4-5D6E-409C-BE32-E72D297353CC}">
              <c16:uniqueId val="{00000000-B6F9-4E68-9A3F-0300CC77CAE7}"/>
            </c:ext>
          </c:extLst>
        </c:ser>
        <c:dLbls>
          <c:showLegendKey val="0"/>
          <c:showVal val="0"/>
          <c:showCatName val="0"/>
          <c:showSerName val="0"/>
          <c:showPercent val="0"/>
          <c:showBubbleSize val="0"/>
        </c:dLbls>
        <c:smooth val="0"/>
        <c:axId val="394653327"/>
        <c:axId val="83590895"/>
      </c:lineChart>
      <c:catAx>
        <c:axId val="3946533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effectLst>
                  <a:outerShdw blurRad="50800" dist="50800" dir="5400000" algn="ctr" rotWithShape="0">
                    <a:schemeClr val="accent2">
                      <a:lumMod val="75000"/>
                    </a:schemeClr>
                  </a:outerShdw>
                </a:effectLst>
                <a:latin typeface="+mn-lt"/>
                <a:ea typeface="+mn-ea"/>
                <a:cs typeface="+mn-cs"/>
              </a:defRPr>
            </a:pPr>
            <a:endParaRPr lang="en-US"/>
          </a:p>
        </c:txPr>
        <c:crossAx val="83590895"/>
        <c:crosses val="autoZero"/>
        <c:auto val="1"/>
        <c:lblAlgn val="ctr"/>
        <c:lblOffset val="100"/>
        <c:noMultiLvlLbl val="0"/>
      </c:catAx>
      <c:valAx>
        <c:axId val="83590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effectLst>
                  <a:outerShdw blurRad="50800" dist="50800" dir="5400000" algn="ctr" rotWithShape="0">
                    <a:schemeClr val="accent2">
                      <a:lumMod val="75000"/>
                    </a:schemeClr>
                  </a:outerShdw>
                </a:effectLst>
                <a:latin typeface="+mn-lt"/>
                <a:ea typeface="+mn-ea"/>
                <a:cs typeface="+mn-cs"/>
              </a:defRPr>
            </a:pPr>
            <a:endParaRPr lang="en-US"/>
          </a:p>
        </c:txPr>
        <c:crossAx val="39465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accent6"/>
      </a:glow>
      <a:outerShdw blurRad="50800" dist="50800" dir="5400000" algn="ctr" rotWithShape="0">
        <a:schemeClr val="accent2">
          <a:lumMod val="40000"/>
          <a:lumOff val="60000"/>
        </a:schemeClr>
      </a:outerShdw>
    </a:effectLst>
  </c:spPr>
  <c:txPr>
    <a:bodyPr/>
    <a:lstStyle/>
    <a:p>
      <a:pPr>
        <a:defRPr>
          <a:solidFill>
            <a:schemeClr val="bg2">
              <a:lumMod val="90000"/>
            </a:schemeClr>
          </a:solidFill>
          <a:effectLst>
            <a:outerShdw blurRad="50800" dist="50800" dir="5400000" algn="ctr" rotWithShape="0">
              <a:schemeClr val="accent2">
                <a:lumMod val="75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136482939632549E-2"/>
          <c:y val="0.17171296296296298"/>
          <c:w val="0.90286351706036749"/>
          <c:h val="0.72088764946048411"/>
        </c:manualLayout>
      </c:layout>
      <c:lineChart>
        <c:grouping val="standard"/>
        <c:varyColors val="0"/>
        <c:ser>
          <c:idx val="1"/>
          <c:order val="1"/>
          <c:tx>
            <c:strRef>
              <c:f>'Dataset(Highest Inflation rate '!$D$38</c:f>
              <c:strCache>
                <c:ptCount val="1"/>
                <c:pt idx="0">
                  <c:v>YEAR _ YEAR INFLATION_RATE</c:v>
                </c:pt>
              </c:strCache>
            </c:strRef>
          </c:tx>
          <c:spPr>
            <a:ln w="31750" cap="rnd">
              <a:solidFill>
                <a:schemeClr val="accent2"/>
              </a:solidFill>
              <a:round/>
            </a:ln>
            <a:effectLst/>
          </c:spPr>
          <c:marker>
            <c:symbol val="circle"/>
            <c:size val="17"/>
            <c:spPr>
              <a:solidFill>
                <a:schemeClr val="accent2"/>
              </a:solidFill>
              <a:ln>
                <a:noFill/>
              </a:ln>
              <a:effectLst/>
            </c:spPr>
          </c:marker>
          <c:dLbls>
            <c:dLbl>
              <c:idx val="3"/>
              <c:spPr>
                <a:noFill/>
                <a:ln>
                  <a:noFill/>
                </a:ln>
                <a:effectLst>
                  <a:glow rad="127000">
                    <a:schemeClr val="bg2">
                      <a:lumMod val="10000"/>
                    </a:schemeClr>
                  </a:glow>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4-C0A7-45AF-B7F8-67AAF16AF087}"/>
                </c:ext>
              </c:extLst>
            </c:dLbl>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2"/>
                </a:solidFill>
              </a:ln>
              <a:effectLst/>
            </c:spPr>
            <c:trendlineType val="linear"/>
            <c:dispRSqr val="0"/>
            <c:dispEq val="0"/>
          </c:trendline>
          <c:cat>
            <c:numRef>
              <c:f>'Dataset(Highest Inflation rate '!$B$39:$B$44</c:f>
              <c:numCache>
                <c:formatCode>General</c:formatCode>
                <c:ptCount val="6"/>
                <c:pt idx="0">
                  <c:v>2017</c:v>
                </c:pt>
                <c:pt idx="1">
                  <c:v>2018</c:v>
                </c:pt>
                <c:pt idx="2">
                  <c:v>2019</c:v>
                </c:pt>
                <c:pt idx="3">
                  <c:v>2020</c:v>
                </c:pt>
                <c:pt idx="4">
                  <c:v>2021</c:v>
                </c:pt>
                <c:pt idx="5">
                  <c:v>2022</c:v>
                </c:pt>
              </c:numCache>
            </c:numRef>
          </c:cat>
          <c:val>
            <c:numRef>
              <c:f>'Dataset(Highest Inflation rate '!$D$39:$D$44</c:f>
              <c:numCache>
                <c:formatCode>General</c:formatCode>
                <c:ptCount val="6"/>
                <c:pt idx="0">
                  <c:v>40.099999999999994</c:v>
                </c:pt>
                <c:pt idx="1">
                  <c:v>50.400000000000006</c:v>
                </c:pt>
                <c:pt idx="2">
                  <c:v>58.900000000000006</c:v>
                </c:pt>
                <c:pt idx="3">
                  <c:v>60.699999999999989</c:v>
                </c:pt>
                <c:pt idx="4">
                  <c:v>41.900000000000006</c:v>
                </c:pt>
                <c:pt idx="5">
                  <c:v>52.300000000000011</c:v>
                </c:pt>
              </c:numCache>
            </c:numRef>
          </c:val>
          <c:smooth val="0"/>
          <c:extLst>
            <c:ext xmlns:c16="http://schemas.microsoft.com/office/drawing/2014/chart" uri="{C3380CC4-5D6E-409C-BE32-E72D297353CC}">
              <c16:uniqueId val="{00000001-C0A7-45AF-B7F8-67AAF16AF087}"/>
            </c:ext>
          </c:extLst>
        </c:ser>
        <c:dLbls>
          <c:dLblPos val="ctr"/>
          <c:showLegendKey val="0"/>
          <c:showVal val="1"/>
          <c:showCatName val="0"/>
          <c:showSerName val="0"/>
          <c:showPercent val="0"/>
          <c:showBubbleSize val="0"/>
        </c:dLbls>
        <c:marker val="1"/>
        <c:smooth val="0"/>
        <c:axId val="394629663"/>
        <c:axId val="83562095"/>
        <c:extLst>
          <c:ext xmlns:c15="http://schemas.microsoft.com/office/drawing/2012/chart" uri="{02D57815-91ED-43cb-92C2-25804820EDAC}">
            <c15:filteredLineSeries>
              <c15:ser>
                <c:idx val="0"/>
                <c:order val="0"/>
                <c:tx>
                  <c:strRef>
                    <c:extLst>
                      <c:ext uri="{02D57815-91ED-43cb-92C2-25804820EDAC}">
                        <c15:formulaRef>
                          <c15:sqref>'Dataset(Highest Inflation rate '!$C$38</c15:sqref>
                        </c15:formulaRef>
                      </c:ext>
                    </c:extLst>
                    <c:strCache>
                      <c:ptCount val="1"/>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numRef>
                    <c:extLst>
                      <c:ext uri="{02D57815-91ED-43cb-92C2-25804820EDAC}">
                        <c15:formulaRef>
                          <c15:sqref>'Dataset(Highest Inflation rate '!$B$39:$B$44</c15:sqref>
                        </c15:formulaRef>
                      </c:ext>
                    </c:extLst>
                    <c:numCache>
                      <c:formatCode>General</c:formatCode>
                      <c:ptCount val="6"/>
                      <c:pt idx="0">
                        <c:v>2017</c:v>
                      </c:pt>
                      <c:pt idx="1">
                        <c:v>2018</c:v>
                      </c:pt>
                      <c:pt idx="2">
                        <c:v>2019</c:v>
                      </c:pt>
                      <c:pt idx="3">
                        <c:v>2020</c:v>
                      </c:pt>
                      <c:pt idx="4">
                        <c:v>2021</c:v>
                      </c:pt>
                      <c:pt idx="5">
                        <c:v>2022</c:v>
                      </c:pt>
                    </c:numCache>
                  </c:numRef>
                </c:cat>
                <c:val>
                  <c:numRef>
                    <c:extLst>
                      <c:ext uri="{02D57815-91ED-43cb-92C2-25804820EDAC}">
                        <c15:formulaRef>
                          <c15:sqref>'Dataset(Highest Inflation rate '!$C$39:$C$44</c15:sqref>
                        </c15:formulaRef>
                      </c:ext>
                    </c:extLst>
                    <c:numCache>
                      <c:formatCode>General</c:formatCode>
                      <c:ptCount val="6"/>
                      <c:pt idx="3">
                        <c:v>0</c:v>
                      </c:pt>
                    </c:numCache>
                  </c:numRef>
                </c:val>
                <c:smooth val="0"/>
                <c:extLst>
                  <c:ext xmlns:c16="http://schemas.microsoft.com/office/drawing/2014/chart" uri="{C3380CC4-5D6E-409C-BE32-E72D297353CC}">
                    <c16:uniqueId val="{00000000-C0A7-45AF-B7F8-67AAF16AF087}"/>
                  </c:ext>
                </c:extLst>
              </c15:ser>
            </c15:filteredLineSeries>
          </c:ext>
        </c:extLst>
      </c:lineChart>
      <c:catAx>
        <c:axId val="394629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562095"/>
        <c:crosses val="autoZero"/>
        <c:auto val="1"/>
        <c:lblAlgn val="ctr"/>
        <c:lblOffset val="100"/>
        <c:noMultiLvlLbl val="0"/>
      </c:catAx>
      <c:valAx>
        <c:axId val="835620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462966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[Project_CPI_Inflation.xlsx]Highest Category Contributor in!PivotTable4</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20583871"/>
        <c:axId val="2035476079"/>
      </c:barChart>
      <c:catAx>
        <c:axId val="1205838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476079"/>
        <c:crosses val="autoZero"/>
        <c:auto val="1"/>
        <c:lblAlgn val="ctr"/>
        <c:lblOffset val="100"/>
        <c:noMultiLvlLbl val="0"/>
      </c:catAx>
      <c:valAx>
        <c:axId val="203547607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INFLATION RATE OF PER MONTH WISE OF THE YEAR FROM JUNE 2022-2023 MAY OF THE RURAL AREA.</a:t>
            </a:r>
          </a:p>
        </c:rich>
      </c:tx>
      <c:layout>
        <c:manualLayout>
          <c:xMode val="edge"/>
          <c:yMode val="edge"/>
          <c:x val="7.0867891513560807E-2"/>
          <c:y val="0"/>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'PROBLEM_STATEMENT3 SOLUTIONS'!$B$40:$D$40</c:f>
              <c:strCache>
                <c:ptCount val="3"/>
                <c:pt idx="0">
                  <c:v>Rural</c:v>
                </c:pt>
                <c:pt idx="1">
                  <c:v>2022</c:v>
                </c:pt>
                <c:pt idx="2">
                  <c:v>September</c:v>
                </c:pt>
              </c:strCache>
            </c:strRef>
          </c:tx>
          <c:spPr>
            <a:solidFill>
              <a:schemeClr val="accent1"/>
            </a:solidFill>
            <a:ln>
              <a:noFill/>
            </a:ln>
            <a:effectLst/>
          </c:spPr>
          <c:invertIfNegative val="0"/>
          <c:cat>
            <c:strRef>
              <c:f>'PROBLEM_STATEMENT3 SOLUTIONS'!$E$39:$F$39</c:f>
              <c:strCache>
                <c:ptCount val="2"/>
                <c:pt idx="0">
                  <c:v>Food</c:v>
                </c:pt>
                <c:pt idx="1">
                  <c:v>INFLATION RISE PER MONTH</c:v>
                </c:pt>
              </c:strCache>
            </c:strRef>
          </c:cat>
          <c:val>
            <c:numRef>
              <c:f>'PROBLEM_STATEMENT3 SOLUTIONS'!$E$40:$F$40</c:f>
              <c:numCache>
                <c:formatCode>General</c:formatCode>
                <c:ptCount val="2"/>
                <c:pt idx="0" formatCode="0.00">
                  <c:v>174.44615384615386</c:v>
                </c:pt>
              </c:numCache>
            </c:numRef>
          </c:val>
          <c:extLst>
            <c:ext xmlns:c16="http://schemas.microsoft.com/office/drawing/2014/chart" uri="{C3380CC4-5D6E-409C-BE32-E72D297353CC}">
              <c16:uniqueId val="{00000000-EA8E-4688-BFD2-FAF8DB3A5C7F}"/>
            </c:ext>
          </c:extLst>
        </c:ser>
        <c:ser>
          <c:idx val="1"/>
          <c:order val="1"/>
          <c:tx>
            <c:strRef>
              <c:f>'PROBLEM_STATEMENT3 SOLUTIONS'!$B$41:$D$41</c:f>
              <c:strCache>
                <c:ptCount val="3"/>
                <c:pt idx="0">
                  <c:v>Rural</c:v>
                </c:pt>
                <c:pt idx="1">
                  <c:v>2022</c:v>
                </c:pt>
                <c:pt idx="2">
                  <c:v>October</c:v>
                </c:pt>
              </c:strCache>
            </c:strRef>
          </c:tx>
          <c:spPr>
            <a:solidFill>
              <a:schemeClr val="accent2"/>
            </a:solidFill>
            <a:ln>
              <a:noFill/>
            </a:ln>
            <a:effectLst/>
          </c:spPr>
          <c:invertIfNegative val="0"/>
          <c:cat>
            <c:strRef>
              <c:f>'PROBLEM_STATEMENT3 SOLUTIONS'!$E$39:$F$39</c:f>
              <c:strCache>
                <c:ptCount val="2"/>
                <c:pt idx="0">
                  <c:v>Food</c:v>
                </c:pt>
                <c:pt idx="1">
                  <c:v>INFLATION RISE PER MONTH</c:v>
                </c:pt>
              </c:strCache>
            </c:strRef>
          </c:cat>
          <c:val>
            <c:numRef>
              <c:f>'PROBLEM_STATEMENT3 SOLUTIONS'!$E$41:$F$41</c:f>
              <c:numCache>
                <c:formatCode>General</c:formatCode>
                <c:ptCount val="2"/>
                <c:pt idx="0" formatCode="0.00">
                  <c:v>175.73076923076923</c:v>
                </c:pt>
                <c:pt idx="1">
                  <c:v>0.73639650762852682</c:v>
                </c:pt>
              </c:numCache>
            </c:numRef>
          </c:val>
          <c:extLst>
            <c:ext xmlns:c16="http://schemas.microsoft.com/office/drawing/2014/chart" uri="{C3380CC4-5D6E-409C-BE32-E72D297353CC}">
              <c16:uniqueId val="{00000001-EA8E-4688-BFD2-FAF8DB3A5C7F}"/>
            </c:ext>
          </c:extLst>
        </c:ser>
        <c:ser>
          <c:idx val="2"/>
          <c:order val="2"/>
          <c:tx>
            <c:strRef>
              <c:f>'PROBLEM_STATEMENT3 SOLUTIONS'!$B$42:$D$42</c:f>
              <c:strCache>
                <c:ptCount val="3"/>
                <c:pt idx="0">
                  <c:v>Rural</c:v>
                </c:pt>
                <c:pt idx="1">
                  <c:v>2022</c:v>
                </c:pt>
                <c:pt idx="2">
                  <c:v>November</c:v>
                </c:pt>
              </c:strCache>
            </c:strRef>
          </c:tx>
          <c:spPr>
            <a:solidFill>
              <a:schemeClr val="accent3"/>
            </a:solidFill>
            <a:ln>
              <a:noFill/>
            </a:ln>
            <a:effectLst/>
          </c:spPr>
          <c:invertIfNegative val="0"/>
          <c:cat>
            <c:strRef>
              <c:f>'PROBLEM_STATEMENT3 SOLUTIONS'!$E$39:$F$39</c:f>
              <c:strCache>
                <c:ptCount val="2"/>
                <c:pt idx="0">
                  <c:v>Food</c:v>
                </c:pt>
                <c:pt idx="1">
                  <c:v>INFLATION RISE PER MONTH</c:v>
                </c:pt>
              </c:strCache>
            </c:strRef>
          </c:cat>
          <c:val>
            <c:numRef>
              <c:f>'PROBLEM_STATEMENT3 SOLUTIONS'!$E$42:$F$42</c:f>
              <c:numCache>
                <c:formatCode>General</c:formatCode>
                <c:ptCount val="2"/>
                <c:pt idx="0" formatCode="0.00">
                  <c:v>175.97692307692307</c:v>
                </c:pt>
                <c:pt idx="1">
                  <c:v>0.14007441453272002</c:v>
                </c:pt>
              </c:numCache>
            </c:numRef>
          </c:val>
          <c:extLst>
            <c:ext xmlns:c16="http://schemas.microsoft.com/office/drawing/2014/chart" uri="{C3380CC4-5D6E-409C-BE32-E72D297353CC}">
              <c16:uniqueId val="{00000002-EA8E-4688-BFD2-FAF8DB3A5C7F}"/>
            </c:ext>
          </c:extLst>
        </c:ser>
        <c:ser>
          <c:idx val="3"/>
          <c:order val="3"/>
          <c:tx>
            <c:strRef>
              <c:f>'PROBLEM_STATEMENT3 SOLUTIONS'!$B$43:$D$43</c:f>
              <c:strCache>
                <c:ptCount val="3"/>
                <c:pt idx="0">
                  <c:v>Rural</c:v>
                </c:pt>
                <c:pt idx="1">
                  <c:v>2022</c:v>
                </c:pt>
                <c:pt idx="2">
                  <c:v>May</c:v>
                </c:pt>
              </c:strCache>
            </c:strRef>
          </c:tx>
          <c:spPr>
            <a:solidFill>
              <a:schemeClr val="accent4"/>
            </a:solidFill>
            <a:ln>
              <a:noFill/>
            </a:ln>
            <a:effectLst/>
          </c:spPr>
          <c:invertIfNegative val="0"/>
          <c:cat>
            <c:strRef>
              <c:f>'PROBLEM_STATEMENT3 SOLUTIONS'!$E$39:$F$39</c:f>
              <c:strCache>
                <c:ptCount val="2"/>
                <c:pt idx="0">
                  <c:v>Food</c:v>
                </c:pt>
                <c:pt idx="1">
                  <c:v>INFLATION RISE PER MONTH</c:v>
                </c:pt>
              </c:strCache>
            </c:strRef>
          </c:cat>
          <c:val>
            <c:numRef>
              <c:f>'PROBLEM_STATEMENT3 SOLUTIONS'!$E$43:$F$43</c:f>
              <c:numCache>
                <c:formatCode>General</c:formatCode>
                <c:ptCount val="2"/>
                <c:pt idx="0" formatCode="0.00">
                  <c:v>171.2923076923077</c:v>
                </c:pt>
                <c:pt idx="1">
                  <c:v>-2.6620623333478957</c:v>
                </c:pt>
              </c:numCache>
            </c:numRef>
          </c:val>
          <c:extLst>
            <c:ext xmlns:c16="http://schemas.microsoft.com/office/drawing/2014/chart" uri="{C3380CC4-5D6E-409C-BE32-E72D297353CC}">
              <c16:uniqueId val="{00000003-EA8E-4688-BFD2-FAF8DB3A5C7F}"/>
            </c:ext>
          </c:extLst>
        </c:ser>
        <c:ser>
          <c:idx val="4"/>
          <c:order val="4"/>
          <c:tx>
            <c:strRef>
              <c:f>'PROBLEM_STATEMENT3 SOLUTIONS'!$B$44:$D$44</c:f>
              <c:strCache>
                <c:ptCount val="3"/>
                <c:pt idx="0">
                  <c:v>Rural</c:v>
                </c:pt>
                <c:pt idx="1">
                  <c:v>2022</c:v>
                </c:pt>
                <c:pt idx="2">
                  <c:v>June</c:v>
                </c:pt>
              </c:strCache>
            </c:strRef>
          </c:tx>
          <c:spPr>
            <a:solidFill>
              <a:schemeClr val="accent5"/>
            </a:solidFill>
            <a:ln>
              <a:noFill/>
            </a:ln>
            <a:effectLst/>
          </c:spPr>
          <c:invertIfNegative val="0"/>
          <c:cat>
            <c:strRef>
              <c:f>'PROBLEM_STATEMENT3 SOLUTIONS'!$E$39:$F$39</c:f>
              <c:strCache>
                <c:ptCount val="2"/>
                <c:pt idx="0">
                  <c:v>Food</c:v>
                </c:pt>
                <c:pt idx="1">
                  <c:v>INFLATION RISE PER MONTH</c:v>
                </c:pt>
              </c:strCache>
            </c:strRef>
          </c:cat>
          <c:val>
            <c:numRef>
              <c:f>'PROBLEM_STATEMENT3 SOLUTIONS'!$E$44:$F$44</c:f>
              <c:numCache>
                <c:formatCode>General</c:formatCode>
                <c:ptCount val="2"/>
                <c:pt idx="0" formatCode="0.00">
                  <c:v>172.94615384615386</c:v>
                </c:pt>
                <c:pt idx="1">
                  <c:v>0.96551104724268388</c:v>
                </c:pt>
              </c:numCache>
            </c:numRef>
          </c:val>
          <c:extLst>
            <c:ext xmlns:c16="http://schemas.microsoft.com/office/drawing/2014/chart" uri="{C3380CC4-5D6E-409C-BE32-E72D297353CC}">
              <c16:uniqueId val="{00000004-EA8E-4688-BFD2-FAF8DB3A5C7F}"/>
            </c:ext>
          </c:extLst>
        </c:ser>
        <c:ser>
          <c:idx val="5"/>
          <c:order val="5"/>
          <c:tx>
            <c:strRef>
              <c:f>'PROBLEM_STATEMENT3 SOLUTIONS'!$B$45:$D$45</c:f>
              <c:strCache>
                <c:ptCount val="3"/>
                <c:pt idx="0">
                  <c:v>Rural</c:v>
                </c:pt>
                <c:pt idx="1">
                  <c:v>2022</c:v>
                </c:pt>
                <c:pt idx="2">
                  <c:v>July</c:v>
                </c:pt>
              </c:strCache>
            </c:strRef>
          </c:tx>
          <c:spPr>
            <a:solidFill>
              <a:schemeClr val="accent6"/>
            </a:solidFill>
            <a:ln>
              <a:noFill/>
            </a:ln>
            <a:effectLst/>
          </c:spPr>
          <c:invertIfNegative val="0"/>
          <c:cat>
            <c:strRef>
              <c:f>'PROBLEM_STATEMENT3 SOLUTIONS'!$E$39:$F$39</c:f>
              <c:strCache>
                <c:ptCount val="2"/>
                <c:pt idx="0">
                  <c:v>Food</c:v>
                </c:pt>
                <c:pt idx="1">
                  <c:v>INFLATION RISE PER MONTH</c:v>
                </c:pt>
              </c:strCache>
            </c:strRef>
          </c:cat>
          <c:val>
            <c:numRef>
              <c:f>'PROBLEM_STATEMENT3 SOLUTIONS'!$E$45:$F$45</c:f>
              <c:numCache>
                <c:formatCode>General</c:formatCode>
                <c:ptCount val="2"/>
                <c:pt idx="0" formatCode="0.00">
                  <c:v>173.26923076923077</c:v>
                </c:pt>
                <c:pt idx="1">
                  <c:v>0.1868078103455876</c:v>
                </c:pt>
              </c:numCache>
            </c:numRef>
          </c:val>
          <c:extLst>
            <c:ext xmlns:c16="http://schemas.microsoft.com/office/drawing/2014/chart" uri="{C3380CC4-5D6E-409C-BE32-E72D297353CC}">
              <c16:uniqueId val="{00000005-EA8E-4688-BFD2-FAF8DB3A5C7F}"/>
            </c:ext>
          </c:extLst>
        </c:ser>
        <c:ser>
          <c:idx val="6"/>
          <c:order val="6"/>
          <c:tx>
            <c:strRef>
              <c:f>'PROBLEM_STATEMENT3 SOLUTIONS'!$B$46:$D$46</c:f>
              <c:strCache>
                <c:ptCount val="3"/>
                <c:pt idx="0">
                  <c:v>Rural</c:v>
                </c:pt>
                <c:pt idx="1">
                  <c:v>2022</c:v>
                </c:pt>
                <c:pt idx="2">
                  <c:v>December</c:v>
                </c:pt>
              </c:strCache>
            </c:strRef>
          </c:tx>
          <c:spPr>
            <a:solidFill>
              <a:schemeClr val="accent1">
                <a:lumMod val="60000"/>
              </a:schemeClr>
            </a:solidFill>
            <a:ln>
              <a:noFill/>
            </a:ln>
            <a:effectLst/>
          </c:spPr>
          <c:invertIfNegative val="0"/>
          <c:cat>
            <c:strRef>
              <c:f>'PROBLEM_STATEMENT3 SOLUTIONS'!$E$39:$F$39</c:f>
              <c:strCache>
                <c:ptCount val="2"/>
                <c:pt idx="0">
                  <c:v>Food</c:v>
                </c:pt>
                <c:pt idx="1">
                  <c:v>INFLATION RISE PER MONTH</c:v>
                </c:pt>
              </c:strCache>
            </c:strRef>
          </c:cat>
          <c:val>
            <c:numRef>
              <c:f>'PROBLEM_STATEMENT3 SOLUTIONS'!$E$46:$F$46</c:f>
              <c:numCache>
                <c:formatCode>General</c:formatCode>
                <c:ptCount val="2"/>
                <c:pt idx="0" formatCode="0.00">
                  <c:v>175.16153846153844</c:v>
                </c:pt>
                <c:pt idx="1">
                  <c:v>1.0921198668146364</c:v>
                </c:pt>
              </c:numCache>
            </c:numRef>
          </c:val>
          <c:extLst>
            <c:ext xmlns:c16="http://schemas.microsoft.com/office/drawing/2014/chart" uri="{C3380CC4-5D6E-409C-BE32-E72D297353CC}">
              <c16:uniqueId val="{00000006-EA8E-4688-BFD2-FAF8DB3A5C7F}"/>
            </c:ext>
          </c:extLst>
        </c:ser>
        <c:ser>
          <c:idx val="7"/>
          <c:order val="7"/>
          <c:tx>
            <c:strRef>
              <c:f>'PROBLEM_STATEMENT3 SOLUTIONS'!$B$47:$D$47</c:f>
              <c:strCache>
                <c:ptCount val="3"/>
                <c:pt idx="0">
                  <c:v>Rural</c:v>
                </c:pt>
                <c:pt idx="1">
                  <c:v>2022</c:v>
                </c:pt>
                <c:pt idx="2">
                  <c:v>August</c:v>
                </c:pt>
              </c:strCache>
            </c:strRef>
          </c:tx>
          <c:spPr>
            <a:solidFill>
              <a:schemeClr val="accent2">
                <a:lumMod val="60000"/>
              </a:schemeClr>
            </a:solidFill>
            <a:ln>
              <a:noFill/>
            </a:ln>
            <a:effectLst/>
          </c:spPr>
          <c:invertIfNegative val="0"/>
          <c:cat>
            <c:strRef>
              <c:f>'PROBLEM_STATEMENT3 SOLUTIONS'!$E$39:$F$39</c:f>
              <c:strCache>
                <c:ptCount val="2"/>
                <c:pt idx="0">
                  <c:v>Food</c:v>
                </c:pt>
                <c:pt idx="1">
                  <c:v>INFLATION RISE PER MONTH</c:v>
                </c:pt>
              </c:strCache>
            </c:strRef>
          </c:cat>
          <c:val>
            <c:numRef>
              <c:f>'PROBLEM_STATEMENT3 SOLUTIONS'!$E$47:$F$47</c:f>
              <c:numCache>
                <c:formatCode>General</c:formatCode>
                <c:ptCount val="2"/>
                <c:pt idx="0" formatCode="0.00">
                  <c:v>173.5230769230769</c:v>
                </c:pt>
                <c:pt idx="1">
                  <c:v>-0.93540028984234525</c:v>
                </c:pt>
              </c:numCache>
            </c:numRef>
          </c:val>
          <c:extLst>
            <c:ext xmlns:c16="http://schemas.microsoft.com/office/drawing/2014/chart" uri="{C3380CC4-5D6E-409C-BE32-E72D297353CC}">
              <c16:uniqueId val="{00000007-EA8E-4688-BFD2-FAF8DB3A5C7F}"/>
            </c:ext>
          </c:extLst>
        </c:ser>
        <c:ser>
          <c:idx val="8"/>
          <c:order val="8"/>
          <c:tx>
            <c:strRef>
              <c:f>'PROBLEM_STATEMENT3 SOLUTIONS'!$B$48:$D$48</c:f>
              <c:strCache>
                <c:ptCount val="3"/>
                <c:pt idx="0">
                  <c:v>Rural</c:v>
                </c:pt>
                <c:pt idx="1">
                  <c:v>2023</c:v>
                </c:pt>
                <c:pt idx="2">
                  <c:v>May</c:v>
                </c:pt>
              </c:strCache>
            </c:strRef>
          </c:tx>
          <c:spPr>
            <a:solidFill>
              <a:schemeClr val="accent3">
                <a:lumMod val="60000"/>
              </a:schemeClr>
            </a:solidFill>
            <a:ln>
              <a:noFill/>
            </a:ln>
            <a:effectLst/>
          </c:spPr>
          <c:invertIfNegative val="0"/>
          <c:cat>
            <c:strRef>
              <c:f>'PROBLEM_STATEMENT3 SOLUTIONS'!$E$39:$F$39</c:f>
              <c:strCache>
                <c:ptCount val="2"/>
                <c:pt idx="0">
                  <c:v>Food</c:v>
                </c:pt>
                <c:pt idx="1">
                  <c:v>INFLATION RISE PER MONTH</c:v>
                </c:pt>
              </c:strCache>
            </c:strRef>
          </c:cat>
          <c:val>
            <c:numRef>
              <c:f>'PROBLEM_STATEMENT3 SOLUTIONS'!$E$48:$F$48</c:f>
              <c:numCache>
                <c:formatCode>General</c:formatCode>
                <c:ptCount val="2"/>
                <c:pt idx="0" formatCode="0.00">
                  <c:v>176.20769230769235</c:v>
                </c:pt>
                <c:pt idx="1">
                  <c:v>1.5471229718947124</c:v>
                </c:pt>
              </c:numCache>
            </c:numRef>
          </c:val>
          <c:extLst>
            <c:ext xmlns:c16="http://schemas.microsoft.com/office/drawing/2014/chart" uri="{C3380CC4-5D6E-409C-BE32-E72D297353CC}">
              <c16:uniqueId val="{00000008-EA8E-4688-BFD2-FAF8DB3A5C7F}"/>
            </c:ext>
          </c:extLst>
        </c:ser>
        <c:ser>
          <c:idx val="9"/>
          <c:order val="9"/>
          <c:tx>
            <c:strRef>
              <c:f>'PROBLEM_STATEMENT3 SOLUTIONS'!$B$49:$D$49</c:f>
              <c:strCache>
                <c:ptCount val="3"/>
                <c:pt idx="0">
                  <c:v>Rural</c:v>
                </c:pt>
                <c:pt idx="1">
                  <c:v>2023</c:v>
                </c:pt>
                <c:pt idx="2">
                  <c:v>March</c:v>
                </c:pt>
              </c:strCache>
            </c:strRef>
          </c:tx>
          <c:spPr>
            <a:solidFill>
              <a:schemeClr val="accent4">
                <a:lumMod val="60000"/>
              </a:schemeClr>
            </a:solidFill>
            <a:ln>
              <a:noFill/>
            </a:ln>
            <a:effectLst/>
          </c:spPr>
          <c:invertIfNegative val="0"/>
          <c:cat>
            <c:strRef>
              <c:f>'PROBLEM_STATEMENT3 SOLUTIONS'!$E$39:$F$39</c:f>
              <c:strCache>
                <c:ptCount val="2"/>
                <c:pt idx="0">
                  <c:v>Food</c:v>
                </c:pt>
                <c:pt idx="1">
                  <c:v>INFLATION RISE PER MONTH</c:v>
                </c:pt>
              </c:strCache>
            </c:strRef>
          </c:cat>
          <c:val>
            <c:numRef>
              <c:f>'PROBLEM_STATEMENT3 SOLUTIONS'!$E$49:$F$49</c:f>
              <c:numCache>
                <c:formatCode>General</c:formatCode>
                <c:ptCount val="2"/>
                <c:pt idx="0" formatCode="0.00">
                  <c:v>174.2923076923077</c:v>
                </c:pt>
                <c:pt idx="1">
                  <c:v>-1.0870039725848204</c:v>
                </c:pt>
              </c:numCache>
            </c:numRef>
          </c:val>
          <c:extLst>
            <c:ext xmlns:c16="http://schemas.microsoft.com/office/drawing/2014/chart" uri="{C3380CC4-5D6E-409C-BE32-E72D297353CC}">
              <c16:uniqueId val="{00000009-EA8E-4688-BFD2-FAF8DB3A5C7F}"/>
            </c:ext>
          </c:extLst>
        </c:ser>
        <c:ser>
          <c:idx val="10"/>
          <c:order val="10"/>
          <c:tx>
            <c:strRef>
              <c:f>'PROBLEM_STATEMENT3 SOLUTIONS'!$B$50:$D$50</c:f>
              <c:strCache>
                <c:ptCount val="3"/>
                <c:pt idx="0">
                  <c:v>Rural</c:v>
                </c:pt>
                <c:pt idx="1">
                  <c:v>2023</c:v>
                </c:pt>
                <c:pt idx="2">
                  <c:v>January</c:v>
                </c:pt>
              </c:strCache>
            </c:strRef>
          </c:tx>
          <c:spPr>
            <a:solidFill>
              <a:schemeClr val="accent5">
                <a:lumMod val="60000"/>
              </a:schemeClr>
            </a:solidFill>
            <a:ln>
              <a:noFill/>
            </a:ln>
            <a:effectLst/>
          </c:spPr>
          <c:invertIfNegative val="0"/>
          <c:cat>
            <c:strRef>
              <c:f>'PROBLEM_STATEMENT3 SOLUTIONS'!$E$39:$F$39</c:f>
              <c:strCache>
                <c:ptCount val="2"/>
                <c:pt idx="0">
                  <c:v>Food</c:v>
                </c:pt>
                <c:pt idx="1">
                  <c:v>INFLATION RISE PER MONTH</c:v>
                </c:pt>
              </c:strCache>
            </c:strRef>
          </c:cat>
          <c:val>
            <c:numRef>
              <c:f>'PROBLEM_STATEMENT3 SOLUTIONS'!$E$50:$F$50</c:f>
              <c:numCache>
                <c:formatCode>General</c:formatCode>
                <c:ptCount val="2"/>
                <c:pt idx="0" formatCode="0.00">
                  <c:v>175.63076923076926</c:v>
                </c:pt>
                <c:pt idx="1">
                  <c:v>0.76794068320241238</c:v>
                </c:pt>
              </c:numCache>
            </c:numRef>
          </c:val>
          <c:extLst>
            <c:ext xmlns:c16="http://schemas.microsoft.com/office/drawing/2014/chart" uri="{C3380CC4-5D6E-409C-BE32-E72D297353CC}">
              <c16:uniqueId val="{0000000A-EA8E-4688-BFD2-FAF8DB3A5C7F}"/>
            </c:ext>
          </c:extLst>
        </c:ser>
        <c:ser>
          <c:idx val="11"/>
          <c:order val="11"/>
          <c:tx>
            <c:strRef>
              <c:f>'PROBLEM_STATEMENT3 SOLUTIONS'!$B$51:$D$51</c:f>
              <c:strCache>
                <c:ptCount val="3"/>
                <c:pt idx="0">
                  <c:v>Rural</c:v>
                </c:pt>
                <c:pt idx="1">
                  <c:v>2023</c:v>
                </c:pt>
                <c:pt idx="2">
                  <c:v>February</c:v>
                </c:pt>
              </c:strCache>
            </c:strRef>
          </c:tx>
          <c:spPr>
            <a:solidFill>
              <a:schemeClr val="accent6">
                <a:lumMod val="60000"/>
              </a:schemeClr>
            </a:solidFill>
            <a:ln>
              <a:noFill/>
            </a:ln>
            <a:effectLst/>
          </c:spPr>
          <c:invertIfNegative val="0"/>
          <c:cat>
            <c:strRef>
              <c:f>'PROBLEM_STATEMENT3 SOLUTIONS'!$E$39:$F$39</c:f>
              <c:strCache>
                <c:ptCount val="2"/>
                <c:pt idx="0">
                  <c:v>Food</c:v>
                </c:pt>
                <c:pt idx="1">
                  <c:v>INFLATION RISE PER MONTH</c:v>
                </c:pt>
              </c:strCache>
            </c:strRef>
          </c:cat>
          <c:val>
            <c:numRef>
              <c:f>'PROBLEM_STATEMENT3 SOLUTIONS'!$E$51:$F$51</c:f>
              <c:numCache>
                <c:formatCode>General</c:formatCode>
                <c:ptCount val="2"/>
                <c:pt idx="0" formatCode="0.00">
                  <c:v>174.28461538461536</c:v>
                </c:pt>
                <c:pt idx="1">
                  <c:v>-0.76646811492644751</c:v>
                </c:pt>
              </c:numCache>
            </c:numRef>
          </c:val>
          <c:extLst>
            <c:ext xmlns:c16="http://schemas.microsoft.com/office/drawing/2014/chart" uri="{C3380CC4-5D6E-409C-BE32-E72D297353CC}">
              <c16:uniqueId val="{0000000B-EA8E-4688-BFD2-FAF8DB3A5C7F}"/>
            </c:ext>
          </c:extLst>
        </c:ser>
        <c:ser>
          <c:idx val="12"/>
          <c:order val="12"/>
          <c:tx>
            <c:strRef>
              <c:f>'PROBLEM_STATEMENT3 SOLUTIONS'!$B$52:$D$52</c:f>
              <c:strCache>
                <c:ptCount val="3"/>
                <c:pt idx="0">
                  <c:v>Rural</c:v>
                </c:pt>
                <c:pt idx="1">
                  <c:v>2023</c:v>
                </c:pt>
                <c:pt idx="2">
                  <c:v>April</c:v>
                </c:pt>
              </c:strCache>
            </c:strRef>
          </c:tx>
          <c:spPr>
            <a:solidFill>
              <a:schemeClr val="accent1">
                <a:lumMod val="80000"/>
                <a:lumOff val="20000"/>
              </a:schemeClr>
            </a:solidFill>
            <a:ln>
              <a:noFill/>
            </a:ln>
            <a:effectLst/>
          </c:spPr>
          <c:invertIfNegative val="0"/>
          <c:cat>
            <c:strRef>
              <c:f>'PROBLEM_STATEMENT3 SOLUTIONS'!$E$39:$F$39</c:f>
              <c:strCache>
                <c:ptCount val="2"/>
                <c:pt idx="0">
                  <c:v>Food</c:v>
                </c:pt>
                <c:pt idx="1">
                  <c:v>INFLATION RISE PER MONTH</c:v>
                </c:pt>
              </c:strCache>
            </c:strRef>
          </c:cat>
          <c:val>
            <c:numRef>
              <c:f>'PROBLEM_STATEMENT3 SOLUTIONS'!$E$52:$F$52</c:f>
              <c:numCache>
                <c:formatCode>General</c:formatCode>
                <c:ptCount val="2"/>
                <c:pt idx="0" formatCode="0.00">
                  <c:v>174.93846153846152</c:v>
                </c:pt>
                <c:pt idx="1">
                  <c:v>0.37515999470362743</c:v>
                </c:pt>
              </c:numCache>
            </c:numRef>
          </c:val>
          <c:extLst>
            <c:ext xmlns:c16="http://schemas.microsoft.com/office/drawing/2014/chart" uri="{C3380CC4-5D6E-409C-BE32-E72D297353CC}">
              <c16:uniqueId val="{0000000C-EA8E-4688-BFD2-FAF8DB3A5C7F}"/>
            </c:ext>
          </c:extLst>
        </c:ser>
        <c:dLbls>
          <c:showLegendKey val="0"/>
          <c:showVal val="0"/>
          <c:showCatName val="0"/>
          <c:showSerName val="0"/>
          <c:showPercent val="0"/>
          <c:showBubbleSize val="0"/>
        </c:dLbls>
        <c:gapWidth val="219"/>
        <c:overlap val="-27"/>
        <c:axId val="791993008"/>
        <c:axId val="791995888"/>
      </c:barChart>
      <c:catAx>
        <c:axId val="79199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1995888"/>
        <c:crosses val="autoZero"/>
        <c:auto val="1"/>
        <c:lblAlgn val="ctr"/>
        <c:lblOffset val="100"/>
        <c:noMultiLvlLbl val="0"/>
      </c:catAx>
      <c:valAx>
        <c:axId val="791995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1993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tx1">
          <a:lumMod val="15000"/>
          <a:lumOff val="85000"/>
        </a:schemeClr>
      </a:solidFill>
      <a:round/>
    </a:ln>
    <a:effectLst>
      <a:glow rad="63500">
        <a:schemeClr val="accent1">
          <a:alpha val="40000"/>
        </a:schemeClr>
      </a:glow>
      <a:outerShdw blurRad="50800" dist="38100" dir="2700000" algn="tl" rotWithShape="0">
        <a:schemeClr val="tx1">
          <a:lumMod val="50000"/>
          <a:lumOff val="50000"/>
          <a:alpha val="40000"/>
        </a:schemeClr>
      </a:outerShdw>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INFLATION</a:t>
            </a:r>
            <a:r>
              <a:rPr lang="en-US" baseline="0"/>
              <a:t> RATE RSIE OF THE URBAN FROM YEAR 2022-2023</a:t>
            </a:r>
            <a:endParaRPr lang="en-US"/>
          </a:p>
        </c:rich>
      </c:tx>
      <c:overlay val="0"/>
      <c:spPr>
        <a:noFill/>
        <a:ln>
          <a:solidFill>
            <a:schemeClr val="tx1">
              <a:alpha val="73000"/>
            </a:schemeClr>
          </a:solidFill>
        </a:ln>
        <a:effectLst>
          <a:outerShdw blurRad="50800" dist="38100" dir="2700000" algn="tl" rotWithShape="0">
            <a:schemeClr val="tx2">
              <a:alpha val="40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'PROBLEM_STATEMENT3 SOLUTIONS'!$D$61:$F$61</c:f>
              <c:strCache>
                <c:ptCount val="3"/>
                <c:pt idx="0">
                  <c:v>Urban</c:v>
                </c:pt>
                <c:pt idx="1">
                  <c:v>2022</c:v>
                </c:pt>
                <c:pt idx="2">
                  <c:v>September</c:v>
                </c:pt>
              </c:strCache>
            </c:strRef>
          </c:tx>
          <c:spPr>
            <a:solidFill>
              <a:schemeClr val="accent1"/>
            </a:solidFill>
            <a:ln>
              <a:noFill/>
            </a:ln>
            <a:effectLst/>
          </c:spPr>
          <c:invertIfNegative val="0"/>
          <c:cat>
            <c:strRef>
              <c:f>'PROBLEM_STATEMENT3 SOLUTIONS'!$G$60:$H$60</c:f>
              <c:strCache>
                <c:ptCount val="2"/>
                <c:pt idx="0">
                  <c:v>Food</c:v>
                </c:pt>
                <c:pt idx="1">
                  <c:v>INFLATION RISE PER MONTH</c:v>
                </c:pt>
              </c:strCache>
            </c:strRef>
          </c:cat>
          <c:val>
            <c:numRef>
              <c:f>'PROBLEM_STATEMENT3 SOLUTIONS'!$G$61:$H$61</c:f>
              <c:numCache>
                <c:formatCode>0.00</c:formatCode>
                <c:ptCount val="2"/>
                <c:pt idx="0">
                  <c:v>177.41538461538462</c:v>
                </c:pt>
              </c:numCache>
            </c:numRef>
          </c:val>
          <c:extLst>
            <c:ext xmlns:c16="http://schemas.microsoft.com/office/drawing/2014/chart" uri="{C3380CC4-5D6E-409C-BE32-E72D297353CC}">
              <c16:uniqueId val="{00000000-FBC7-4966-B0A3-1F38B3D3EEA8}"/>
            </c:ext>
          </c:extLst>
        </c:ser>
        <c:ser>
          <c:idx val="1"/>
          <c:order val="1"/>
          <c:tx>
            <c:strRef>
              <c:f>'PROBLEM_STATEMENT3 SOLUTIONS'!$D$62:$F$62</c:f>
              <c:strCache>
                <c:ptCount val="3"/>
                <c:pt idx="0">
                  <c:v>Urban</c:v>
                </c:pt>
                <c:pt idx="1">
                  <c:v>2022</c:v>
                </c:pt>
                <c:pt idx="2">
                  <c:v>October</c:v>
                </c:pt>
              </c:strCache>
            </c:strRef>
          </c:tx>
          <c:spPr>
            <a:solidFill>
              <a:schemeClr val="accent2"/>
            </a:solidFill>
            <a:ln>
              <a:noFill/>
            </a:ln>
            <a:effectLst/>
          </c:spPr>
          <c:invertIfNegative val="0"/>
          <c:cat>
            <c:strRef>
              <c:f>'PROBLEM_STATEMENT3 SOLUTIONS'!$G$60:$H$60</c:f>
              <c:strCache>
                <c:ptCount val="2"/>
                <c:pt idx="0">
                  <c:v>Food</c:v>
                </c:pt>
                <c:pt idx="1">
                  <c:v>INFLATION RISE PER MONTH</c:v>
                </c:pt>
              </c:strCache>
            </c:strRef>
          </c:cat>
          <c:val>
            <c:numRef>
              <c:f>'PROBLEM_STATEMENT3 SOLUTIONS'!$G$62:$H$62</c:f>
              <c:numCache>
                <c:formatCode>0.00</c:formatCode>
                <c:ptCount val="2"/>
                <c:pt idx="0">
                  <c:v>178.63846153846154</c:v>
                </c:pt>
                <c:pt idx="1">
                  <c:v>0.68938605619146376</c:v>
                </c:pt>
              </c:numCache>
            </c:numRef>
          </c:val>
          <c:extLst>
            <c:ext xmlns:c16="http://schemas.microsoft.com/office/drawing/2014/chart" uri="{C3380CC4-5D6E-409C-BE32-E72D297353CC}">
              <c16:uniqueId val="{00000001-FBC7-4966-B0A3-1F38B3D3EEA8}"/>
            </c:ext>
          </c:extLst>
        </c:ser>
        <c:ser>
          <c:idx val="2"/>
          <c:order val="2"/>
          <c:tx>
            <c:strRef>
              <c:f>'PROBLEM_STATEMENT3 SOLUTIONS'!$D$63:$F$63</c:f>
              <c:strCache>
                <c:ptCount val="3"/>
                <c:pt idx="0">
                  <c:v>Urban</c:v>
                </c:pt>
                <c:pt idx="1">
                  <c:v>2022</c:v>
                </c:pt>
                <c:pt idx="2">
                  <c:v>November</c:v>
                </c:pt>
              </c:strCache>
            </c:strRef>
          </c:tx>
          <c:spPr>
            <a:solidFill>
              <a:schemeClr val="accent3"/>
            </a:solidFill>
            <a:ln>
              <a:noFill/>
            </a:ln>
            <a:effectLst/>
          </c:spPr>
          <c:invertIfNegative val="0"/>
          <c:cat>
            <c:strRef>
              <c:f>'PROBLEM_STATEMENT3 SOLUTIONS'!$G$60:$H$60</c:f>
              <c:strCache>
                <c:ptCount val="2"/>
                <c:pt idx="0">
                  <c:v>Food</c:v>
                </c:pt>
                <c:pt idx="1">
                  <c:v>INFLATION RISE PER MONTH</c:v>
                </c:pt>
              </c:strCache>
            </c:strRef>
          </c:cat>
          <c:val>
            <c:numRef>
              <c:f>'PROBLEM_STATEMENT3 SOLUTIONS'!$G$63:$H$63</c:f>
              <c:numCache>
                <c:formatCode>0.00</c:formatCode>
                <c:ptCount val="2"/>
                <c:pt idx="0">
                  <c:v>178.03076923076924</c:v>
                </c:pt>
                <c:pt idx="1">
                  <c:v>-0.34017999397149157</c:v>
                </c:pt>
              </c:numCache>
            </c:numRef>
          </c:val>
          <c:extLst>
            <c:ext xmlns:c16="http://schemas.microsoft.com/office/drawing/2014/chart" uri="{C3380CC4-5D6E-409C-BE32-E72D297353CC}">
              <c16:uniqueId val="{00000002-FBC7-4966-B0A3-1F38B3D3EEA8}"/>
            </c:ext>
          </c:extLst>
        </c:ser>
        <c:ser>
          <c:idx val="3"/>
          <c:order val="3"/>
          <c:tx>
            <c:strRef>
              <c:f>'PROBLEM_STATEMENT3 SOLUTIONS'!$D$64:$F$64</c:f>
              <c:strCache>
                <c:ptCount val="3"/>
                <c:pt idx="0">
                  <c:v>Urban</c:v>
                </c:pt>
                <c:pt idx="1">
                  <c:v>2022</c:v>
                </c:pt>
                <c:pt idx="2">
                  <c:v>May</c:v>
                </c:pt>
              </c:strCache>
            </c:strRef>
          </c:tx>
          <c:spPr>
            <a:solidFill>
              <a:schemeClr val="accent4"/>
            </a:solidFill>
            <a:ln>
              <a:noFill/>
            </a:ln>
            <a:effectLst/>
          </c:spPr>
          <c:invertIfNegative val="0"/>
          <c:cat>
            <c:strRef>
              <c:f>'PROBLEM_STATEMENT3 SOLUTIONS'!$G$60:$H$60</c:f>
              <c:strCache>
                <c:ptCount val="2"/>
                <c:pt idx="0">
                  <c:v>Food</c:v>
                </c:pt>
                <c:pt idx="1">
                  <c:v>INFLATION RISE PER MONTH</c:v>
                </c:pt>
              </c:strCache>
            </c:strRef>
          </c:cat>
          <c:val>
            <c:numRef>
              <c:f>'PROBLEM_STATEMENT3 SOLUTIONS'!$G$64:$H$64</c:f>
              <c:numCache>
                <c:formatCode>0.00</c:formatCode>
                <c:ptCount val="2"/>
                <c:pt idx="0">
                  <c:v>174.01538461538465</c:v>
                </c:pt>
                <c:pt idx="1">
                  <c:v>-2.2554441755962529</c:v>
                </c:pt>
              </c:numCache>
            </c:numRef>
          </c:val>
          <c:extLst>
            <c:ext xmlns:c16="http://schemas.microsoft.com/office/drawing/2014/chart" uri="{C3380CC4-5D6E-409C-BE32-E72D297353CC}">
              <c16:uniqueId val="{00000003-FBC7-4966-B0A3-1F38B3D3EEA8}"/>
            </c:ext>
          </c:extLst>
        </c:ser>
        <c:ser>
          <c:idx val="4"/>
          <c:order val="4"/>
          <c:tx>
            <c:strRef>
              <c:f>'PROBLEM_STATEMENT3 SOLUTIONS'!$D$65:$F$65</c:f>
              <c:strCache>
                <c:ptCount val="3"/>
                <c:pt idx="0">
                  <c:v>Urban</c:v>
                </c:pt>
                <c:pt idx="1">
                  <c:v>2022</c:v>
                </c:pt>
                <c:pt idx="2">
                  <c:v>June</c:v>
                </c:pt>
              </c:strCache>
            </c:strRef>
          </c:tx>
          <c:spPr>
            <a:solidFill>
              <a:schemeClr val="accent5"/>
            </a:solidFill>
            <a:ln>
              <a:noFill/>
            </a:ln>
            <a:effectLst/>
          </c:spPr>
          <c:invertIfNegative val="0"/>
          <c:cat>
            <c:strRef>
              <c:f>'PROBLEM_STATEMENT3 SOLUTIONS'!$G$60:$H$60</c:f>
              <c:strCache>
                <c:ptCount val="2"/>
                <c:pt idx="0">
                  <c:v>Food</c:v>
                </c:pt>
                <c:pt idx="1">
                  <c:v>INFLATION RISE PER MONTH</c:v>
                </c:pt>
              </c:strCache>
            </c:strRef>
          </c:cat>
          <c:val>
            <c:numRef>
              <c:f>'PROBLEM_STATEMENT3 SOLUTIONS'!$G$65:$H$65</c:f>
              <c:numCache>
                <c:formatCode>0.00</c:formatCode>
                <c:ptCount val="2"/>
                <c:pt idx="0">
                  <c:v>175.96153846153845</c:v>
                </c:pt>
                <c:pt idx="1">
                  <c:v>1.1183803377243156</c:v>
                </c:pt>
              </c:numCache>
            </c:numRef>
          </c:val>
          <c:extLst>
            <c:ext xmlns:c16="http://schemas.microsoft.com/office/drawing/2014/chart" uri="{C3380CC4-5D6E-409C-BE32-E72D297353CC}">
              <c16:uniqueId val="{00000004-FBC7-4966-B0A3-1F38B3D3EEA8}"/>
            </c:ext>
          </c:extLst>
        </c:ser>
        <c:ser>
          <c:idx val="5"/>
          <c:order val="5"/>
          <c:tx>
            <c:strRef>
              <c:f>'PROBLEM_STATEMENT3 SOLUTIONS'!$D$66:$F$66</c:f>
              <c:strCache>
                <c:ptCount val="3"/>
                <c:pt idx="0">
                  <c:v>Urban</c:v>
                </c:pt>
                <c:pt idx="1">
                  <c:v>2022</c:v>
                </c:pt>
                <c:pt idx="2">
                  <c:v>July</c:v>
                </c:pt>
              </c:strCache>
            </c:strRef>
          </c:tx>
          <c:spPr>
            <a:solidFill>
              <a:schemeClr val="accent6"/>
            </a:solidFill>
            <a:ln>
              <a:noFill/>
            </a:ln>
            <a:effectLst/>
          </c:spPr>
          <c:invertIfNegative val="0"/>
          <c:cat>
            <c:strRef>
              <c:f>'PROBLEM_STATEMENT3 SOLUTIONS'!$G$60:$H$60</c:f>
              <c:strCache>
                <c:ptCount val="2"/>
                <c:pt idx="0">
                  <c:v>Food</c:v>
                </c:pt>
                <c:pt idx="1">
                  <c:v>INFLATION RISE PER MONTH</c:v>
                </c:pt>
              </c:strCache>
            </c:strRef>
          </c:cat>
          <c:val>
            <c:numRef>
              <c:f>'PROBLEM_STATEMENT3 SOLUTIONS'!$G$66:$H$66</c:f>
              <c:numCache>
                <c:formatCode>0.00</c:formatCode>
                <c:ptCount val="2"/>
                <c:pt idx="0">
                  <c:v>176.27692307692308</c:v>
                </c:pt>
                <c:pt idx="1">
                  <c:v>0.17923497267760408</c:v>
                </c:pt>
              </c:numCache>
            </c:numRef>
          </c:val>
          <c:extLst>
            <c:ext xmlns:c16="http://schemas.microsoft.com/office/drawing/2014/chart" uri="{C3380CC4-5D6E-409C-BE32-E72D297353CC}">
              <c16:uniqueId val="{00000005-FBC7-4966-B0A3-1F38B3D3EEA8}"/>
            </c:ext>
          </c:extLst>
        </c:ser>
        <c:ser>
          <c:idx val="6"/>
          <c:order val="6"/>
          <c:tx>
            <c:strRef>
              <c:f>'PROBLEM_STATEMENT3 SOLUTIONS'!$D$67:$F$67</c:f>
              <c:strCache>
                <c:ptCount val="3"/>
                <c:pt idx="0">
                  <c:v>Urban</c:v>
                </c:pt>
                <c:pt idx="1">
                  <c:v>2022</c:v>
                </c:pt>
                <c:pt idx="2">
                  <c:v>December</c:v>
                </c:pt>
              </c:strCache>
            </c:strRef>
          </c:tx>
          <c:spPr>
            <a:solidFill>
              <a:schemeClr val="accent1">
                <a:lumMod val="60000"/>
              </a:schemeClr>
            </a:solidFill>
            <a:ln>
              <a:noFill/>
            </a:ln>
            <a:effectLst/>
          </c:spPr>
          <c:invertIfNegative val="0"/>
          <c:cat>
            <c:strRef>
              <c:f>'PROBLEM_STATEMENT3 SOLUTIONS'!$G$60:$H$60</c:f>
              <c:strCache>
                <c:ptCount val="2"/>
                <c:pt idx="0">
                  <c:v>Food</c:v>
                </c:pt>
                <c:pt idx="1">
                  <c:v>INFLATION RISE PER MONTH</c:v>
                </c:pt>
              </c:strCache>
            </c:strRef>
          </c:cat>
          <c:val>
            <c:numRef>
              <c:f>'PROBLEM_STATEMENT3 SOLUTIONS'!$G$67:$H$67</c:f>
              <c:numCache>
                <c:formatCode>0.00</c:formatCode>
                <c:ptCount val="2"/>
                <c:pt idx="0">
                  <c:v>176.59999999999997</c:v>
                </c:pt>
                <c:pt idx="1">
                  <c:v>0.1832780589980571</c:v>
                </c:pt>
              </c:numCache>
            </c:numRef>
          </c:val>
          <c:extLst>
            <c:ext xmlns:c16="http://schemas.microsoft.com/office/drawing/2014/chart" uri="{C3380CC4-5D6E-409C-BE32-E72D297353CC}">
              <c16:uniqueId val="{00000006-FBC7-4966-B0A3-1F38B3D3EEA8}"/>
            </c:ext>
          </c:extLst>
        </c:ser>
        <c:ser>
          <c:idx val="7"/>
          <c:order val="7"/>
          <c:tx>
            <c:strRef>
              <c:f>'PROBLEM_STATEMENT3 SOLUTIONS'!$D$68:$F$68</c:f>
              <c:strCache>
                <c:ptCount val="3"/>
                <c:pt idx="0">
                  <c:v>Urban</c:v>
                </c:pt>
                <c:pt idx="1">
                  <c:v>2022</c:v>
                </c:pt>
                <c:pt idx="2">
                  <c:v>August</c:v>
                </c:pt>
              </c:strCache>
            </c:strRef>
          </c:tx>
          <c:spPr>
            <a:solidFill>
              <a:schemeClr val="accent2">
                <a:lumMod val="60000"/>
              </a:schemeClr>
            </a:solidFill>
            <a:ln>
              <a:noFill/>
            </a:ln>
            <a:effectLst/>
          </c:spPr>
          <c:invertIfNegative val="0"/>
          <c:cat>
            <c:strRef>
              <c:f>'PROBLEM_STATEMENT3 SOLUTIONS'!$G$60:$H$60</c:f>
              <c:strCache>
                <c:ptCount val="2"/>
                <c:pt idx="0">
                  <c:v>Food</c:v>
                </c:pt>
                <c:pt idx="1">
                  <c:v>INFLATION RISE PER MONTH</c:v>
                </c:pt>
              </c:strCache>
            </c:strRef>
          </c:cat>
          <c:val>
            <c:numRef>
              <c:f>'PROBLEM_STATEMENT3 SOLUTIONS'!$G$68:$H$68</c:f>
              <c:numCache>
                <c:formatCode>0.00</c:formatCode>
                <c:ptCount val="2"/>
                <c:pt idx="0">
                  <c:v>176.43846153846152</c:v>
                </c:pt>
                <c:pt idx="1">
                  <c:v>-9.1471382524598785E-2</c:v>
                </c:pt>
              </c:numCache>
            </c:numRef>
          </c:val>
          <c:extLst>
            <c:ext xmlns:c16="http://schemas.microsoft.com/office/drawing/2014/chart" uri="{C3380CC4-5D6E-409C-BE32-E72D297353CC}">
              <c16:uniqueId val="{00000007-FBC7-4966-B0A3-1F38B3D3EEA8}"/>
            </c:ext>
          </c:extLst>
        </c:ser>
        <c:ser>
          <c:idx val="8"/>
          <c:order val="8"/>
          <c:tx>
            <c:strRef>
              <c:f>'PROBLEM_STATEMENT3 SOLUTIONS'!$D$69:$F$69</c:f>
              <c:strCache>
                <c:ptCount val="3"/>
                <c:pt idx="0">
                  <c:v>Urban</c:v>
                </c:pt>
                <c:pt idx="1">
                  <c:v>2023</c:v>
                </c:pt>
                <c:pt idx="2">
                  <c:v>May</c:v>
                </c:pt>
              </c:strCache>
            </c:strRef>
          </c:tx>
          <c:spPr>
            <a:solidFill>
              <a:schemeClr val="accent3">
                <a:lumMod val="60000"/>
              </a:schemeClr>
            </a:solidFill>
            <a:ln>
              <a:noFill/>
            </a:ln>
            <a:effectLst/>
          </c:spPr>
          <c:invertIfNegative val="0"/>
          <c:cat>
            <c:strRef>
              <c:f>'PROBLEM_STATEMENT3 SOLUTIONS'!$G$60:$H$60</c:f>
              <c:strCache>
                <c:ptCount val="2"/>
                <c:pt idx="0">
                  <c:v>Food</c:v>
                </c:pt>
                <c:pt idx="1">
                  <c:v>INFLATION RISE PER MONTH</c:v>
                </c:pt>
              </c:strCache>
            </c:strRef>
          </c:cat>
          <c:val>
            <c:numRef>
              <c:f>'PROBLEM_STATEMENT3 SOLUTIONS'!$G$69:$H$69</c:f>
              <c:numCache>
                <c:formatCode>0.00</c:formatCode>
                <c:ptCount val="2"/>
                <c:pt idx="0">
                  <c:v>179.62307692307692</c:v>
                </c:pt>
                <c:pt idx="1">
                  <c:v>1.8049439769804325</c:v>
                </c:pt>
              </c:numCache>
            </c:numRef>
          </c:val>
          <c:extLst>
            <c:ext xmlns:c16="http://schemas.microsoft.com/office/drawing/2014/chart" uri="{C3380CC4-5D6E-409C-BE32-E72D297353CC}">
              <c16:uniqueId val="{00000008-FBC7-4966-B0A3-1F38B3D3EEA8}"/>
            </c:ext>
          </c:extLst>
        </c:ser>
        <c:ser>
          <c:idx val="9"/>
          <c:order val="9"/>
          <c:tx>
            <c:strRef>
              <c:f>'PROBLEM_STATEMENT3 SOLUTIONS'!$D$70:$F$70</c:f>
              <c:strCache>
                <c:ptCount val="3"/>
                <c:pt idx="0">
                  <c:v>Urban</c:v>
                </c:pt>
                <c:pt idx="1">
                  <c:v>2023</c:v>
                </c:pt>
                <c:pt idx="2">
                  <c:v>March</c:v>
                </c:pt>
              </c:strCache>
            </c:strRef>
          </c:tx>
          <c:spPr>
            <a:solidFill>
              <a:schemeClr val="accent4">
                <a:lumMod val="60000"/>
              </a:schemeClr>
            </a:solidFill>
            <a:ln>
              <a:noFill/>
            </a:ln>
            <a:effectLst/>
          </c:spPr>
          <c:invertIfNegative val="0"/>
          <c:cat>
            <c:strRef>
              <c:f>'PROBLEM_STATEMENT3 SOLUTIONS'!$G$60:$H$60</c:f>
              <c:strCache>
                <c:ptCount val="2"/>
                <c:pt idx="0">
                  <c:v>Food</c:v>
                </c:pt>
                <c:pt idx="1">
                  <c:v>INFLATION RISE PER MONTH</c:v>
                </c:pt>
              </c:strCache>
            </c:strRef>
          </c:cat>
          <c:val>
            <c:numRef>
              <c:f>'PROBLEM_STATEMENT3 SOLUTIONS'!$G$70:$H$70</c:f>
              <c:numCache>
                <c:formatCode>0.00</c:formatCode>
                <c:ptCount val="2"/>
                <c:pt idx="0">
                  <c:v>177.1846153846154</c:v>
                </c:pt>
                <c:pt idx="1">
                  <c:v>-1.3575435741509922</c:v>
                </c:pt>
              </c:numCache>
            </c:numRef>
          </c:val>
          <c:extLst>
            <c:ext xmlns:c16="http://schemas.microsoft.com/office/drawing/2014/chart" uri="{C3380CC4-5D6E-409C-BE32-E72D297353CC}">
              <c16:uniqueId val="{00000009-FBC7-4966-B0A3-1F38B3D3EEA8}"/>
            </c:ext>
          </c:extLst>
        </c:ser>
        <c:ser>
          <c:idx val="10"/>
          <c:order val="10"/>
          <c:tx>
            <c:strRef>
              <c:f>'PROBLEM_STATEMENT3 SOLUTIONS'!$D$71:$F$71</c:f>
              <c:strCache>
                <c:ptCount val="3"/>
                <c:pt idx="0">
                  <c:v>Urban</c:v>
                </c:pt>
                <c:pt idx="1">
                  <c:v>2023</c:v>
                </c:pt>
                <c:pt idx="2">
                  <c:v>January</c:v>
                </c:pt>
              </c:strCache>
            </c:strRef>
          </c:tx>
          <c:spPr>
            <a:solidFill>
              <a:schemeClr val="accent5">
                <a:lumMod val="60000"/>
              </a:schemeClr>
            </a:solidFill>
            <a:ln>
              <a:noFill/>
            </a:ln>
            <a:effectLst/>
          </c:spPr>
          <c:invertIfNegative val="0"/>
          <c:cat>
            <c:strRef>
              <c:f>'PROBLEM_STATEMENT3 SOLUTIONS'!$G$60:$H$60</c:f>
              <c:strCache>
                <c:ptCount val="2"/>
                <c:pt idx="0">
                  <c:v>Food</c:v>
                </c:pt>
                <c:pt idx="1">
                  <c:v>INFLATION RISE PER MONTH</c:v>
                </c:pt>
              </c:strCache>
            </c:strRef>
          </c:cat>
          <c:val>
            <c:numRef>
              <c:f>'PROBLEM_STATEMENT3 SOLUTIONS'!$G$71:$H$71</c:f>
              <c:numCache>
                <c:formatCode>0.00</c:formatCode>
                <c:ptCount val="2"/>
                <c:pt idx="0">
                  <c:v>177.70769230769233</c:v>
                </c:pt>
                <c:pt idx="1">
                  <c:v>0.29521576799514054</c:v>
                </c:pt>
              </c:numCache>
            </c:numRef>
          </c:val>
          <c:extLst>
            <c:ext xmlns:c16="http://schemas.microsoft.com/office/drawing/2014/chart" uri="{C3380CC4-5D6E-409C-BE32-E72D297353CC}">
              <c16:uniqueId val="{0000000A-FBC7-4966-B0A3-1F38B3D3EEA8}"/>
            </c:ext>
          </c:extLst>
        </c:ser>
        <c:ser>
          <c:idx val="11"/>
          <c:order val="11"/>
          <c:tx>
            <c:strRef>
              <c:f>'PROBLEM_STATEMENT3 SOLUTIONS'!$D$72:$F$72</c:f>
              <c:strCache>
                <c:ptCount val="3"/>
                <c:pt idx="0">
                  <c:v>Urban</c:v>
                </c:pt>
                <c:pt idx="1">
                  <c:v>2023</c:v>
                </c:pt>
                <c:pt idx="2">
                  <c:v>February</c:v>
                </c:pt>
              </c:strCache>
            </c:strRef>
          </c:tx>
          <c:spPr>
            <a:solidFill>
              <a:schemeClr val="accent6">
                <a:lumMod val="60000"/>
              </a:schemeClr>
            </a:solidFill>
            <a:ln>
              <a:noFill/>
            </a:ln>
            <a:effectLst/>
          </c:spPr>
          <c:invertIfNegative val="0"/>
          <c:cat>
            <c:strRef>
              <c:f>'PROBLEM_STATEMENT3 SOLUTIONS'!$G$60:$H$60</c:f>
              <c:strCache>
                <c:ptCount val="2"/>
                <c:pt idx="0">
                  <c:v>Food</c:v>
                </c:pt>
                <c:pt idx="1">
                  <c:v>INFLATION RISE PER MONTH</c:v>
                </c:pt>
              </c:strCache>
            </c:strRef>
          </c:cat>
          <c:val>
            <c:numRef>
              <c:f>'PROBLEM_STATEMENT3 SOLUTIONS'!$G$72:$H$72</c:f>
              <c:numCache>
                <c:formatCode>0.00</c:formatCode>
                <c:ptCount val="2"/>
                <c:pt idx="0">
                  <c:v>177.16923076923075</c:v>
                </c:pt>
                <c:pt idx="1">
                  <c:v>-0.30300406891180343</c:v>
                </c:pt>
              </c:numCache>
            </c:numRef>
          </c:val>
          <c:extLst>
            <c:ext xmlns:c16="http://schemas.microsoft.com/office/drawing/2014/chart" uri="{C3380CC4-5D6E-409C-BE32-E72D297353CC}">
              <c16:uniqueId val="{0000000B-FBC7-4966-B0A3-1F38B3D3EEA8}"/>
            </c:ext>
          </c:extLst>
        </c:ser>
        <c:ser>
          <c:idx val="12"/>
          <c:order val="12"/>
          <c:tx>
            <c:strRef>
              <c:f>'PROBLEM_STATEMENT3 SOLUTIONS'!$D$73:$F$73</c:f>
              <c:strCache>
                <c:ptCount val="3"/>
                <c:pt idx="0">
                  <c:v>Urban</c:v>
                </c:pt>
                <c:pt idx="1">
                  <c:v>2023</c:v>
                </c:pt>
                <c:pt idx="2">
                  <c:v>April</c:v>
                </c:pt>
              </c:strCache>
            </c:strRef>
          </c:tx>
          <c:spPr>
            <a:solidFill>
              <a:schemeClr val="accent1">
                <a:lumMod val="80000"/>
                <a:lumOff val="20000"/>
              </a:schemeClr>
            </a:solidFill>
            <a:ln>
              <a:noFill/>
            </a:ln>
            <a:effectLst/>
          </c:spPr>
          <c:invertIfNegative val="0"/>
          <c:cat>
            <c:strRef>
              <c:f>'PROBLEM_STATEMENT3 SOLUTIONS'!$G$60:$H$60</c:f>
              <c:strCache>
                <c:ptCount val="2"/>
                <c:pt idx="0">
                  <c:v>Food</c:v>
                </c:pt>
                <c:pt idx="1">
                  <c:v>INFLATION RISE PER MONTH</c:v>
                </c:pt>
              </c:strCache>
            </c:strRef>
          </c:cat>
          <c:val>
            <c:numRef>
              <c:f>'PROBLEM_STATEMENT3 SOLUTIONS'!$G$73:$H$73</c:f>
              <c:numCache>
                <c:formatCode>0.00</c:formatCode>
                <c:ptCount val="2"/>
                <c:pt idx="0">
                  <c:v>178.28461538461539</c:v>
                </c:pt>
                <c:pt idx="1">
                  <c:v>0.62955887460925419</c:v>
                </c:pt>
              </c:numCache>
            </c:numRef>
          </c:val>
          <c:extLst>
            <c:ext xmlns:c16="http://schemas.microsoft.com/office/drawing/2014/chart" uri="{C3380CC4-5D6E-409C-BE32-E72D297353CC}">
              <c16:uniqueId val="{0000000C-FBC7-4966-B0A3-1F38B3D3EEA8}"/>
            </c:ext>
          </c:extLst>
        </c:ser>
        <c:dLbls>
          <c:showLegendKey val="0"/>
          <c:showVal val="0"/>
          <c:showCatName val="0"/>
          <c:showSerName val="0"/>
          <c:showPercent val="0"/>
          <c:showBubbleSize val="0"/>
        </c:dLbls>
        <c:gapWidth val="219"/>
        <c:overlap val="-27"/>
        <c:axId val="894154960"/>
        <c:axId val="894149200"/>
      </c:barChart>
      <c:catAx>
        <c:axId val="89415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149200"/>
        <c:crosses val="autoZero"/>
        <c:auto val="1"/>
        <c:lblAlgn val="ctr"/>
        <c:lblOffset val="100"/>
        <c:noMultiLvlLbl val="0"/>
      </c:catAx>
      <c:valAx>
        <c:axId val="894149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15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a:glow rad="63500">
        <a:schemeClr val="accent6">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INFLATION</a:t>
            </a:r>
            <a:r>
              <a:rPr lang="en-US" b="1" baseline="0"/>
              <a:t> RISE PER MONTH OF THE YEAR 2022-2023 IN THE (RURAL + URBAN POPULATION</a:t>
            </a:r>
            <a:r>
              <a:rPr lang="en-US" baseline="0"/>
              <a:t>)</a:t>
            </a:r>
            <a:endParaRPr lang="en-US"/>
          </a:p>
        </c:rich>
      </c:tx>
      <c:overlay val="0"/>
      <c:spPr>
        <a:noFill/>
        <a:ln>
          <a:noFill/>
        </a:ln>
        <a:effectLst>
          <a:glow rad="101600">
            <a:schemeClr val="accent5">
              <a:satMod val="175000"/>
              <a:alpha val="40000"/>
            </a:schemeClr>
          </a:glow>
          <a:outerShdw blurRad="50800" dist="38100" dir="2700000" algn="tl" rotWithShape="0">
            <a:schemeClr val="accent2">
              <a:lumMod val="20000"/>
              <a:lumOff val="80000"/>
              <a:alpha val="40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'PROBLEM_STATEMENT3 SOLUTIONS'!$D$78:$F$78</c:f>
              <c:strCache>
                <c:ptCount val="3"/>
                <c:pt idx="0">
                  <c:v>Rural+Urban</c:v>
                </c:pt>
                <c:pt idx="1">
                  <c:v>2022</c:v>
                </c:pt>
                <c:pt idx="2">
                  <c:v>September</c:v>
                </c:pt>
              </c:strCache>
            </c:strRef>
          </c:tx>
          <c:spPr>
            <a:solidFill>
              <a:schemeClr val="accent1"/>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SOLUTIONS'!$G$78:$H$78</c:f>
              <c:numCache>
                <c:formatCode>General</c:formatCode>
                <c:ptCount val="2"/>
                <c:pt idx="0" formatCode="0.00">
                  <c:v>175.45384615384617</c:v>
                </c:pt>
              </c:numCache>
            </c:numRef>
          </c:val>
          <c:extLst>
            <c:ext xmlns:c16="http://schemas.microsoft.com/office/drawing/2014/chart" uri="{C3380CC4-5D6E-409C-BE32-E72D297353CC}">
              <c16:uniqueId val="{00000000-DAAA-4EC3-BB29-914F5706D65F}"/>
            </c:ext>
          </c:extLst>
        </c:ser>
        <c:ser>
          <c:idx val="1"/>
          <c:order val="1"/>
          <c:tx>
            <c:strRef>
              <c:f>'PROBLEM_STATEMENT3 SOLUTIONS'!$D$79:$F$79</c:f>
              <c:strCache>
                <c:ptCount val="3"/>
                <c:pt idx="0">
                  <c:v>Rural+Urban</c:v>
                </c:pt>
                <c:pt idx="1">
                  <c:v>2022</c:v>
                </c:pt>
                <c:pt idx="2">
                  <c:v>October</c:v>
                </c:pt>
              </c:strCache>
            </c:strRef>
          </c:tx>
          <c:spPr>
            <a:solidFill>
              <a:schemeClr val="accent2"/>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SOLUTIONS'!$G$79:$H$79</c:f>
              <c:numCache>
                <c:formatCode>General</c:formatCode>
                <c:ptCount val="2"/>
                <c:pt idx="0" formatCode="0.00">
                  <c:v>176.71538461538464</c:v>
                </c:pt>
                <c:pt idx="1">
                  <c:v>0.71901442413082706</c:v>
                </c:pt>
              </c:numCache>
            </c:numRef>
          </c:val>
          <c:extLst>
            <c:ext xmlns:c16="http://schemas.microsoft.com/office/drawing/2014/chart" uri="{C3380CC4-5D6E-409C-BE32-E72D297353CC}">
              <c16:uniqueId val="{00000001-DAAA-4EC3-BB29-914F5706D65F}"/>
            </c:ext>
          </c:extLst>
        </c:ser>
        <c:ser>
          <c:idx val="2"/>
          <c:order val="2"/>
          <c:tx>
            <c:strRef>
              <c:f>'PROBLEM_STATEMENT3 SOLUTIONS'!$D$80:$F$80</c:f>
              <c:strCache>
                <c:ptCount val="3"/>
                <c:pt idx="0">
                  <c:v>Rural+Urban</c:v>
                </c:pt>
                <c:pt idx="1">
                  <c:v>2022</c:v>
                </c:pt>
                <c:pt idx="2">
                  <c:v>November</c:v>
                </c:pt>
              </c:strCache>
            </c:strRef>
          </c:tx>
          <c:spPr>
            <a:solidFill>
              <a:schemeClr val="accent3"/>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SOLUTIONS'!$G$80:$H$80</c:f>
              <c:numCache>
                <c:formatCode>General</c:formatCode>
                <c:ptCount val="2"/>
                <c:pt idx="0" formatCode="0.00">
                  <c:v>176.67692307692309</c:v>
                </c:pt>
                <c:pt idx="1">
                  <c:v>-2.1764680276851682E-2</c:v>
                </c:pt>
              </c:numCache>
            </c:numRef>
          </c:val>
          <c:extLst>
            <c:ext xmlns:c16="http://schemas.microsoft.com/office/drawing/2014/chart" uri="{C3380CC4-5D6E-409C-BE32-E72D297353CC}">
              <c16:uniqueId val="{00000002-DAAA-4EC3-BB29-914F5706D65F}"/>
            </c:ext>
          </c:extLst>
        </c:ser>
        <c:ser>
          <c:idx val="3"/>
          <c:order val="3"/>
          <c:tx>
            <c:strRef>
              <c:f>'PROBLEM_STATEMENT3 SOLUTIONS'!$D$81:$F$81</c:f>
              <c:strCache>
                <c:ptCount val="3"/>
                <c:pt idx="0">
                  <c:v>Rural+Urban</c:v>
                </c:pt>
                <c:pt idx="1">
                  <c:v>2022</c:v>
                </c:pt>
                <c:pt idx="2">
                  <c:v>May</c:v>
                </c:pt>
              </c:strCache>
            </c:strRef>
          </c:tx>
          <c:spPr>
            <a:solidFill>
              <a:schemeClr val="accent4"/>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SOLUTIONS'!$G$81:$H$81</c:f>
              <c:numCache>
                <c:formatCode>General</c:formatCode>
                <c:ptCount val="2"/>
                <c:pt idx="0" formatCode="0.00">
                  <c:v>172.22307692307697</c:v>
                </c:pt>
                <c:pt idx="1">
                  <c:v>-2.5208986415882744</c:v>
                </c:pt>
              </c:numCache>
            </c:numRef>
          </c:val>
          <c:extLst>
            <c:ext xmlns:c16="http://schemas.microsoft.com/office/drawing/2014/chart" uri="{C3380CC4-5D6E-409C-BE32-E72D297353CC}">
              <c16:uniqueId val="{00000003-DAAA-4EC3-BB29-914F5706D65F}"/>
            </c:ext>
          </c:extLst>
        </c:ser>
        <c:ser>
          <c:idx val="4"/>
          <c:order val="4"/>
          <c:tx>
            <c:strRef>
              <c:f>'PROBLEM_STATEMENT3 SOLUTIONS'!$D$82:$F$82</c:f>
              <c:strCache>
                <c:ptCount val="3"/>
                <c:pt idx="0">
                  <c:v>Rural+Urban</c:v>
                </c:pt>
                <c:pt idx="1">
                  <c:v>2022</c:v>
                </c:pt>
                <c:pt idx="2">
                  <c:v>June</c:v>
                </c:pt>
              </c:strCache>
            </c:strRef>
          </c:tx>
          <c:spPr>
            <a:solidFill>
              <a:schemeClr val="accent5"/>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SOLUTIONS'!$G$82:$H$82</c:f>
              <c:numCache>
                <c:formatCode>General</c:formatCode>
                <c:ptCount val="2"/>
                <c:pt idx="0" formatCode="0.00">
                  <c:v>173.99230769230769</c:v>
                </c:pt>
                <c:pt idx="1">
                  <c:v>1.0272901871454425</c:v>
                </c:pt>
              </c:numCache>
            </c:numRef>
          </c:val>
          <c:extLst>
            <c:ext xmlns:c16="http://schemas.microsoft.com/office/drawing/2014/chart" uri="{C3380CC4-5D6E-409C-BE32-E72D297353CC}">
              <c16:uniqueId val="{00000004-DAAA-4EC3-BB29-914F5706D65F}"/>
            </c:ext>
          </c:extLst>
        </c:ser>
        <c:ser>
          <c:idx val="5"/>
          <c:order val="5"/>
          <c:tx>
            <c:strRef>
              <c:f>'PROBLEM_STATEMENT3 SOLUTIONS'!$D$83:$F$83</c:f>
              <c:strCache>
                <c:ptCount val="3"/>
                <c:pt idx="0">
                  <c:v>Rural+Urban</c:v>
                </c:pt>
                <c:pt idx="1">
                  <c:v>2022</c:v>
                </c:pt>
                <c:pt idx="2">
                  <c:v>July</c:v>
                </c:pt>
              </c:strCache>
            </c:strRef>
          </c:tx>
          <c:spPr>
            <a:solidFill>
              <a:schemeClr val="accent6"/>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SOLUTIONS'!$G$83:$H$83</c:f>
              <c:numCache>
                <c:formatCode>General</c:formatCode>
                <c:ptCount val="2"/>
                <c:pt idx="0" formatCode="0.00">
                  <c:v>174.33076923076925</c:v>
                </c:pt>
                <c:pt idx="1">
                  <c:v>0.19452672531943327</c:v>
                </c:pt>
              </c:numCache>
            </c:numRef>
          </c:val>
          <c:extLst>
            <c:ext xmlns:c16="http://schemas.microsoft.com/office/drawing/2014/chart" uri="{C3380CC4-5D6E-409C-BE32-E72D297353CC}">
              <c16:uniqueId val="{00000005-DAAA-4EC3-BB29-914F5706D65F}"/>
            </c:ext>
          </c:extLst>
        </c:ser>
        <c:ser>
          <c:idx val="6"/>
          <c:order val="6"/>
          <c:tx>
            <c:strRef>
              <c:f>'PROBLEM_STATEMENT3 SOLUTIONS'!$D$84:$F$84</c:f>
              <c:strCache>
                <c:ptCount val="3"/>
                <c:pt idx="0">
                  <c:v>Rural+Urban</c:v>
                </c:pt>
                <c:pt idx="1">
                  <c:v>2022</c:v>
                </c:pt>
                <c:pt idx="2">
                  <c:v>December</c:v>
                </c:pt>
              </c:strCache>
            </c:strRef>
          </c:tx>
          <c:spPr>
            <a:solidFill>
              <a:schemeClr val="accent1">
                <a:lumMod val="60000"/>
              </a:schemeClr>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SOLUTIONS'!$G$84:$H$84</c:f>
              <c:numCache>
                <c:formatCode>General</c:formatCode>
                <c:ptCount val="2"/>
                <c:pt idx="0" formatCode="0.00">
                  <c:v>175.64615384615385</c:v>
                </c:pt>
                <c:pt idx="1">
                  <c:v>0.75453382164761162</c:v>
                </c:pt>
              </c:numCache>
            </c:numRef>
          </c:val>
          <c:extLst>
            <c:ext xmlns:c16="http://schemas.microsoft.com/office/drawing/2014/chart" uri="{C3380CC4-5D6E-409C-BE32-E72D297353CC}">
              <c16:uniqueId val="{00000006-DAAA-4EC3-BB29-914F5706D65F}"/>
            </c:ext>
          </c:extLst>
        </c:ser>
        <c:ser>
          <c:idx val="7"/>
          <c:order val="7"/>
          <c:tx>
            <c:strRef>
              <c:f>'PROBLEM_STATEMENT3 SOLUTIONS'!$D$85:$F$85</c:f>
              <c:strCache>
                <c:ptCount val="3"/>
                <c:pt idx="0">
                  <c:v>Rural+Urban</c:v>
                </c:pt>
                <c:pt idx="1">
                  <c:v>2022</c:v>
                </c:pt>
                <c:pt idx="2">
                  <c:v>August</c:v>
                </c:pt>
              </c:strCache>
            </c:strRef>
          </c:tx>
          <c:spPr>
            <a:solidFill>
              <a:schemeClr val="accent2">
                <a:lumMod val="60000"/>
              </a:schemeClr>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SOLUTIONS'!$G$85:$H$85</c:f>
              <c:numCache>
                <c:formatCode>General</c:formatCode>
                <c:ptCount val="2"/>
                <c:pt idx="0" formatCode="0.00">
                  <c:v>174.55384615384617</c:v>
                </c:pt>
                <c:pt idx="1">
                  <c:v>-0.62187965314880889</c:v>
                </c:pt>
              </c:numCache>
            </c:numRef>
          </c:val>
          <c:extLst>
            <c:ext xmlns:c16="http://schemas.microsoft.com/office/drawing/2014/chart" uri="{C3380CC4-5D6E-409C-BE32-E72D297353CC}">
              <c16:uniqueId val="{00000007-DAAA-4EC3-BB29-914F5706D65F}"/>
            </c:ext>
          </c:extLst>
        </c:ser>
        <c:ser>
          <c:idx val="8"/>
          <c:order val="8"/>
          <c:tx>
            <c:strRef>
              <c:f>'PROBLEM_STATEMENT3 SOLUTIONS'!$D$86:$F$86</c:f>
              <c:strCache>
                <c:ptCount val="3"/>
                <c:pt idx="0">
                  <c:v>Rural+Urban</c:v>
                </c:pt>
                <c:pt idx="1">
                  <c:v>2023</c:v>
                </c:pt>
                <c:pt idx="2">
                  <c:v>May</c:v>
                </c:pt>
              </c:strCache>
            </c:strRef>
          </c:tx>
          <c:spPr>
            <a:solidFill>
              <a:schemeClr val="accent3">
                <a:lumMod val="60000"/>
              </a:schemeClr>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SOLUTIONS'!$G$86:$H$86</c:f>
              <c:numCache>
                <c:formatCode>General</c:formatCode>
                <c:ptCount val="2"/>
                <c:pt idx="0" formatCode="0.00">
                  <c:v>177.45384615384617</c:v>
                </c:pt>
                <c:pt idx="1">
                  <c:v>1.6613784593689438</c:v>
                </c:pt>
              </c:numCache>
            </c:numRef>
          </c:val>
          <c:extLst>
            <c:ext xmlns:c16="http://schemas.microsoft.com/office/drawing/2014/chart" uri="{C3380CC4-5D6E-409C-BE32-E72D297353CC}">
              <c16:uniqueId val="{00000008-DAAA-4EC3-BB29-914F5706D65F}"/>
            </c:ext>
          </c:extLst>
        </c:ser>
        <c:ser>
          <c:idx val="9"/>
          <c:order val="9"/>
          <c:tx>
            <c:strRef>
              <c:f>'PROBLEM_STATEMENT3 SOLUTIONS'!$D$87:$F$87</c:f>
              <c:strCache>
                <c:ptCount val="3"/>
                <c:pt idx="0">
                  <c:v>Rural+Urban</c:v>
                </c:pt>
                <c:pt idx="1">
                  <c:v>2023</c:v>
                </c:pt>
                <c:pt idx="2">
                  <c:v>March</c:v>
                </c:pt>
              </c:strCache>
            </c:strRef>
          </c:tx>
          <c:spPr>
            <a:solidFill>
              <a:schemeClr val="accent4">
                <a:lumMod val="60000"/>
              </a:schemeClr>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SOLUTIONS'!$G$87:$H$87</c:f>
              <c:numCache>
                <c:formatCode>General</c:formatCode>
                <c:ptCount val="2"/>
                <c:pt idx="0" formatCode="0.00">
                  <c:v>175.32307692307691</c:v>
                </c:pt>
                <c:pt idx="1">
                  <c:v>-1.2007455893190162</c:v>
                </c:pt>
              </c:numCache>
            </c:numRef>
          </c:val>
          <c:extLst>
            <c:ext xmlns:c16="http://schemas.microsoft.com/office/drawing/2014/chart" uri="{C3380CC4-5D6E-409C-BE32-E72D297353CC}">
              <c16:uniqueId val="{00000009-DAAA-4EC3-BB29-914F5706D65F}"/>
            </c:ext>
          </c:extLst>
        </c:ser>
        <c:ser>
          <c:idx val="10"/>
          <c:order val="10"/>
          <c:tx>
            <c:strRef>
              <c:f>'PROBLEM_STATEMENT3 SOLUTIONS'!$D$88:$F$88</c:f>
              <c:strCache>
                <c:ptCount val="3"/>
                <c:pt idx="0">
                  <c:v>Rural+Urban</c:v>
                </c:pt>
                <c:pt idx="1">
                  <c:v>2023</c:v>
                </c:pt>
                <c:pt idx="2">
                  <c:v>January</c:v>
                </c:pt>
              </c:strCache>
            </c:strRef>
          </c:tx>
          <c:spPr>
            <a:solidFill>
              <a:schemeClr val="accent5">
                <a:lumMod val="60000"/>
              </a:schemeClr>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SOLUTIONS'!$G$88:$H$88</c:f>
              <c:numCache>
                <c:formatCode>General</c:formatCode>
                <c:ptCount val="2"/>
                <c:pt idx="0" formatCode="0.00">
                  <c:v>176.36153846153846</c:v>
                </c:pt>
                <c:pt idx="1">
                  <c:v>0.59231309231309726</c:v>
                </c:pt>
              </c:numCache>
            </c:numRef>
          </c:val>
          <c:extLst>
            <c:ext xmlns:c16="http://schemas.microsoft.com/office/drawing/2014/chart" uri="{C3380CC4-5D6E-409C-BE32-E72D297353CC}">
              <c16:uniqueId val="{0000000A-DAAA-4EC3-BB29-914F5706D65F}"/>
            </c:ext>
          </c:extLst>
        </c:ser>
        <c:ser>
          <c:idx val="11"/>
          <c:order val="11"/>
          <c:tx>
            <c:strRef>
              <c:f>'PROBLEM_STATEMENT3 SOLUTIONS'!$D$89:$F$89</c:f>
              <c:strCache>
                <c:ptCount val="3"/>
                <c:pt idx="0">
                  <c:v>Rural+Urban</c:v>
                </c:pt>
                <c:pt idx="1">
                  <c:v>2023</c:v>
                </c:pt>
                <c:pt idx="2">
                  <c:v>February</c:v>
                </c:pt>
              </c:strCache>
            </c:strRef>
          </c:tx>
          <c:spPr>
            <a:solidFill>
              <a:schemeClr val="accent6">
                <a:lumMod val="60000"/>
              </a:schemeClr>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SOLUTIONS'!$G$89:$H$89</c:f>
              <c:numCache>
                <c:formatCode>General</c:formatCode>
                <c:ptCount val="2"/>
                <c:pt idx="0" formatCode="0.00">
                  <c:v>175.3153846153846</c:v>
                </c:pt>
                <c:pt idx="1">
                  <c:v>-0.59318707201117182</c:v>
                </c:pt>
              </c:numCache>
            </c:numRef>
          </c:val>
          <c:extLst>
            <c:ext xmlns:c16="http://schemas.microsoft.com/office/drawing/2014/chart" uri="{C3380CC4-5D6E-409C-BE32-E72D297353CC}">
              <c16:uniqueId val="{0000000B-DAAA-4EC3-BB29-914F5706D65F}"/>
            </c:ext>
          </c:extLst>
        </c:ser>
        <c:ser>
          <c:idx val="12"/>
          <c:order val="12"/>
          <c:tx>
            <c:strRef>
              <c:f>'PROBLEM_STATEMENT3 SOLUTIONS'!$D$90:$F$90</c:f>
              <c:strCache>
                <c:ptCount val="3"/>
                <c:pt idx="0">
                  <c:v>Rural+Urban</c:v>
                </c:pt>
                <c:pt idx="1">
                  <c:v>2023</c:v>
                </c:pt>
                <c:pt idx="2">
                  <c:v>April</c:v>
                </c:pt>
              </c:strCache>
            </c:strRef>
          </c:tx>
          <c:spPr>
            <a:solidFill>
              <a:schemeClr val="accent1">
                <a:lumMod val="80000"/>
                <a:lumOff val="20000"/>
              </a:schemeClr>
            </a:solidFill>
            <a:ln>
              <a:noFill/>
            </a:ln>
            <a:effectLst/>
          </c:spPr>
          <c:invertIfNegative val="0"/>
          <c:cat>
            <c:strRef>
              <c:f>'PROBLEM_STATEMENT3 SOLUTIONS'!$G$77:$H$77</c:f>
              <c:strCache>
                <c:ptCount val="2"/>
                <c:pt idx="0">
                  <c:v>Food</c:v>
                </c:pt>
                <c:pt idx="1">
                  <c:v>INFLATION RISE PER MONTH WISE </c:v>
                </c:pt>
              </c:strCache>
            </c:strRef>
          </c:cat>
          <c:val>
            <c:numRef>
              <c:f>'PROBLEM_STATEMENT3 SOLUTIONS'!$G$90:$H$90</c:f>
              <c:numCache>
                <c:formatCode>General</c:formatCode>
                <c:ptCount val="2"/>
                <c:pt idx="0" formatCode="0.00">
                  <c:v>176.12307692307695</c:v>
                </c:pt>
                <c:pt idx="1">
                  <c:v>0.46070817427934457</c:v>
                </c:pt>
              </c:numCache>
            </c:numRef>
          </c:val>
          <c:extLst>
            <c:ext xmlns:c16="http://schemas.microsoft.com/office/drawing/2014/chart" uri="{C3380CC4-5D6E-409C-BE32-E72D297353CC}">
              <c16:uniqueId val="{0000000C-DAAA-4EC3-BB29-914F5706D65F}"/>
            </c:ext>
          </c:extLst>
        </c:ser>
        <c:dLbls>
          <c:showLegendKey val="0"/>
          <c:showVal val="0"/>
          <c:showCatName val="0"/>
          <c:showSerName val="0"/>
          <c:showPercent val="0"/>
          <c:showBubbleSize val="0"/>
        </c:dLbls>
        <c:gapWidth val="219"/>
        <c:overlap val="-27"/>
        <c:axId val="440731936"/>
        <c:axId val="440732896"/>
      </c:barChart>
      <c:catAx>
        <c:axId val="44073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32896"/>
        <c:crosses val="autoZero"/>
        <c:auto val="1"/>
        <c:lblAlgn val="ctr"/>
        <c:lblOffset val="100"/>
        <c:noMultiLvlLbl val="0"/>
      </c:catAx>
      <c:valAx>
        <c:axId val="440732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31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a:glow rad="127000">
        <a:schemeClr val="accent6">
          <a:lumMod val="40000"/>
          <a:lumOff val="60000"/>
        </a:schemeClr>
      </a:glo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[Project_CPI_Inflation.xlsx]PROBLEM STATEMENT-SOLUTIONS-4!PivotTable7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STATEMENT-SOLUTIONS-4'!$E$20</c:f>
              <c:strCache>
                <c:ptCount val="1"/>
                <c:pt idx="0">
                  <c:v>Average of Food</c:v>
                </c:pt>
              </c:strCache>
            </c:strRef>
          </c:tx>
          <c:spPr>
            <a:solidFill>
              <a:schemeClr val="accent1"/>
            </a:solidFill>
            <a:ln>
              <a:noFill/>
            </a:ln>
            <a:effectLst/>
          </c:spPr>
          <c:invertIfNegative val="0"/>
          <c:cat>
            <c:strRef>
              <c:f>'PROBLEM STATEMENT-SOLUTIONS-4'!$D$21:$D$27</c:f>
              <c:strCache>
                <c:ptCount val="6"/>
                <c:pt idx="0">
                  <c:v>2017</c:v>
                </c:pt>
                <c:pt idx="1">
                  <c:v>2018</c:v>
                </c:pt>
                <c:pt idx="2">
                  <c:v>2019</c:v>
                </c:pt>
                <c:pt idx="3">
                  <c:v>2020</c:v>
                </c:pt>
                <c:pt idx="4">
                  <c:v>2021</c:v>
                </c:pt>
                <c:pt idx="5">
                  <c:v>2022</c:v>
                </c:pt>
              </c:strCache>
            </c:strRef>
          </c:cat>
          <c:val>
            <c:numRef>
              <c:f>'PROBLEM STATEMENT-SOLUTIONS-4'!$E$21:$E$27</c:f>
              <c:numCache>
                <c:formatCode>0.00</c:formatCode>
                <c:ptCount val="6"/>
                <c:pt idx="0">
                  <c:v>134.84123931623935</c:v>
                </c:pt>
                <c:pt idx="1">
                  <c:v>136.09294871794873</c:v>
                </c:pt>
                <c:pt idx="2">
                  <c:v>141.16503496503495</c:v>
                </c:pt>
                <c:pt idx="3">
                  <c:v>151.8882211538461</c:v>
                </c:pt>
                <c:pt idx="4">
                  <c:v>163.33739316239314</c:v>
                </c:pt>
                <c:pt idx="5">
                  <c:v>172.81837606837604</c:v>
                </c:pt>
              </c:numCache>
            </c:numRef>
          </c:val>
          <c:extLst>
            <c:ext xmlns:c16="http://schemas.microsoft.com/office/drawing/2014/chart" uri="{C3380CC4-5D6E-409C-BE32-E72D297353CC}">
              <c16:uniqueId val="{00000000-81CB-45F7-9B7B-B15A61160148}"/>
            </c:ext>
          </c:extLst>
        </c:ser>
        <c:ser>
          <c:idx val="1"/>
          <c:order val="1"/>
          <c:tx>
            <c:strRef>
              <c:f>'PROBLEM STATEMENT-SOLUTIONS-4'!$F$20</c:f>
              <c:strCache>
                <c:ptCount val="1"/>
                <c:pt idx="0">
                  <c:v>Average of Healthcare</c:v>
                </c:pt>
              </c:strCache>
            </c:strRef>
          </c:tx>
          <c:spPr>
            <a:solidFill>
              <a:schemeClr val="accent2"/>
            </a:solidFill>
            <a:ln>
              <a:noFill/>
            </a:ln>
            <a:effectLst/>
          </c:spPr>
          <c:invertIfNegative val="0"/>
          <c:cat>
            <c:strRef>
              <c:f>'PROBLEM STATEMENT-SOLUTIONS-4'!$D$21:$D$27</c:f>
              <c:strCache>
                <c:ptCount val="6"/>
                <c:pt idx="0">
                  <c:v>2017</c:v>
                </c:pt>
                <c:pt idx="1">
                  <c:v>2018</c:v>
                </c:pt>
                <c:pt idx="2">
                  <c:v>2019</c:v>
                </c:pt>
                <c:pt idx="3">
                  <c:v>2020</c:v>
                </c:pt>
                <c:pt idx="4">
                  <c:v>2021</c:v>
                </c:pt>
                <c:pt idx="5">
                  <c:v>2022</c:v>
                </c:pt>
              </c:strCache>
            </c:strRef>
          </c:cat>
          <c:val>
            <c:numRef>
              <c:f>'PROBLEM STATEMENT-SOLUTIONS-4'!$F$21:$F$27</c:f>
              <c:numCache>
                <c:formatCode>0.00</c:formatCode>
                <c:ptCount val="6"/>
                <c:pt idx="0">
                  <c:v>128.93888888888893</c:v>
                </c:pt>
                <c:pt idx="1">
                  <c:v>137.00555555555559</c:v>
                </c:pt>
                <c:pt idx="2">
                  <c:v>146.92424242424241</c:v>
                </c:pt>
                <c:pt idx="3">
                  <c:v>153.12857510288066</c:v>
                </c:pt>
                <c:pt idx="4">
                  <c:v>165.13333333333338</c:v>
                </c:pt>
                <c:pt idx="5">
                  <c:v>175.35277777777776</c:v>
                </c:pt>
              </c:numCache>
            </c:numRef>
          </c:val>
          <c:extLst>
            <c:ext xmlns:c16="http://schemas.microsoft.com/office/drawing/2014/chart" uri="{C3380CC4-5D6E-409C-BE32-E72D297353CC}">
              <c16:uniqueId val="{00000001-81CB-45F7-9B7B-B15A61160148}"/>
            </c:ext>
          </c:extLst>
        </c:ser>
        <c:ser>
          <c:idx val="2"/>
          <c:order val="2"/>
          <c:tx>
            <c:strRef>
              <c:f>'PROBLEM STATEMENT-SOLUTIONS-4'!$G$20</c:f>
              <c:strCache>
                <c:ptCount val="1"/>
                <c:pt idx="0">
                  <c:v>Average of Housing </c:v>
                </c:pt>
              </c:strCache>
            </c:strRef>
          </c:tx>
          <c:spPr>
            <a:solidFill>
              <a:schemeClr val="accent3"/>
            </a:solidFill>
            <a:ln>
              <a:noFill/>
            </a:ln>
            <a:effectLst/>
          </c:spPr>
          <c:invertIfNegative val="0"/>
          <c:cat>
            <c:strRef>
              <c:f>'PROBLEM STATEMENT-SOLUTIONS-4'!$D$21:$D$27</c:f>
              <c:strCache>
                <c:ptCount val="6"/>
                <c:pt idx="0">
                  <c:v>2017</c:v>
                </c:pt>
                <c:pt idx="1">
                  <c:v>2018</c:v>
                </c:pt>
                <c:pt idx="2">
                  <c:v>2019</c:v>
                </c:pt>
                <c:pt idx="3">
                  <c:v>2020</c:v>
                </c:pt>
                <c:pt idx="4">
                  <c:v>2021</c:v>
                </c:pt>
                <c:pt idx="5">
                  <c:v>2022</c:v>
                </c:pt>
              </c:strCache>
            </c:strRef>
          </c:cat>
          <c:val>
            <c:numRef>
              <c:f>'PROBLEM STATEMENT-SOLUTIONS-4'!$G$21:$G$27</c:f>
              <c:numCache>
                <c:formatCode>0.00</c:formatCode>
                <c:ptCount val="6"/>
                <c:pt idx="0">
                  <c:v>132.68472222222223</c:v>
                </c:pt>
                <c:pt idx="1">
                  <c:v>140.97222222222226</c:v>
                </c:pt>
                <c:pt idx="2">
                  <c:v>147.14621212121213</c:v>
                </c:pt>
                <c:pt idx="3">
                  <c:v>150.72373971193417</c:v>
                </c:pt>
                <c:pt idx="4">
                  <c:v>157.81666666666666</c:v>
                </c:pt>
                <c:pt idx="5">
                  <c:v>166.99444444444444</c:v>
                </c:pt>
              </c:numCache>
            </c:numRef>
          </c:val>
          <c:extLst>
            <c:ext xmlns:c16="http://schemas.microsoft.com/office/drawing/2014/chart" uri="{C3380CC4-5D6E-409C-BE32-E72D297353CC}">
              <c16:uniqueId val="{00000002-81CB-45F7-9B7B-B15A61160148}"/>
            </c:ext>
          </c:extLst>
        </c:ser>
        <c:dLbls>
          <c:showLegendKey val="0"/>
          <c:showVal val="0"/>
          <c:showCatName val="0"/>
          <c:showSerName val="0"/>
          <c:showPercent val="0"/>
          <c:showBubbleSize val="0"/>
        </c:dLbls>
        <c:gapWidth val="219"/>
        <c:overlap val="-27"/>
        <c:axId val="109276879"/>
        <c:axId val="109277839"/>
      </c:barChart>
      <c:catAx>
        <c:axId val="10927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77839"/>
        <c:crosses val="autoZero"/>
        <c:auto val="1"/>
        <c:lblAlgn val="ctr"/>
        <c:lblOffset val="100"/>
        <c:noMultiLvlLbl val="0"/>
      </c:catAx>
      <c:valAx>
        <c:axId val="109277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76879"/>
        <c:crosses val="autoZero"/>
        <c:crossBetween val="between"/>
      </c:valAx>
      <c:spPr>
        <a:noFill/>
        <a:ln>
          <a:noFill/>
        </a:ln>
        <a:effectLst>
          <a:glow rad="63500">
            <a:schemeClr val="accent4">
              <a:lumMod val="20000"/>
              <a:lumOff val="80000"/>
              <a:alpha val="40000"/>
            </a:schemeClr>
          </a:glow>
          <a:outerShdw blurRad="50800" dist="25400" dir="2700000" algn="tl" rotWithShape="0">
            <a:schemeClr val="tx1">
              <a:alpha val="4000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rgbClr val="00B050"/>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723900</xdr:colOff>
      <xdr:row>36</xdr:row>
      <xdr:rowOff>0</xdr:rowOff>
    </xdr:from>
    <xdr:to>
      <xdr:col>10</xdr:col>
      <xdr:colOff>0</xdr:colOff>
      <xdr:row>51</xdr:row>
      <xdr:rowOff>0</xdr:rowOff>
    </xdr:to>
    <xdr:graphicFrame macro="">
      <xdr:nvGraphicFramePr>
        <xdr:cNvPr id="4" name="Chart 3">
          <a:extLst>
            <a:ext uri="{FF2B5EF4-FFF2-40B4-BE49-F238E27FC236}">
              <a16:creationId xmlns:a16="http://schemas.microsoft.com/office/drawing/2014/main" id="{FCA38853-1E91-4BC3-CAC9-0F5406507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35</xdr:row>
      <xdr:rowOff>133350</xdr:rowOff>
    </xdr:from>
    <xdr:to>
      <xdr:col>10</xdr:col>
      <xdr:colOff>0</xdr:colOff>
      <xdr:row>50</xdr:row>
      <xdr:rowOff>133350</xdr:rowOff>
    </xdr:to>
    <xdr:graphicFrame macro="">
      <xdr:nvGraphicFramePr>
        <xdr:cNvPr id="5" name="Chart 4">
          <a:extLst>
            <a:ext uri="{FF2B5EF4-FFF2-40B4-BE49-F238E27FC236}">
              <a16:creationId xmlns:a16="http://schemas.microsoft.com/office/drawing/2014/main" id="{D3BB7D46-1743-32AC-0156-CC043FA5F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DF25FC5-5151-A522-13C5-E3FCBC280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297180</xdr:colOff>
      <xdr:row>2</xdr:row>
      <xdr:rowOff>129540</xdr:rowOff>
    </xdr:from>
    <xdr:to>
      <xdr:col>15</xdr:col>
      <xdr:colOff>590550</xdr:colOff>
      <xdr:row>16</xdr:row>
      <xdr:rowOff>0</xdr:rowOff>
    </xdr:to>
    <mc:AlternateContent xmlns:mc="http://schemas.openxmlformats.org/markup-compatibility/2006" xmlns:a14="http://schemas.microsoft.com/office/drawing/2010/main">
      <mc:Choice Requires="a14">
        <xdr:graphicFrame macro="">
          <xdr:nvGraphicFramePr>
            <xdr:cNvPr id="4" name="List of Categories">
              <a:extLst>
                <a:ext uri="{FF2B5EF4-FFF2-40B4-BE49-F238E27FC236}">
                  <a16:creationId xmlns:a16="http://schemas.microsoft.com/office/drawing/2014/main" id="{B5A6B664-7A15-8109-BC27-884CB2DE81C4}"/>
                </a:ext>
              </a:extLst>
            </xdr:cNvPr>
            <xdr:cNvGraphicFramePr/>
          </xdr:nvGraphicFramePr>
          <xdr:xfrm>
            <a:off x="0" y="0"/>
            <a:ext cx="0" cy="0"/>
          </xdr:xfrm>
          <a:graphic>
            <a:graphicData uri="http://schemas.microsoft.com/office/drawing/2010/slicer">
              <sle:slicer xmlns:sle="http://schemas.microsoft.com/office/drawing/2010/slicer" name="List of Categories"/>
            </a:graphicData>
          </a:graphic>
        </xdr:graphicFrame>
      </mc:Choice>
      <mc:Fallback xmlns="">
        <xdr:sp macro="" textlink="">
          <xdr:nvSpPr>
            <xdr:cNvPr id="0" name=""/>
            <xdr:cNvSpPr>
              <a:spLocks noTextEdit="1"/>
            </xdr:cNvSpPr>
          </xdr:nvSpPr>
          <xdr:spPr>
            <a:xfrm>
              <a:off x="7002780" y="495300"/>
              <a:ext cx="2731770" cy="2430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297180</xdr:colOff>
      <xdr:row>2</xdr:row>
      <xdr:rowOff>121921</xdr:rowOff>
    </xdr:from>
    <xdr:to>
      <xdr:col>11</xdr:col>
      <xdr:colOff>30480</xdr:colOff>
      <xdr:row>15</xdr:row>
      <xdr:rowOff>177052</xdr:rowOff>
    </xdr:to>
    <mc:AlternateContent xmlns:mc="http://schemas.openxmlformats.org/markup-compatibility/2006" xmlns:a14="http://schemas.microsoft.com/office/drawing/2010/main">
      <mc:Choice Requires="a14">
        <xdr:graphicFrame macro="">
          <xdr:nvGraphicFramePr>
            <xdr:cNvPr id="3" name="Calculate Each Price Index Category Percentage Value ">
              <a:extLst>
                <a:ext uri="{FF2B5EF4-FFF2-40B4-BE49-F238E27FC236}">
                  <a16:creationId xmlns:a16="http://schemas.microsoft.com/office/drawing/2014/main" id="{402E38F7-407E-8332-0C4B-9D678D165934}"/>
                </a:ext>
              </a:extLst>
            </xdr:cNvPr>
            <xdr:cNvGraphicFramePr/>
          </xdr:nvGraphicFramePr>
          <xdr:xfrm>
            <a:off x="0" y="0"/>
            <a:ext cx="0" cy="0"/>
          </xdr:xfrm>
          <a:graphic>
            <a:graphicData uri="http://schemas.microsoft.com/office/drawing/2010/slicer">
              <sle:slicer xmlns:sle="http://schemas.microsoft.com/office/drawing/2010/slicer" name="Calculate Each Price Index Category Percentage Value "/>
            </a:graphicData>
          </a:graphic>
        </xdr:graphicFrame>
      </mc:Choice>
      <mc:Fallback xmlns="">
        <xdr:sp macro="" textlink="">
          <xdr:nvSpPr>
            <xdr:cNvPr id="0" name=""/>
            <xdr:cNvSpPr>
              <a:spLocks noTextEdit="1"/>
            </xdr:cNvSpPr>
          </xdr:nvSpPr>
          <xdr:spPr>
            <a:xfrm>
              <a:off x="3954780" y="487681"/>
              <a:ext cx="2781300" cy="2432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152400</xdr:colOff>
      <xdr:row>38</xdr:row>
      <xdr:rowOff>41910</xdr:rowOff>
    </xdr:from>
    <xdr:to>
      <xdr:col>14</xdr:col>
      <xdr:colOff>457200</xdr:colOff>
      <xdr:row>53</xdr:row>
      <xdr:rowOff>41910</xdr:rowOff>
    </xdr:to>
    <xdr:graphicFrame macro="">
      <xdr:nvGraphicFramePr>
        <xdr:cNvPr id="11" name="Chart 10">
          <a:extLst>
            <a:ext uri="{FF2B5EF4-FFF2-40B4-BE49-F238E27FC236}">
              <a16:creationId xmlns:a16="http://schemas.microsoft.com/office/drawing/2014/main" id="{7A23AE69-EE39-E089-77E6-B7083920D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114300</xdr:colOff>
      <xdr:row>58</xdr:row>
      <xdr:rowOff>11430</xdr:rowOff>
    </xdr:from>
    <xdr:to>
      <xdr:col>19</xdr:col>
      <xdr:colOff>419100</xdr:colOff>
      <xdr:row>73</xdr:row>
      <xdr:rowOff>11430</xdr:rowOff>
    </xdr:to>
    <xdr:graphicFrame macro="">
      <xdr:nvGraphicFramePr>
        <xdr:cNvPr id="13" name="Chart 12">
          <a:extLst>
            <a:ext uri="{FF2B5EF4-FFF2-40B4-BE49-F238E27FC236}">
              <a16:creationId xmlns:a16="http://schemas.microsoft.com/office/drawing/2014/main" id="{A0FF2F9B-2195-7B3A-70EC-1BD76FA71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586740</xdr:colOff>
      <xdr:row>78</xdr:row>
      <xdr:rowOff>114300</xdr:rowOff>
    </xdr:from>
    <xdr:to>
      <xdr:col>19</xdr:col>
      <xdr:colOff>495300</xdr:colOff>
      <xdr:row>94</xdr:row>
      <xdr:rowOff>152400</xdr:rowOff>
    </xdr:to>
    <xdr:graphicFrame macro="">
      <xdr:nvGraphicFramePr>
        <xdr:cNvPr id="14" name="Chart 13">
          <a:extLst>
            <a:ext uri="{FF2B5EF4-FFF2-40B4-BE49-F238E27FC236}">
              <a16:creationId xmlns:a16="http://schemas.microsoft.com/office/drawing/2014/main" id="{51F2947E-807E-198C-27D3-44D1409D4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342900</xdr:colOff>
      <xdr:row>29</xdr:row>
      <xdr:rowOff>87630</xdr:rowOff>
    </xdr:from>
    <xdr:to>
      <xdr:col>8</xdr:col>
      <xdr:colOff>312420</xdr:colOff>
      <xdr:row>46</xdr:row>
      <xdr:rowOff>114300</xdr:rowOff>
    </xdr:to>
    <xdr:graphicFrame macro="">
      <xdr:nvGraphicFramePr>
        <xdr:cNvPr id="2" name="Chart 1">
          <a:extLst>
            <a:ext uri="{FF2B5EF4-FFF2-40B4-BE49-F238E27FC236}">
              <a16:creationId xmlns:a16="http://schemas.microsoft.com/office/drawing/2014/main" id="{0C62B8D8-E4B6-F139-BF9C-C11B9AD68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AYAAN BHAT" refreshedDate="46219.043148263889" createdVersion="8" refreshedVersion="8" minRefreshableVersion="3" recordCount="372" xr:uid="{A5929189-DC00-440E-947B-4CEB9E2822D2}">
  <cacheSource type="worksheet">
    <worksheetSource name="Table1"/>
  </cacheSource>
  <cacheFields count="33">
    <cacheField name="Sector" numFmtId="0">
      <sharedItems/>
    </cacheField>
    <cacheField name="Year" numFmtId="0">
      <sharedItems containsSemiMixedTypes="0" containsString="0" containsNumber="1" containsInteger="1" minValue="2013" maxValue="2023"/>
    </cacheField>
    <cacheField name="Month" numFmtId="0">
      <sharedItems count="14">
        <s v="September"/>
        <s v="August"/>
        <s v="December"/>
        <s v="February"/>
        <s v="October"/>
        <s v="January"/>
        <s v="July"/>
        <s v="June"/>
        <s v="November "/>
        <s v="November"/>
        <s v="March"/>
        <s v="May"/>
        <s v="April"/>
        <s v="Marcrh"/>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Food" numFmtId="2">
      <sharedItems containsSemiMixedTypes="0" containsString="0" containsNumber="1" minValue="105.5153846153846" maxValue="179.62307692307692" count="362">
        <n v="174.44615384615386"/>
        <n v="175.45384615384617"/>
        <n v="177.41538461538462"/>
        <n v="141.11538461538464"/>
        <n v="142.03846153846155"/>
        <n v="143.77692307692308"/>
        <n v="149.30769230769226"/>
        <n v="149.70000000000002"/>
        <n v="150.51538461538462"/>
        <n v="135.3692307692308"/>
        <n v="135.16153846153844"/>
        <n v="134.95384615384617"/>
        <n v="134.49230769230769"/>
        <n v="136.88461538461539"/>
        <n v="138.44615384615386"/>
        <n v="134.59230769230768"/>
        <n v="136.15384615384613"/>
        <n v="137.25384615384615"/>
        <n v="135.10769230769228"/>
        <n v="135.66923076923075"/>
        <n v="136.2076923076923"/>
        <n v="128.06153846153845"/>
        <n v="127.56153846153848"/>
        <n v="127.50769230769232"/>
        <n v="121.78461538461539"/>
        <n v="122.00769230769228"/>
        <n v="122.59230769230771"/>
        <n v="114.50000000000001"/>
        <n v="114.74615384615383"/>
        <n v="115.41538461538462"/>
        <n v="175.73076923076923"/>
        <n v="176.71538461538464"/>
        <n v="178.63846153846154"/>
        <n v="135.35384615384618"/>
        <n v="134.87692307692308"/>
        <n v="134.17692307692309"/>
        <n v="140.53076923076921"/>
        <n v="141.34615384615384"/>
        <n v="142.87692307692308"/>
        <n v="138.78461538461536"/>
        <n v="139.54615384615386"/>
        <n v="141.0230769230769"/>
        <n v="136.63076923076923"/>
        <n v="134.93076923076922"/>
        <n v="137.09230769230768"/>
        <n v="135.82307692307691"/>
        <n v="136.89999999999998"/>
        <n v="137.76153846153846"/>
        <n v="135.6076923076923"/>
        <n v="135.90769230769226"/>
        <n v="136.2923076923077"/>
        <n v="130.21538461538464"/>
        <n v="129.15384615384613"/>
        <n v="128.8153846153846"/>
        <n v="121.63076923076922"/>
        <n v="121.74615384615385"/>
        <n v="122.11538461538461"/>
        <n v="116"/>
        <n v="116.16923076923079"/>
        <n v="116.7076923076923"/>
        <n v="118.21538461538461"/>
        <n v="175.97692307692307"/>
        <n v="176.67692307692309"/>
        <n v="178.03076923076924"/>
        <n v="135.4769230769231"/>
        <n v="136.03076923076924"/>
        <n v="137.0846153846154"/>
        <n v="137.83846153846156"/>
        <n v="139.34615384615387"/>
        <n v="146.50769230769231"/>
        <n v="146.99230769230769"/>
        <n v="147.99999999999997"/>
        <n v="137.49999999999997"/>
        <n v="136.59230769230771"/>
        <n v="135.19230769230768"/>
        <n v="138.2076923076923"/>
        <n v="139.09230769230768"/>
        <n v="139.82307692307694"/>
        <n v="135.01538461538462"/>
        <n v="135.36923076923077"/>
        <n v="135.73846153846154"/>
        <n v="131.42307692307691"/>
        <n v="130.16153846153844"/>
        <n v="129.71538461538461"/>
        <n v="121.69230769230769"/>
        <n v="122.13846153846154"/>
        <n v="118.36923076923077"/>
        <n v="118.8153846153846"/>
        <n v="176.20769230769235"/>
        <n v="177.45384615384617"/>
        <n v="179.62307692307692"/>
        <n v="171.2923076923077"/>
        <n v="172.22307692307697"/>
        <n v="174.01538461538465"/>
        <n v="144.37692307692305"/>
        <n v="145.04615384615383"/>
        <n v="146.35384615384618"/>
        <n v="142.2076923076923"/>
        <n v="142.89999999999998"/>
        <n v="144.22307692307692"/>
        <n v="147.06153846153848"/>
        <n v="147.72307692307692"/>
        <n v="148.76923076923077"/>
        <n v="132.53076923076921"/>
        <n v="137.1076923076923"/>
        <n v="131.50769230769231"/>
        <n v="132.27692307692308"/>
        <n v="132.88461538461536"/>
        <n v="134.36923076923074"/>
        <n v="133.1076923076923"/>
        <n v="132.59230769230768"/>
        <n v="122.13076923076923"/>
        <n v="122.33846153846154"/>
        <n v="122.9923076923077"/>
        <n v="116.45384615384614"/>
        <n v="116.80769230769235"/>
        <n v="117.33076923076925"/>
        <n v="107.23076923076923"/>
        <n v="107.86153846153844"/>
        <n v="109.0153846153846"/>
        <n v="114.48461538461537"/>
        <n v="174.2923076923077"/>
        <n v="175.32307692307691"/>
        <n v="177.1846153846154"/>
        <n v="167.62307692307695"/>
        <n v="168.01538461538465"/>
        <n v="168.94615384615386"/>
        <n v="152.19999999999999"/>
        <n v="153.47692307692307"/>
        <n v="155.76153846153846"/>
        <n v="161.57692307692307"/>
        <n v="162.23846153846154"/>
        <n v="163.49230769230769"/>
        <n v="146.90769230769229"/>
        <n v="147.04615384615383"/>
        <n v="147.43076923076922"/>
        <n v="131.96153846153845"/>
        <n v="135.07692307692307"/>
        <n v="137.07692307692307"/>
        <n v="131.2076923076923"/>
        <n v="132.22307692307692"/>
        <n v="132.96153846153848"/>
        <n v="128.27692307692308"/>
        <n v="128.86153846153846"/>
        <n v="129.43846153846155"/>
        <n v="120.88461538461539"/>
        <n v="120.69999999999999"/>
        <n v="120.61538461538463"/>
        <n v="114.72307692307693"/>
        <n v="114.07692307692308"/>
        <n v="106.32307692307693"/>
        <n v="106.46153846153848"/>
        <n v="106.67692307692307"/>
        <n v="172.94615384615386"/>
        <n v="173.99230769230769"/>
        <n v="175.96153846153845"/>
        <n v="149.12307692307692"/>
        <n v="149.26153846153846"/>
        <n v="149.64615384615382"/>
        <n v="150.07692307692307"/>
        <n v="151.2923076923077"/>
        <n v="153.46153846153845"/>
        <n v="134.40769230769232"/>
        <n v="136.46923076923079"/>
        <n v="137.71538461538461"/>
        <n v="133.15384615384616"/>
        <n v="133.43846153846155"/>
        <n v="133.75384615384615"/>
        <n v="137.46153846153848"/>
        <n v="135.43076923076922"/>
        <n v="134.50769230769231"/>
        <n v="125.89230769230768"/>
        <n v="124.88461538461539"/>
        <n v="124.45384615384614"/>
        <n v="117.36153846153844"/>
        <n v="117.9769230769231"/>
        <n v="119"/>
        <n v="109.23076923076923"/>
        <n v="110.46153846153847"/>
        <n v="112.66153846153847"/>
        <n v="173.26923076923077"/>
        <n v="174.33076923076925"/>
        <n v="176.27692307692308"/>
        <n v="145.73846153846151"/>
        <n v="145.80000000000001"/>
        <n v="146.03846153846155"/>
        <n v="138.61153846153846"/>
        <n v="138.9826923076923"/>
        <n v="138.78173076923079"/>
        <n v="160.1846153846154"/>
        <n v="161.19999999999999"/>
        <n v="163.1307692307692"/>
        <n v="136.23846153846154"/>
        <n v="138.1"/>
        <n v="139.26923076923077"/>
        <n v="136.00769230769231"/>
        <n v="136.1076923076923"/>
        <n v="136.37692307692308"/>
        <n v="137.19230769230768"/>
        <n v="136.17692307692306"/>
        <n v="126.37692307692306"/>
        <n v="125.43076923076924"/>
        <n v="125.02307692307691"/>
        <n v="120.24615384615385"/>
        <n v="121.25384615384615"/>
        <n v="123.03846153846153"/>
        <n v="111.22307692307689"/>
        <n v="112.41538461538461"/>
        <n v="114.56923076923077"/>
        <n v="177.70769230769233"/>
        <n v="176.36153846153846"/>
        <n v="175.63076923076926"/>
        <n v="165.61538461538461"/>
        <n v="166.47692307692307"/>
        <n v="168.2076923076923"/>
        <n v="156.22307692307692"/>
        <n v="157.5846153846154"/>
        <n v="160.01538461538459"/>
        <n v="152.87692307692308"/>
        <n v="154.38461538461539"/>
        <n v="157.04615384615386"/>
        <n v="157.65384615384616"/>
        <n v="158.77692307692308"/>
        <n v="160.73846153846154"/>
        <n v="134.48461538461541"/>
        <n v="136.91538461538462"/>
        <n v="138.51538461538462"/>
        <n v="131.78461538461539"/>
        <n v="132.86923076923074"/>
        <n v="133.63846153846154"/>
        <n v="130.87692307692308"/>
        <n v="130.13076923076923"/>
        <n v="130.00769230769231"/>
        <n v="120.62307692307692"/>
        <n v="120.71538461538461"/>
        <n v="121.14615384615384"/>
        <n v="114.35384615384616"/>
        <n v="114.29230769230767"/>
        <n v="114.17692307692307"/>
        <n v="105.5153846153846"/>
        <n v="105.63846153846156"/>
        <n v="105.87692307692308"/>
        <n v="174.28461538461536"/>
        <n v="175.3153846153846"/>
        <n v="177.16923076923075"/>
        <n v="165.41538461538462"/>
        <n v="166.24615384615387"/>
        <n v="167.96153846153845"/>
        <n v="163.90769230769232"/>
        <n v="164.76923076923077"/>
        <n v="165.99230769230769"/>
        <n v="166.78461538461536"/>
        <n v="167.76153846153846"/>
        <n v="169.71538461538464"/>
        <n v="155.7923076923077"/>
        <n v="156.8692307692308"/>
        <n v="158.92307692307693"/>
        <n v="132.91538461538462"/>
        <n v="135.4153846153846"/>
        <n v="137.03846153846155"/>
        <n v="131.17692307692309"/>
        <n v="132.48461538461541"/>
        <n v="133.42307692307693"/>
        <n v="128.93076923076922"/>
        <n v="129.08461538461538"/>
        <n v="129.43076923076922"/>
        <n v="120.81538461538459"/>
        <n v="120.72307692307689"/>
        <n v="120.85384615384616"/>
        <n v="114.01538461538462"/>
        <n v="113.85384615384615"/>
        <n v="113.53846153846153"/>
        <n v="106.18461538461537"/>
        <n v="106.47692307692309"/>
        <n v="106.96923076923078"/>
        <n v="175.16153846153844"/>
        <n v="175.64615384615385"/>
        <n v="176.59999999999997"/>
        <n v="158.89999999999998"/>
        <n v="159.73076923076923"/>
        <n v="161.30769230769232"/>
        <n v="164.03076923076924"/>
        <n v="165.15384615384616"/>
        <n v="167.06153846153848"/>
        <n v="163.27692307692308"/>
        <n v="164.14615384615385"/>
        <n v="165.7076923076923"/>
        <n v="136.3923076923077"/>
        <n v="135.59999999999997"/>
        <n v="134.35384615384615"/>
        <n v="135.96153846153845"/>
        <n v="138.07692307692307"/>
        <n v="139.50769230769231"/>
        <n v="133.06153846153845"/>
        <n v="133.9"/>
        <n v="134.54615384615383"/>
        <n v="130.67692307692306"/>
        <n v="129.70000000000002"/>
        <n v="129.40769230769232"/>
        <n v="120.73846153846154"/>
        <n v="120.89999999999999"/>
        <n v="121.32307692307691"/>
        <n v="116.07692307692308"/>
        <n v="115.94615384615386"/>
        <n v="115.72307692307693"/>
        <n v="173.5230769230769"/>
        <n v="174.55384615384617"/>
        <n v="176.43846153846152"/>
        <n v="155.82307692307694"/>
        <n v="156.87692307692308"/>
        <n v="158.80769230769226"/>
        <n v="161.17692307692306"/>
        <n v="161.9769230769231"/>
        <n v="163.43846153846155"/>
        <n v="167.84615384615384"/>
        <n v="168.77692307692308"/>
        <n v="170.60769230769228"/>
        <n v="135.96923076923076"/>
        <n v="138.36153846153849"/>
        <n v="139.90769230769232"/>
        <n v="136.38461538461536"/>
        <n v="137.21538461538461"/>
        <n v="137.88461538461536"/>
        <n v="137.2307692307692"/>
        <n v="136.76153846153846"/>
        <n v="136.73076923076923"/>
        <n v="127.6076923076923"/>
        <n v="126.89230769230768"/>
        <n v="126.66153846153846"/>
        <n v="121.71538461538459"/>
        <n v="122.65384615384613"/>
        <n v="124.38461538461539"/>
        <n v="112.5"/>
        <n v="113.64615384615385"/>
        <n v="115.85384615384616"/>
        <n v="174.93846153846152"/>
        <n v="176.12307692307695"/>
        <n v="178.28461538461539"/>
        <n v="169.73846153846154"/>
        <n v="170.33076923076925"/>
        <n v="171.56923076923078"/>
        <n v="167.34615384615384"/>
        <n v="169.10769230769236"/>
        <n v="164.12307692307692"/>
        <n v="132.30769230769232"/>
        <n v="135.16153846153847"/>
        <n v="136.92307692307693"/>
        <n v="131.3923076923077"/>
        <n v="132.1846153846154"/>
        <n v="132.7923076923077"/>
        <n v="131.25384615384615"/>
        <n v="130.86923076923077"/>
        <n v="130.89230769230772"/>
        <n v="121.32307692307693"/>
        <n v="121.20769230769231"/>
        <n v="121.23846153846154"/>
        <n v="115.70000000000002"/>
        <n v="115.69999999999999"/>
        <n v="115.69230769230771"/>
        <n v="106.6"/>
        <n v="106.93846153846154"/>
        <n v="107.5153846153846"/>
      </sharedItems>
    </cacheField>
    <cacheField name="Energy/Fuel" numFmtId="2">
      <sharedItems containsSemiMixedTypes="0" containsString="0" containsNumber="1" minValue="105.4" maxValue="183.4" count="276">
        <n v="179.7"/>
        <n v="179.5"/>
        <n v="179.2"/>
        <n v="146.4"/>
        <n v="138.5"/>
        <n v="125.5"/>
        <n v="149.9"/>
        <n v="143.69999999999999"/>
        <n v="133.6"/>
        <n v="145.30000000000001"/>
        <n v="138.4"/>
        <n v="127.1"/>
        <n v="131.19999999999999"/>
        <n v="142.30000000000001"/>
        <n v="149"/>
        <n v="120.6"/>
        <n v="131"/>
        <n v="137.4"/>
        <n v="114.8"/>
        <n v="124.1"/>
        <n v="129.69999999999999"/>
        <n v="115.1"/>
        <n v="120.4"/>
        <n v="123.7"/>
        <n v="115.8"/>
        <n v="114.3"/>
        <n v="111.8"/>
        <n v="111.1"/>
        <n v="110.5"/>
        <n v="109.5"/>
        <n v="180.8"/>
        <n v="180.5"/>
        <n v="180"/>
        <n v="146.19999999999999"/>
        <n v="139.5"/>
        <n v="128.6"/>
        <n v="146.80000000000001"/>
        <n v="139.30000000000001"/>
        <n v="127"/>
        <n v="147.80000000000001"/>
        <n v="141.19999999999999"/>
        <n v="130.5"/>
        <n v="133.4"/>
        <n v="149.69999999999999"/>
        <n v="122.6"/>
        <n v="132.19999999999999"/>
        <n v="138.1"/>
        <n v="115.2"/>
        <n v="124.3"/>
        <n v="129.80000000000001"/>
        <n v="114.9"/>
        <n v="120.8"/>
        <n v="124.4"/>
        <n v="116.4"/>
        <n v="114.7"/>
        <n v="112"/>
        <n v="111.6"/>
        <n v="110.9"/>
        <n v="109.7"/>
        <n v="112.6"/>
        <n v="181.9"/>
        <n v="181.3"/>
        <n v="180.3"/>
        <n v="139.69999999999999"/>
        <n v="128.80000000000001"/>
        <n v="146.9"/>
        <n v="140.30000000000001"/>
        <n v="129.4"/>
        <n v="148.4"/>
        <n v="150.30000000000001"/>
        <n v="145.1"/>
        <n v="136.69999999999999"/>
        <n v="125.7"/>
        <n v="135.30000000000001"/>
        <n v="141.1"/>
        <n v="116.2"/>
        <n v="125"/>
        <n v="130.30000000000001"/>
        <n v="121.6"/>
        <n v="125.6"/>
        <n v="117.3"/>
        <n v="115.5"/>
        <n v="110"/>
        <n v="182.5"/>
        <n v="182.8"/>
        <n v="183.4"/>
        <n v="175.3"/>
        <n v="174.6"/>
        <n v="173.5"/>
        <n v="147.69999999999999"/>
        <n v="140.6"/>
        <n v="128.9"/>
        <n v="139.19999999999999"/>
        <n v="126.6"/>
        <n v="144.1"/>
        <n v="137.1"/>
        <n v="124.7"/>
        <n v="136.9"/>
        <n v="144.30000000000001"/>
        <n v="120.1"/>
        <n v="135"/>
        <n v="115"/>
        <n v="122.7"/>
        <n v="127.4"/>
        <n v="121.9"/>
        <n v="119.2"/>
        <n v="113.4"/>
        <n v="112.5"/>
        <n v="107.5"/>
        <n v="107.4"/>
        <n v="107.2"/>
        <n v="181.4"/>
        <n v="182.6"/>
        <n v="168.9"/>
        <n v="167.2"/>
        <n v="164.5"/>
        <n v="145.80000000000001"/>
        <n v="143"/>
        <n v="138.30000000000001"/>
        <n v="148.69999999999999"/>
        <n v="144.6"/>
        <n v="137.9"/>
        <n v="152.30000000000001"/>
        <n v="147.19999999999999"/>
        <n v="138.9"/>
        <n v="126.4"/>
        <n v="136.5"/>
        <n v="142.6"/>
        <n v="129.1"/>
        <n v="134.19999999999999"/>
        <n v="122.4"/>
        <n v="118.3"/>
        <n v="114.4"/>
        <n v="106.1"/>
        <n v="106"/>
        <n v="176.7"/>
        <n v="176"/>
        <n v="174.9"/>
        <n v="150.4"/>
        <n v="135.1"/>
        <n v="144.9"/>
        <n v="141.9"/>
        <n v="126.5"/>
        <n v="119"/>
        <n v="134.80000000000001"/>
        <n v="123.3"/>
        <n v="128"/>
        <n v="119.8"/>
        <n v="113.2"/>
        <n v="111.2"/>
        <n v="108.5"/>
        <n v="108.3"/>
        <n v="108"/>
        <n v="179.6"/>
        <n v="153.4"/>
        <n v="148.9"/>
        <n v="141.4"/>
        <n v="145.35000000000002"/>
        <n v="140.77500000000001"/>
        <n v="138.77083333333334"/>
        <n v="147.5"/>
        <n v="143.6"/>
        <n v="137.30000000000001"/>
        <n v="128.1"/>
        <n v="119.7"/>
        <n v="123.4"/>
        <n v="128.19999999999999"/>
        <n v="115.3"/>
        <n v="123"/>
        <n v="113.9"/>
        <n v="109.2"/>
        <n v="108.6"/>
        <n v="180.1"/>
        <n v="182"/>
        <n v="183.2"/>
        <n v="165.8"/>
        <n v="164.2"/>
        <n v="161.6"/>
        <n v="143.1"/>
        <n v="142.9"/>
        <n v="137.19999999999999"/>
        <n v="156"/>
        <n v="155.6"/>
        <n v="154.9"/>
        <n v="127.3"/>
        <n v="136.6"/>
        <n v="118"/>
        <n v="126.8"/>
        <n v="132.1"/>
        <n v="116.9"/>
        <n v="126.2"/>
        <n v="118.4"/>
        <n v="116.5"/>
        <n v="113"/>
        <n v="112.2"/>
        <n v="111"/>
        <n v="105.5"/>
        <n v="105.4"/>
        <n v="181.6"/>
        <n v="182.1"/>
        <n v="167.4"/>
        <n v="165.7"/>
        <n v="163"/>
        <n v="163.1"/>
        <n v="162.6"/>
        <n v="160.69999999999999"/>
        <n v="165.6"/>
        <n v="164.1"/>
        <n v="161.69999999999999"/>
        <n v="154.4"/>
        <n v="152.4"/>
        <n v="149.1"/>
        <n v="142.4"/>
        <n v="127.9"/>
        <n v="133.19999999999999"/>
        <n v="116"/>
        <n v="123.1"/>
        <n v="127.5"/>
        <n v="120"/>
        <n v="117.7"/>
        <n v="114"/>
        <n v="112.4"/>
        <n v="106.2"/>
        <n v="105.7"/>
        <n v="180.6"/>
        <n v="150.9"/>
        <n v="147.9"/>
        <n v="162.5"/>
        <n v="157.69999999999999"/>
        <n v="162.1"/>
        <n v="159.80000000000001"/>
        <n v="156.1"/>
        <n v="142.69999999999999"/>
        <n v="132.4"/>
        <n v="117.8"/>
        <n v="132"/>
        <n v="122"/>
        <n v="117.4"/>
        <n v="115.7"/>
        <n v="112.8"/>
        <n v="111.9"/>
        <n v="110.4"/>
        <n v="179.1"/>
        <n v="178.8"/>
        <n v="178.4"/>
        <n v="155.5"/>
        <n v="154.80000000000001"/>
        <n v="159.4"/>
        <n v="165.3"/>
        <n v="163.9"/>
        <n v="140.9"/>
        <n v="118.9"/>
        <n v="136.4"/>
        <n v="123.6"/>
        <n v="123.8"/>
        <n v="115.4"/>
        <n v="109.9"/>
        <n v="109.3"/>
        <n v="181.5"/>
        <n v="181.7"/>
        <n v="173.3"/>
        <n v="172.2"/>
        <n v="170.5"/>
        <n v="165.5"/>
        <n v="162.19999999999999"/>
        <n v="163.69999999999999"/>
        <n v="160.80000000000001"/>
        <n v="124.6"/>
        <n v="143.80000000000001"/>
        <n v="121.4"/>
        <n v="114.6"/>
        <n v="122.3"/>
        <n v="121.2"/>
        <n v="118.7"/>
        <n v="106.5"/>
        <n v="106.4"/>
      </sharedItems>
    </cacheField>
    <cacheField name="Transportation" numFmtId="2">
      <sharedItems containsSemiMixedTypes="0" containsString="0" containsNumber="1" minValue="103.2" maxValue="169.7" count="255">
        <n v="166.9"/>
        <n v="162.30000000000001"/>
        <n v="158.19999999999999"/>
        <n v="131.4"/>
        <n v="125.8"/>
        <n v="120.8"/>
        <n v="135"/>
        <n v="129.80000000000001"/>
        <n v="125.2"/>
        <n v="129.19999999999999"/>
        <n v="123.9"/>
        <n v="119.2"/>
        <n v="122.5"/>
        <n v="126"/>
        <n v="129.9"/>
        <n v="115.7"/>
        <n v="118.3"/>
        <n v="121.2"/>
        <n v="111.8"/>
        <n v="114.3"/>
        <n v="117"/>
        <n v="109.1"/>
        <n v="111.3"/>
        <n v="113.8"/>
        <n v="112.8"/>
        <n v="112"/>
        <n v="111.2"/>
        <n v="109.3"/>
        <n v="109.9"/>
        <n v="110.4"/>
        <n v="167.4"/>
        <n v="162.9"/>
        <n v="158.80000000000001"/>
        <n v="128.6"/>
        <n v="123.3"/>
        <n v="118.6"/>
        <n v="131.19999999999999"/>
        <n v="125.6"/>
        <n v="120.6"/>
        <n v="130.19999999999999"/>
        <n v="124.6"/>
        <n v="119.6"/>
        <n v="125.5"/>
        <n v="130.80000000000001"/>
        <n v="115"/>
        <n v="117.8"/>
        <n v="121"/>
        <n v="115.2"/>
        <n v="111.4"/>
        <n v="112.6"/>
        <n v="111"/>
        <n v="109.5"/>
        <n v="109.7"/>
        <n v="109.6"/>
        <n v="167.5"/>
        <n v="163"/>
        <n v="158.9"/>
        <n v="119.9"/>
        <n v="124.9"/>
        <n v="120.1"/>
        <n v="132.1"/>
        <n v="126.6"/>
        <n v="121.7"/>
        <n v="130.30000000000001"/>
        <n v="115.3"/>
        <n v="121.6"/>
        <n v="113.4"/>
        <n v="118.2"/>
        <n v="111.5"/>
        <n v="114"/>
        <n v="110.8"/>
        <n v="169.7"/>
        <n v="164.8"/>
        <n v="160.4"/>
        <n v="167.1"/>
        <n v="159.4"/>
        <n v="131.69999999999999"/>
        <n v="126.3"/>
        <n v="121.5"/>
        <n v="131.6"/>
        <n v="126.1"/>
        <n v="123.6"/>
        <n v="124.5"/>
        <n v="124"/>
        <n v="119.8"/>
        <n v="122.9"/>
        <n v="126.4"/>
        <n v="116.7"/>
        <n v="119.4"/>
        <n v="110.7"/>
        <n v="115.1"/>
        <n v="113.3"/>
        <n v="104.1"/>
        <n v="104"/>
        <n v="103.9"/>
        <n v="169"/>
        <n v="164.2"/>
        <n v="159.80000000000001"/>
        <n v="162"/>
        <n v="157.9"/>
        <n v="154.19999999999999"/>
        <n v="143.6"/>
        <n v="138.5"/>
        <n v="133.9"/>
        <n v="146.4"/>
        <n v="140.69999999999999"/>
        <n v="135.5"/>
        <n v="136"/>
        <n v="115.6"/>
        <n v="117.6"/>
        <n v="108.5"/>
        <n v="110.9"/>
        <n v="113.6"/>
        <n v="111.6"/>
        <n v="108.4"/>
        <n v="104.6"/>
        <n v="105.1"/>
        <n v="105.5"/>
        <n v="165.5"/>
        <n v="161.1"/>
        <n v="157.19999999999999"/>
        <n v="136.30000000000001"/>
        <n v="130.9"/>
        <n v="141.4"/>
        <n v="129.30000000000001"/>
        <n v="120.4"/>
        <n v="123.7"/>
        <n v="127.4"/>
        <n v="113.9"/>
        <n v="116.5"/>
        <n v="112.3"/>
        <n v="114.2"/>
        <n v="116.3"/>
        <n v="111.7"/>
        <n v="112.9"/>
        <n v="112.2"/>
        <n v="105"/>
        <n v="105.2"/>
        <n v="166.3"/>
        <n v="161.6"/>
        <n v="157.4"/>
        <n v="135.80000000000001"/>
        <n v="135.33333333333334"/>
        <n v="130.92222222222225"/>
        <n v="128.29259259259263"/>
        <n v="146.1"/>
        <n v="140.4"/>
        <n v="135.19999999999999"/>
        <n v="127.5"/>
        <n v="113.2"/>
        <n v="116"/>
        <n v="119.1"/>
        <n v="116.4"/>
        <n v="112.7"/>
        <n v="114.1"/>
        <n v="113.1"/>
        <n v="113"/>
        <n v="106.8"/>
        <n v="107.1"/>
        <n v="107.3"/>
        <n v="159.5"/>
        <n v="163.6"/>
        <n v="168.2"/>
        <n v="160.80000000000001"/>
        <n v="156.5"/>
        <n v="152.69999999999999"/>
        <n v="140.6"/>
        <n v="135.4"/>
        <n v="144.6"/>
        <n v="139.6"/>
        <n v="135.1"/>
        <n v="151.69999999999999"/>
        <n v="146.6"/>
        <n v="142.1"/>
        <n v="119.3"/>
        <n v="122.7"/>
        <n v="108.9"/>
        <n v="111.1"/>
        <n v="109.4"/>
        <n v="107.9"/>
        <n v="110.5"/>
        <n v="103.3"/>
        <n v="103.2"/>
        <n v="161.19999999999999"/>
        <n v="156.9"/>
        <n v="153.1"/>
        <n v="157.69999999999999"/>
        <n v="154"/>
        <n v="150.4"/>
        <n v="160.1"/>
        <n v="155.69999999999999"/>
        <n v="151.80000000000001"/>
        <n v="150.19999999999999"/>
        <n v="145.1"/>
        <n v="140.5"/>
        <n v="117.4"/>
        <n v="120.2"/>
        <n v="115.5"/>
        <n v="119.5"/>
        <n v="108.7"/>
        <n v="104.2"/>
        <n v="104.4"/>
        <n v="167.8"/>
        <n v="163.4"/>
        <n v="147.5"/>
        <n v="141.9"/>
        <n v="136.9"/>
        <n v="157.1"/>
        <n v="149.5"/>
        <n v="150.69999999999999"/>
        <n v="128.9"/>
        <n v="118.8"/>
        <n v="118.5"/>
        <n v="122"/>
        <n v="113.7"/>
        <n v="110.1"/>
        <n v="108.8"/>
        <n v="109.8"/>
        <n v="166.6"/>
        <n v="161.9"/>
        <n v="151.30000000000001"/>
        <n v="146.19999999999999"/>
        <n v="141.69999999999999"/>
        <n v="153.19999999999999"/>
        <n v="148.9"/>
        <n v="145"/>
        <n v="154.80000000000001"/>
        <n v="151.19999999999999"/>
        <n v="120.7"/>
        <n v="124.3"/>
        <n v="128.30000000000001"/>
        <n v="114.6"/>
        <n v="117.3"/>
        <n v="120.3"/>
        <n v="112.5"/>
        <n v="107.8"/>
        <n v="108"/>
        <n v="108.1"/>
        <n v="169.4"/>
        <n v="164.5"/>
        <n v="166.2"/>
        <n v="162.6"/>
        <n v="159.30000000000001"/>
        <n v="152.19999999999999"/>
        <n v="157.80000000000001"/>
        <n v="150.5"/>
        <n v="118.9"/>
        <n v="121.9"/>
        <n v="125.3"/>
        <n v="116.6"/>
        <n v="110"/>
        <n v="112.1"/>
        <n v="114.4"/>
        <n v="111.9"/>
        <n v="104.7"/>
      </sharedItems>
    </cacheField>
    <cacheField name="Housing " numFmtId="2">
      <sharedItems containsSemiMixedTypes="0" containsString="0" containsNumber="1" minValue="102.55" maxValue="177.7" count="328">
        <n v="167.85"/>
        <n v="169.5"/>
        <n v="167.25"/>
        <n v="150.89999999999998"/>
        <n v="148.05000000000001"/>
        <n v="144.85"/>
        <n v="152"/>
        <n v="149.30000000000001"/>
        <n v="146.30000000000001"/>
        <n v="146.1"/>
        <n v="142.55000000000001"/>
        <n v="140.10000000000002"/>
        <n v="142.5"/>
        <n v="144.65"/>
        <n v="131.89999999999998"/>
        <n v="134.5"/>
        <n v="136.80000000000001"/>
        <n v="126.1"/>
        <n v="127.9"/>
        <n v="129.5"/>
        <n v="121"/>
        <n v="122.1"/>
        <n v="123.05"/>
        <n v="113.2"/>
        <n v="116.1"/>
        <n v="115.8"/>
        <n v="109.65"/>
        <n v="169"/>
        <n v="170.8"/>
        <n v="168.6"/>
        <n v="148.89999999999998"/>
        <n v="145.64999999999998"/>
        <n v="142"/>
        <n v="150.30000000000001"/>
        <n v="147.39999999999998"/>
        <n v="144.14999999999998"/>
        <n v="149.5"/>
        <n v="146.60000000000002"/>
        <n v="143.4"/>
        <n v="144.55000000000001"/>
        <n v="140.69999999999999"/>
        <n v="147.05000000000001"/>
        <n v="132.80000000000001"/>
        <n v="135.44999999999999"/>
        <n v="137.85000000000002"/>
        <n v="126.6"/>
        <n v="128.55000000000001"/>
        <n v="130.25"/>
        <n v="121.55000000000001"/>
        <n v="122.7"/>
        <n v="123.75"/>
        <n v="114"/>
        <n v="116.7"/>
        <n v="116.25"/>
        <n v="139.94999999999999"/>
        <n v="110.4"/>
        <n v="110.35"/>
        <n v="141.25"/>
        <n v="169.85"/>
        <n v="171.60000000000002"/>
        <n v="169.35000000000002"/>
        <n v="146.4"/>
        <n v="142.9"/>
        <n v="149.80000000000001"/>
        <n v="146.89999999999998"/>
        <n v="143.64999999999998"/>
        <n v="148.9"/>
        <n v="149.4"/>
        <n v="143.30000000000001"/>
        <n v="141.35000000000002"/>
        <n v="133.69999999999999"/>
        <n v="136.5"/>
        <n v="139"/>
        <n v="126.9"/>
        <n v="128.85"/>
        <n v="130.6"/>
        <n v="121.95"/>
        <n v="123.15"/>
        <n v="124.25"/>
        <n v="114.6"/>
        <n v="117.19999999999999"/>
        <n v="116.75"/>
        <n v="111.1"/>
        <n v="111"/>
        <n v="177.7"/>
        <n v="175.39999999999998"/>
        <n v="172.85"/>
        <n v="168.2"/>
        <n v="166.35"/>
        <n v="164.3"/>
        <n v="148.52499999999998"/>
        <n v="149"/>
        <n v="145.85"/>
        <n v="147.80000000000001"/>
        <n v="148.39999999999998"/>
        <n v="145.25"/>
        <n v="147.19999999999999"/>
        <n v="147.69999999999999"/>
        <n v="147.44999999999999"/>
        <n v="137.85"/>
        <n v="140.30000000000001"/>
        <n v="129.30000000000001"/>
        <n v="131.5"/>
        <n v="133.5"/>
        <n v="124.6"/>
        <n v="126"/>
        <n v="127.25"/>
        <n v="117.9"/>
        <n v="119.9"/>
        <n v="119.15"/>
        <n v="107.3"/>
        <n v="114.19999999999999"/>
        <n v="139.30000000000001"/>
        <n v="103.7"/>
        <n v="103.8"/>
        <n v="176.05"/>
        <n v="173.85"/>
        <n v="171.35"/>
        <n v="165.9"/>
        <n v="164.05"/>
        <n v="161.94999999999999"/>
        <n v="153.69999999999999"/>
        <n v="151.94999999999999"/>
        <n v="150"/>
        <n v="155.9"/>
        <n v="154.05000000000001"/>
        <n v="153.30000000000001"/>
        <n v="150.60000000000002"/>
        <n v="147.60000000000002"/>
        <n v="136.4"/>
        <n v="138.80000000000001"/>
        <n v="140.94999999999999"/>
        <n v="128.35"/>
        <n v="132.6"/>
        <n v="123.6"/>
        <n v="125"/>
        <n v="126.30000000000001"/>
        <n v="119.4"/>
        <n v="118.9"/>
        <n v="118.3"/>
        <n v="113.30000000000001"/>
        <n v="113.1"/>
        <n v="103"/>
        <n v="103.05000000000001"/>
        <n v="168.55"/>
        <n v="166.60000000000002"/>
        <n v="164.45"/>
        <n v="152.80000000000001"/>
        <n v="150.05000000000001"/>
        <n v="147"/>
        <n v="153.19999999999999"/>
        <n v="150.55000000000001"/>
        <n v="147.55000000000001"/>
        <n v="137.80000000000001"/>
        <n v="140.19999999999999"/>
        <n v="142.35"/>
        <n v="129.1"/>
        <n v="131.30000000000001"/>
        <n v="133.30000000000001"/>
        <n v="124.35"/>
        <n v="125.95"/>
        <n v="127.4"/>
        <n v="119.1"/>
        <n v="120.05"/>
        <n v="120.9"/>
        <n v="114.4"/>
        <n v="114.25"/>
        <n v="114.1"/>
        <n v="107.05"/>
        <n v="107.1"/>
        <n v="107.15"/>
        <n v="169.55"/>
        <n v="167.60000000000002"/>
        <n v="165.45"/>
        <n v="153"/>
        <n v="150.44999999999999"/>
        <n v="147.65"/>
        <n v="148.86666666666667"/>
        <n v="146.94444444444446"/>
        <n v="145.84351851851852"/>
        <n v="153.15"/>
        <n v="153.6"/>
        <n v="151.55000000000001"/>
        <n v="138.6"/>
        <n v="141.1"/>
        <n v="143.35"/>
        <n v="129.9"/>
        <n v="132.25"/>
        <n v="134.35"/>
        <n v="124.95"/>
        <n v="126.65"/>
        <n v="128.19999999999999"/>
        <n v="119.7"/>
        <n v="120.6"/>
        <n v="121.45"/>
        <n v="115.1"/>
        <n v="115"/>
        <n v="114.85"/>
        <n v="108"/>
        <n v="107.95"/>
        <n v="107.9"/>
        <n v="170.05"/>
        <n v="172.5"/>
        <n v="174.64999999999998"/>
        <n v="164.7"/>
        <n v="162.80000000000001"/>
        <n v="160.65"/>
        <n v="152.5"/>
        <n v="152.6"/>
        <n v="150.80000000000001"/>
        <n v="151.89999999999998"/>
        <n v="150.85000000000002"/>
        <n v="158.44999999999999"/>
        <n v="156.60000000000002"/>
        <n v="154.5"/>
        <n v="134.94999999999999"/>
        <n v="137.65"/>
        <n v="127.35"/>
        <n v="131.39999999999998"/>
        <n v="122.5"/>
        <n v="123.80000000000001"/>
        <n v="118.1"/>
        <n v="117.69999999999999"/>
        <n v="117.25"/>
        <n v="112.1"/>
        <n v="111.94999999999999"/>
        <n v="111.75"/>
        <n v="102.55"/>
        <n v="165.6"/>
        <n v="163.65"/>
        <n v="161.44999999999999"/>
        <n v="161.5"/>
        <n v="159.80000000000001"/>
        <n v="157.64999999999998"/>
        <n v="161.80000000000001"/>
        <n v="159.69999999999999"/>
        <n v="157.30000000000001"/>
        <n v="155.35000000000002"/>
        <n v="135.60000000000002"/>
        <n v="138.25"/>
        <n v="140.60000000000002"/>
        <n v="130.1"/>
        <n v="132.05000000000001"/>
        <n v="123.1"/>
        <n v="124.5"/>
        <n v="125.75"/>
        <n v="118.85"/>
        <n v="118.4"/>
        <n v="112.7"/>
        <n v="112.65"/>
        <n v="112.55"/>
        <n v="102.80000000000001"/>
        <n v="173.55"/>
        <n v="171.39999999999998"/>
        <n v="155.80000000000001"/>
        <n v="153.85"/>
        <n v="151.69999999999999"/>
        <n v="160.9"/>
        <n v="158.65"/>
        <n v="156.1"/>
        <n v="159.85"/>
        <n v="157.65"/>
        <n v="155.15"/>
        <n v="148"/>
        <n v="141.35"/>
        <n v="134.19999999999999"/>
        <n v="136.89999999999998"/>
        <n v="126.75"/>
        <n v="130.69999999999999"/>
        <n v="121.7"/>
        <n v="123"/>
        <n v="124.2"/>
        <n v="117.35"/>
        <n v="117"/>
        <n v="116.65"/>
        <n v="111.4"/>
        <n v="111.2"/>
        <n v="170.65"/>
        <n v="168.75"/>
        <n v="166.6"/>
        <n v="157.35000000000002"/>
        <n v="155.55000000000001"/>
        <n v="153.55000000000001"/>
        <n v="154.44999999999999"/>
        <n v="158.14999999999998"/>
        <n v="155.85"/>
        <n v="160.44999999999999"/>
        <n v="161.75"/>
        <n v="139.5"/>
        <n v="144.19999999999999"/>
        <n v="131.05000000000001"/>
        <n v="133.60000000000002"/>
        <n v="135.85000000000002"/>
        <n v="125.6"/>
        <n v="128.94999999999999"/>
        <n v="120.45"/>
        <n v="122.30000000000001"/>
        <n v="115.7"/>
        <n v="115.55"/>
        <n v="115.4"/>
        <n v="108.80000000000001"/>
        <n v="177.14999999999998"/>
        <n v="174.89999999999998"/>
        <n v="172.39999999999998"/>
        <n v="167.35"/>
        <n v="165.5"/>
        <n v="163.4"/>
        <n v="159.25"/>
        <n v="161"/>
        <n v="158.94999999999999"/>
        <n v="158.80000000000001"/>
        <n v="157.69999999999999"/>
        <n v="137.35000000000002"/>
        <n v="139.75"/>
        <n v="141.9"/>
        <n v="133"/>
        <n v="124.19999999999999"/>
        <n v="125.55"/>
        <n v="126.8"/>
        <n v="120.05000000000001"/>
        <n v="119.45"/>
        <n v="118.80000000000001"/>
        <n v="113.80000000000001"/>
        <n v="113.75"/>
        <n v="113.65"/>
        <n v="103.3"/>
        <n v="103.4"/>
        <n v="103.5"/>
      </sharedItems>
    </cacheField>
    <cacheField name="Healthcare" numFmtId="2">
      <sharedItems containsSemiMixedTypes="0" containsString="0" containsNumber="1" minValue="104" maxValue="187.8" count="309">
        <n v="180.2"/>
        <n v="177.8"/>
        <n v="173.8"/>
        <n v="152.69999999999999"/>
        <n v="148.5"/>
        <n v="141.5"/>
        <n v="154.80000000000001"/>
        <n v="150.4"/>
        <n v="143.19999999999999"/>
        <n v="149.9"/>
        <n v="145.6"/>
        <n v="138.5"/>
        <n v="135.69999999999999"/>
        <n v="138.4"/>
        <n v="140"/>
        <n v="126.1"/>
        <n v="130.6"/>
        <n v="133.4"/>
        <n v="121.4"/>
        <n v="125.4"/>
        <n v="127.8"/>
        <n v="117.1"/>
        <n v="119.8"/>
        <n v="114.5"/>
        <n v="113.7"/>
        <n v="112.3"/>
        <n v="108.3"/>
        <n v="108.1"/>
        <n v="107.9"/>
        <n v="181.2"/>
        <n v="178.7"/>
        <n v="174.7"/>
        <n v="149.6"/>
        <n v="145.1"/>
        <n v="137.80000000000001"/>
        <n v="152.19999999999999"/>
        <n v="147.9"/>
        <n v="140.80000000000001"/>
        <n v="151.69999999999999"/>
        <n v="147.4"/>
        <n v="140.30000000000001"/>
        <n v="142.1"/>
        <n v="136.19999999999999"/>
        <n v="144.80000000000001"/>
        <n v="126.6"/>
        <n v="131.30000000000001"/>
        <n v="134.19999999999999"/>
        <n v="121.8"/>
        <n v="128.69999999999999"/>
        <n v="117.7"/>
        <n v="120.4"/>
        <n v="122"/>
        <n v="115.3"/>
        <n v="114.3"/>
        <n v="112.6"/>
        <n v="108.9"/>
        <n v="108.6"/>
        <n v="108.2"/>
        <n v="109.7"/>
        <n v="182.3"/>
        <n v="179.8"/>
        <n v="175.8"/>
        <n v="146.19999999999999"/>
        <n v="139.19999999999999"/>
        <n v="151.30000000000001"/>
        <n v="146.9"/>
        <n v="139.80000000000001"/>
        <n v="154.30000000000001"/>
        <n v="142.80000000000001"/>
        <n v="145.4"/>
        <n v="136.80000000000001"/>
        <n v="127.4"/>
        <n v="132.6"/>
        <n v="135.80000000000001"/>
        <n v="122.1"/>
        <n v="126.4"/>
        <n v="129.1"/>
        <n v="118.1"/>
        <n v="120.9"/>
        <n v="122.6"/>
        <n v="115.9"/>
        <n v="114.8"/>
        <n v="113"/>
        <n v="109.3"/>
        <n v="187.8"/>
        <n v="185.7"/>
        <n v="182.2"/>
        <n v="177.7"/>
        <n v="174.8"/>
        <n v="170.1"/>
        <n v="153.69999999999999"/>
        <n v="149.4"/>
        <n v="142.4"/>
        <n v="153.4"/>
        <n v="149"/>
        <n v="141.9"/>
        <n v="150.69999999999999"/>
        <n v="132"/>
        <n v="136"/>
        <n v="123.6"/>
        <n v="128.4"/>
        <n v="131.4"/>
        <n v="120.3"/>
        <n v="123.7"/>
        <n v="125.8"/>
        <n v="119.4"/>
        <n v="114.9"/>
        <n v="112.1"/>
        <n v="111.8"/>
        <n v="111.2"/>
        <n v="105.7"/>
        <n v="105.9"/>
        <n v="106.2"/>
        <n v="186.6"/>
        <n v="184.4"/>
        <n v="180.8"/>
        <n v="176"/>
        <n v="173"/>
        <n v="168.2"/>
        <n v="158.80000000000001"/>
        <n v="155"/>
        <n v="148.69999999999999"/>
        <n v="161.6"/>
        <n v="158.30000000000001"/>
        <n v="152.9"/>
        <n v="156.19999999999999"/>
        <n v="144.4"/>
        <n v="130.5"/>
        <n v="134.30000000000001"/>
        <n v="136.69999999999999"/>
        <n v="123.1"/>
        <n v="119.7"/>
        <n v="122.9"/>
        <n v="124.8"/>
        <n v="118.2"/>
        <n v="116.7"/>
        <n v="111.4"/>
        <n v="110.8"/>
        <n v="104.7"/>
        <n v="104.9"/>
        <n v="105.2"/>
        <n v="178.2"/>
        <n v="175.4"/>
        <n v="170.9"/>
        <n v="155.69999999999999"/>
        <n v="151.19999999999999"/>
        <n v="143.80000000000001"/>
        <n v="158.19999999999999"/>
        <n v="154.4"/>
        <n v="148.1"/>
        <n v="123.8"/>
        <n v="128.5"/>
        <n v="120.6"/>
        <n v="124.1"/>
        <n v="126.2"/>
        <n v="115.4"/>
        <n v="118.5"/>
        <n v="112.8"/>
        <n v="106.3"/>
        <n v="106.4"/>
        <n v="106.5"/>
        <n v="178.8"/>
        <n v="176.1"/>
        <n v="171.7"/>
        <n v="156.69999999999999"/>
        <n v="152.30000000000001"/>
        <n v="145"/>
        <n v="153.93333333333331"/>
        <n v="149.00555555555556"/>
        <n v="145.08981481481482"/>
        <n v="160.4"/>
        <n v="157.19999999999999"/>
        <n v="152"/>
        <n v="133.6"/>
        <n v="137"/>
        <n v="139"/>
        <n v="125"/>
        <n v="129.4"/>
        <n v="132.1"/>
        <n v="124.5"/>
        <n v="126.7"/>
        <n v="116"/>
        <n v="119"/>
        <n v="120.8"/>
        <n v="113.4"/>
        <n v="112.7"/>
        <n v="111.5"/>
        <n v="106.9"/>
        <n v="107"/>
        <n v="107.1"/>
        <n v="178.5"/>
        <n v="184.7"/>
        <n v="171.4"/>
        <n v="166.1"/>
        <n v="159.5"/>
        <n v="156.30000000000001"/>
        <n v="151"/>
        <n v="159.1"/>
        <n v="155.6"/>
        <n v="150"/>
        <n v="165.3"/>
        <n v="162.30000000000001"/>
        <n v="157.5"/>
        <n v="129"/>
        <n v="133.30000000000001"/>
        <n v="127.1"/>
        <n v="129.9"/>
        <n v="119.1"/>
        <n v="116.6"/>
        <n v="115.5"/>
        <n v="110.6"/>
        <n v="110.3"/>
        <n v="104"/>
        <n v="104.1"/>
        <n v="175.3"/>
        <n v="172.2"/>
        <n v="167.2"/>
        <n v="171.1"/>
        <n v="168.4"/>
        <n v="162.80000000000001"/>
        <n v="174"/>
        <n v="170.6"/>
        <n v="165.1"/>
        <n v="164.3"/>
        <n v="161.30000000000001"/>
        <n v="129.80000000000001"/>
        <n v="133.80000000000001"/>
        <n v="130.1"/>
        <n v="119.5"/>
        <n v="122.5"/>
        <n v="124.3"/>
        <n v="116.3"/>
        <n v="114.1"/>
        <n v="110.9"/>
        <n v="110.7"/>
        <n v="110.4"/>
        <n v="104.4"/>
        <n v="104.5"/>
        <n v="183.5"/>
        <n v="181.1"/>
        <n v="177.2"/>
        <n v="162.5"/>
        <n v="159.30000000000001"/>
        <n v="154.1"/>
        <n v="170.4"/>
        <n v="167"/>
        <n v="161.5"/>
        <n v="169.7"/>
        <n v="166.3"/>
        <n v="160.80000000000001"/>
        <n v="144.9"/>
        <n v="137.30000000000001"/>
        <n v="128.19999999999999"/>
        <n v="133.1"/>
        <n v="136.1"/>
        <n v="122.3"/>
        <n v="126.9"/>
        <n v="129.69999999999999"/>
        <n v="118.6"/>
        <n v="116.2"/>
        <n v="115.1"/>
        <n v="113.2"/>
        <n v="110.1"/>
        <n v="109"/>
        <n v="179.4"/>
        <n v="176.8"/>
        <n v="172.6"/>
        <n v="164.6"/>
        <n v="161.69999999999999"/>
        <n v="156.9"/>
        <n v="169.1"/>
        <n v="165.8"/>
        <n v="173.4"/>
        <n v="169.9"/>
        <n v="164.2"/>
        <n v="134.9"/>
        <n v="137.69999999999999"/>
        <n v="139.4"/>
        <n v="125.7"/>
        <n v="130.19999999999999"/>
        <n v="133"/>
        <n v="121.2"/>
        <n v="127"/>
        <n v="121.1"/>
        <n v="114"/>
        <n v="113.3"/>
        <n v="112.2"/>
        <n v="107.5"/>
        <n v="107.6"/>
        <n v="187.2"/>
        <n v="185"/>
        <n v="181.5"/>
        <n v="177"/>
        <n v="169"/>
        <n v="172.5"/>
        <n v="163.5"/>
        <n v="171.9"/>
        <n v="135.19999999999999"/>
        <n v="137.6"/>
        <n v="123.4"/>
        <n v="128.1"/>
        <n v="131"/>
        <n v="120"/>
        <n v="123.2"/>
        <n v="125.2"/>
        <n v="114.6"/>
        <n v="111"/>
        <n v="105.1"/>
        <n v="105.3"/>
      </sharedItems>
    </cacheField>
    <cacheField name="Education &amp; Recreation " numFmtId="2">
      <sharedItems containsSemiMixedTypes="0" containsString="0" containsNumber="1" minValue="103.2" maxValue="177.05" count="342">
        <n v="173.1"/>
        <n v="170.35"/>
        <n v="168.35000000000002"/>
        <n v="153.85"/>
        <n v="147.9"/>
        <n v="143.44999999999999"/>
        <n v="155.30000000000001"/>
        <n v="149"/>
        <n v="144.35000000000002"/>
        <n v="149.44999999999999"/>
        <n v="143.69999999999999"/>
        <n v="139.39999999999998"/>
        <n v="137.69999999999999"/>
        <n v="140.35"/>
        <n v="143.80000000000001"/>
        <n v="130.19999999999999"/>
        <n v="132.65"/>
        <n v="135.94999999999999"/>
        <n v="126.19999999999999"/>
        <n v="127.35000000000001"/>
        <n v="128.94999999999999"/>
        <n v="121.9"/>
        <n v="122"/>
        <n v="122.05"/>
        <n v="114.6"/>
        <n v="115.85"/>
        <n v="116.7"/>
        <n v="108.75"/>
        <n v="109.05"/>
        <n v="109.30000000000001"/>
        <n v="173.55"/>
        <n v="170.8"/>
        <n v="168.75"/>
        <n v="149.05000000000001"/>
        <n v="139.25"/>
        <n v="153.30000000000001"/>
        <n v="147.25"/>
        <n v="142.69999999999999"/>
        <n v="152.05000000000001"/>
        <n v="146.05000000000001"/>
        <n v="141.60000000000002"/>
        <n v="142.15"/>
        <n v="138.1"/>
        <n v="144.05000000000001"/>
        <n v="130.55000000000001"/>
        <n v="133.15"/>
        <n v="136.55000000000001"/>
        <n v="126.55000000000001"/>
        <n v="127.95"/>
        <n v="129.75"/>
        <n v="122.1"/>
        <n v="122.30000000000001"/>
        <n v="122.6"/>
        <n v="114.95"/>
        <n v="116.05"/>
        <n v="116.9"/>
        <n v="109.25"/>
        <n v="109.44999999999999"/>
        <n v="109.65"/>
        <n v="109.85"/>
        <n v="173.85000000000002"/>
        <n v="171.1"/>
        <n v="169.1"/>
        <n v="149.65"/>
        <n v="144"/>
        <n v="139.85"/>
        <n v="151.30000000000001"/>
        <n v="145.39999999999998"/>
        <n v="141"/>
        <n v="154.94999999999999"/>
        <n v="148.80000000000001"/>
        <n v="144.25"/>
        <n v="146.64999999999998"/>
        <n v="138.69999999999999"/>
        <n v="130.85"/>
        <n v="133.75"/>
        <n v="137.6"/>
        <n v="126.9"/>
        <n v="128.4"/>
        <n v="130.30000000000001"/>
        <n v="122.25"/>
        <n v="122.75"/>
        <n v="123.35"/>
        <n v="115.25"/>
        <n v="116.35"/>
        <n v="117.15"/>
        <n v="109.9"/>
        <n v="177.05"/>
        <n v="174.14999999999998"/>
        <n v="172"/>
        <n v="169.7"/>
        <n v="166.5"/>
        <n v="164.2"/>
        <n v="154.69999999999999"/>
        <n v="148.55000000000001"/>
        <n v="143.94999999999999"/>
        <n v="154.25"/>
        <n v="148.25"/>
        <n v="143.75"/>
        <n v="138.14999999999998"/>
        <n v="138.94999999999999"/>
        <n v="138.5"/>
        <n v="134.19999999999999"/>
        <n v="136.94999999999999"/>
        <n v="140.60000000000002"/>
        <n v="128.30000000000001"/>
        <n v="130.25"/>
        <n v="132.85000000000002"/>
        <n v="123.9"/>
        <n v="125"/>
        <n v="126.35"/>
        <n v="118.6"/>
        <n v="118.85"/>
        <n v="119"/>
        <n v="112"/>
        <n v="112.1"/>
        <n v="112.2"/>
        <n v="105.25"/>
        <n v="105.19999999999999"/>
        <n v="105.15"/>
        <n v="111.3"/>
        <n v="175.65"/>
        <n v="172.65"/>
        <n v="170.45"/>
        <n v="168.6"/>
        <n v="164.65"/>
        <n v="161.75"/>
        <n v="157.44999999999999"/>
        <n v="152.25"/>
        <n v="148.35"/>
        <n v="158.4"/>
        <n v="153.94999999999999"/>
        <n v="150.60000000000002"/>
        <n v="156.15"/>
        <n v="149.69999999999999"/>
        <n v="144.94999999999999"/>
        <n v="132.30000000000001"/>
        <n v="135.10000000000002"/>
        <n v="138.89999999999998"/>
        <n v="127.60000000000001"/>
        <n v="129.4"/>
        <n v="131.75"/>
        <n v="123.75"/>
        <n v="117.45"/>
        <n v="117.75"/>
        <n v="118"/>
        <n v="111.30000000000001"/>
        <n v="111.35"/>
        <n v="104.15"/>
        <n v="103.85"/>
        <n v="103.65"/>
        <n v="170.3"/>
        <n v="167.4"/>
        <n v="165.3"/>
        <n v="155.89999999999998"/>
        <n v="144.64999999999998"/>
        <n v="157.5"/>
        <n v="152.35000000000002"/>
        <n v="148.5"/>
        <n v="134.85"/>
        <n v="141.44999999999999"/>
        <n v="128.60000000000002"/>
        <n v="130.65"/>
        <n v="133.35000000000002"/>
        <n v="124.60000000000001"/>
        <n v="125.69999999999999"/>
        <n v="127.14999999999999"/>
        <n v="120"/>
        <n v="119.95"/>
        <n v="112.85"/>
        <n v="113.19999999999999"/>
        <n v="113.44999999999999"/>
        <n v="106.05"/>
        <n v="106.4"/>
        <n v="106.65"/>
        <n v="171.64999999999998"/>
        <n v="168.85000000000002"/>
        <n v="166.85"/>
        <n v="156.19999999999999"/>
        <n v="149.89999999999998"/>
        <n v="145.19999999999999"/>
        <n v="152.13333333333333"/>
        <n v="147.93888888888887"/>
        <n v="145.17870370370372"/>
        <n v="157.6"/>
        <n v="153.5"/>
        <n v="150.4"/>
        <n v="136.5"/>
        <n v="142.10000000000002"/>
        <n v="129.5"/>
        <n v="131.69999999999999"/>
        <n v="134.6"/>
        <n v="125.55000000000001"/>
        <n v="126.60000000000001"/>
        <n v="128"/>
        <n v="121"/>
        <n v="120.80000000000001"/>
        <n v="120.45"/>
        <n v="113.65"/>
        <n v="114.44999999999999"/>
        <n v="115.1"/>
        <n v="107.1"/>
        <n v="107.6"/>
        <n v="108"/>
        <n v="169.8"/>
        <n v="171.9"/>
        <n v="174.8"/>
        <n v="162.94999999999999"/>
        <n v="159.69999999999999"/>
        <n v="152.5"/>
        <n v="148.85"/>
        <n v="156.94999999999999"/>
        <n v="148.35000000000002"/>
        <n v="161.35"/>
        <n v="156.75"/>
        <n v="153.35"/>
        <n v="131.65"/>
        <n v="134.35"/>
        <n v="137.94999999999999"/>
        <n v="127.2"/>
        <n v="128.75"/>
        <n v="130.80000000000001"/>
        <n v="122.45"/>
        <n v="123.05"/>
        <n v="123.80000000000001"/>
        <n v="116.1"/>
        <n v="117"/>
        <n v="117.69999999999999"/>
        <n v="110.69999999999999"/>
        <n v="110.65"/>
        <n v="103.6"/>
        <n v="103.35"/>
        <n v="103.2"/>
        <n v="167.9"/>
        <n v="163.75"/>
        <n v="160.75"/>
        <n v="164.3"/>
        <n v="160.69999999999999"/>
        <n v="157.05000000000001"/>
        <n v="167.1"/>
        <n v="162.5"/>
        <n v="159.1"/>
        <n v="160.30000000000001"/>
        <n v="155.5"/>
        <n v="151.94999999999999"/>
        <n v="131.85"/>
        <n v="134.44999999999999"/>
        <n v="137.9"/>
        <n v="127.30000000000001"/>
        <n v="129"/>
        <n v="131.30000000000001"/>
        <n v="122.55"/>
        <n v="123.44999999999999"/>
        <n v="124.69999999999999"/>
        <n v="116.75"/>
        <n v="117.30000000000001"/>
        <n v="117.65"/>
        <n v="110.95"/>
        <n v="110.94999999999999"/>
        <n v="104.05"/>
        <n v="103.75"/>
        <n v="103.5"/>
        <n v="174.25"/>
        <n v="171.5"/>
        <n v="169.45"/>
        <n v="159.30000000000001"/>
        <n v="154.39999999999998"/>
        <n v="150.75"/>
        <n v="163.95"/>
        <n v="159.25"/>
        <n v="155.75"/>
        <n v="163.60000000000002"/>
        <n v="158.30000000000001"/>
        <n v="149.19999999999999"/>
        <n v="139.1"/>
        <n v="131.14999999999998"/>
        <n v="137.25"/>
        <n v="127.05000000000001"/>
        <n v="128.65"/>
        <n v="130.75"/>
        <n v="122.35"/>
        <n v="122.9"/>
        <n v="123.6"/>
        <n v="115.5"/>
        <n v="117.5"/>
        <n v="110.4"/>
        <n v="110.25"/>
        <n v="110.15"/>
        <n v="172.5"/>
        <n v="169.60000000000002"/>
        <n v="167.5"/>
        <n v="160.80000000000001"/>
        <n v="156.39999999999998"/>
        <n v="153.1"/>
        <n v="163.80000000000001"/>
        <n v="158.5"/>
        <n v="154.6"/>
        <n v="166.55"/>
        <n v="162.05000000000001"/>
        <n v="158.75"/>
        <n v="137.55000000000001"/>
        <n v="139.80000000000001"/>
        <n v="142.75"/>
        <n v="129.89999999999998"/>
        <n v="132.44999999999999"/>
        <n v="135.85"/>
        <n v="126.05"/>
        <n v="127.19999999999999"/>
        <n v="128.69999999999999"/>
        <n v="121.7"/>
        <n v="121.44999999999999"/>
        <n v="121.05"/>
        <n v="114.2"/>
        <n v="115.3"/>
        <n v="116.05000000000001"/>
        <n v="107.75"/>
        <n v="108.25"/>
        <n v="108.65"/>
        <n v="176.3"/>
        <n v="169.05"/>
        <n v="165.65"/>
        <n v="163.1"/>
        <n v="166.1"/>
        <n v="161.25"/>
        <n v="157.69999999999999"/>
        <n v="165.6"/>
        <n v="157.10000000000002"/>
        <n v="133.64999999999998"/>
        <n v="136.35000000000002"/>
        <n v="128.1"/>
        <n v="129.80000000000001"/>
        <n v="132"/>
        <n v="123.55"/>
        <n v="124.4"/>
        <n v="118.05000000000001"/>
        <n v="118.45"/>
        <n v="118.65"/>
        <n v="111.75"/>
        <n v="111.80000000000001"/>
        <n v="111.85"/>
        <n v="104.65"/>
        <n v="104.6"/>
      </sharedItems>
    </cacheField>
    <cacheField name="Others" numFmtId="2">
      <sharedItems containsSemiMixedTypes="0" containsString="0" containsNumber="1" minValue="103.44999999999999" maxValue="182.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AYAAN BHAT" refreshedDate="46219.086960300927" createdVersion="8" refreshedVersion="8" minRefreshableVersion="3" recordCount="10" xr:uid="{FFFB65D8-A44C-4B2D-AB56-C513FAB3C4A3}">
  <cacheSource type="worksheet">
    <worksheetSource ref="H1:I11" sheet="PROBLEM_STATEMENT_1"/>
  </cacheSource>
  <cacheFields count="2">
    <cacheField name="Calculate Each Price Index Category Percentage Value " numFmtId="0">
      <sharedItems containsBlank="1" containsMixedTypes="1" containsNumber="1" minValue="31.282502795698576" maxValue="34.944318154977402" count="5">
        <m/>
        <n v="34.944318154977402"/>
        <n v="31.282502795698576"/>
        <n v="33.773179049324028"/>
        <s v="The Price Rise of the food category is the highest among all other three categories which is  34.94 %, "/>
      </sharedItems>
    </cacheField>
    <cacheField name="List of Categories" numFmtId="0">
      <sharedItems containsBlank="1" count="4">
        <m/>
        <s v="Food  (Highest Inflation Contributor)"/>
        <s v="Transportation"/>
        <s v="Energy/Fuel"/>
      </sharedItems>
    </cacheField>
  </cacheFields>
  <extLst>
    <ext xmlns:x14="http://schemas.microsoft.com/office/spreadsheetml/2009/9/main" uri="{725AE2AE-9491-48be-B2B4-4EB974FC3084}">
      <x14:pivotCacheDefinition pivotCacheId="15067576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AYAAN BHAT" refreshedDate="46224.67025949074" createdVersion="8" refreshedVersion="8" minRefreshableVersion="3" recordCount="372" xr:uid="{8CD6B8DF-0A9F-4B6E-9D44-0B5D8ACBB5CE}">
  <cacheSource type="worksheet">
    <worksheetSource name="Table15"/>
  </cacheSource>
  <cacheFields count="33">
    <cacheField name="Sector" numFmtId="0">
      <sharedItems/>
    </cacheField>
    <cacheField name="Year" numFmtId="0">
      <sharedItems containsSemiMixedTypes="0" containsString="0" containsNumber="1" containsInteger="1" minValue="2013" maxValue="2023" count="11">
        <n v="2022"/>
        <n v="2019"/>
        <n v="2018"/>
        <n v="2017"/>
        <n v="2016"/>
        <n v="2015"/>
        <n v="2014"/>
        <n v="2013"/>
        <n v="2023"/>
        <n v="2020"/>
        <n v="2021"/>
      </sharedItems>
    </cacheField>
    <cacheField name="Month" numFmtId="0">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Food" numFmtId="2">
      <sharedItems containsSemiMixedTypes="0" containsString="0" containsNumber="1" minValue="105.5153846153846" maxValue="179.62307692307692"/>
    </cacheField>
    <cacheField name="Energy/Fuel" numFmtId="2">
      <sharedItems containsSemiMixedTypes="0" containsString="0" containsNumber="1" minValue="105.4" maxValue="183.4"/>
    </cacheField>
    <cacheField name="Transportation" numFmtId="2">
      <sharedItems containsSemiMixedTypes="0" containsString="0" containsNumber="1" minValue="103.2" maxValue="169.7"/>
    </cacheField>
    <cacheField name="Housing " numFmtId="2">
      <sharedItems containsSemiMixedTypes="0" containsString="0" containsNumber="1" minValue="102.55" maxValue="177.7"/>
    </cacheField>
    <cacheField name="Healthcare" numFmtId="2">
      <sharedItems containsSemiMixedTypes="0" containsString="0" containsNumber="1" minValue="104" maxValue="187.8"/>
    </cacheField>
    <cacheField name="Education &amp; Recreation " numFmtId="2">
      <sharedItems containsSemiMixedTypes="0" containsString="0" containsNumber="1" minValue="103.2" maxValue="177.05"/>
    </cacheField>
    <cacheField name="Others" numFmtId="2">
      <sharedItems containsSemiMixedTypes="0" containsString="0" containsNumber="1" minValue="103.44999999999999" maxValue="182.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n v="2022"/>
    <x v="0"/>
    <n v="162.9"/>
    <n v="206.7"/>
    <n v="169"/>
    <n v="169.5"/>
    <n v="194.1"/>
    <n v="164.1"/>
    <n v="176.9"/>
    <n v="169"/>
    <n v="120.8"/>
    <n v="199.1"/>
    <n v="175.4"/>
    <n v="184.8"/>
    <n v="175.5"/>
    <n v="162.1"/>
    <n v="179.7"/>
    <n v="173.6"/>
    <n v="180.2"/>
    <n v="166.9"/>
    <n v="170"/>
    <n v="176.2"/>
    <n v="170.8"/>
    <n v="173.1"/>
    <n v="176.4"/>
    <x v="0"/>
    <x v="0"/>
    <x v="0"/>
    <x v="0"/>
    <x v="0"/>
    <x v="0"/>
    <n v="171.95"/>
  </r>
  <r>
    <s v="Rural+Urban"/>
    <n v="2022"/>
    <x v="0"/>
    <n v="163.5"/>
    <n v="209.2"/>
    <n v="169.7"/>
    <n v="169.7"/>
    <n v="188.7"/>
    <n v="165.7"/>
    <n v="191.8"/>
    <n v="169.1"/>
    <n v="121.6"/>
    <n v="197.3"/>
    <n v="169.4"/>
    <n v="187.4"/>
    <n v="177.8"/>
    <n v="169.5"/>
    <n v="179.5"/>
    <n v="169.5"/>
    <n v="177.8"/>
    <n v="162.30000000000001"/>
    <n v="167.6"/>
    <n v="173.1"/>
    <n v="170.9"/>
    <n v="169.7"/>
    <n v="175.3"/>
    <x v="1"/>
    <x v="1"/>
    <x v="1"/>
    <x v="1"/>
    <x v="1"/>
    <x v="1"/>
    <n v="170.3"/>
  </r>
  <r>
    <s v="Urban"/>
    <n v="2022"/>
    <x v="0"/>
    <n v="164.9"/>
    <n v="213.7"/>
    <n v="170.9"/>
    <n v="170.1"/>
    <n v="179.3"/>
    <n v="167.5"/>
    <n v="220.8"/>
    <n v="169.2"/>
    <n v="123.1"/>
    <n v="193.6"/>
    <n v="161.1"/>
    <n v="190.4"/>
    <n v="181.8"/>
    <n v="169.5"/>
    <n v="179.2"/>
    <n v="165"/>
    <n v="173.8"/>
    <n v="158.19999999999999"/>
    <n v="165.8"/>
    <n v="170.9"/>
    <n v="171.1"/>
    <n v="166.1"/>
    <n v="174.1"/>
    <x v="2"/>
    <x v="2"/>
    <x v="2"/>
    <x v="2"/>
    <x v="2"/>
    <x v="2"/>
    <n v="168.6"/>
  </r>
  <r>
    <s v="Rural"/>
    <n v="2019"/>
    <x v="1"/>
    <n v="139.19999999999999"/>
    <n v="161.9"/>
    <n v="137.1"/>
    <n v="144.6"/>
    <n v="124.7"/>
    <n v="145.5"/>
    <n v="156.19999999999999"/>
    <n v="131.5"/>
    <n v="111.7"/>
    <n v="142.69999999999999"/>
    <n v="138.5"/>
    <n v="156.9"/>
    <n v="144"/>
    <n v="151.6"/>
    <n v="146.4"/>
    <n v="150.19999999999999"/>
    <n v="152.69999999999999"/>
    <n v="131.4"/>
    <n v="148"/>
    <n v="159.69999999999999"/>
    <n v="138.80000000000001"/>
    <n v="144.9"/>
    <n v="145.69999999999999"/>
    <x v="3"/>
    <x v="3"/>
    <x v="3"/>
    <x v="3"/>
    <x v="3"/>
    <x v="3"/>
    <n v="141.85000000000002"/>
  </r>
  <r>
    <s v="Rural+Urban"/>
    <n v="2019"/>
    <x v="1"/>
    <n v="140.1"/>
    <n v="160.6"/>
    <n v="138.5"/>
    <n v="144.69999999999999"/>
    <n v="122.9"/>
    <n v="149.4"/>
    <n v="167.4"/>
    <n v="130.9"/>
    <n v="112"/>
    <n v="142.6"/>
    <n v="134.9"/>
    <n v="156.6"/>
    <n v="145.9"/>
    <n v="151.6"/>
    <n v="138.5"/>
    <n v="144.5"/>
    <n v="148.5"/>
    <n v="125.8"/>
    <n v="140.9"/>
    <n v="154.9"/>
    <n v="138.4"/>
    <n v="140.19999999999999"/>
    <n v="145"/>
    <x v="4"/>
    <x v="4"/>
    <x v="4"/>
    <x v="4"/>
    <x v="4"/>
    <x v="4"/>
    <n v="139.30000000000001"/>
  </r>
  <r>
    <s v="Urban"/>
    <n v="2019"/>
    <x v="1"/>
    <n v="142.1"/>
    <n v="158.30000000000001"/>
    <n v="140.80000000000001"/>
    <n v="144.9"/>
    <n v="119.9"/>
    <n v="153.9"/>
    <n v="189.1"/>
    <n v="129.80000000000001"/>
    <n v="112.7"/>
    <n v="142.5"/>
    <n v="129.80000000000001"/>
    <n v="156.19999999999999"/>
    <n v="149.1"/>
    <n v="151.6"/>
    <n v="125.5"/>
    <n v="138.1"/>
    <n v="141.5"/>
    <n v="120.8"/>
    <n v="135.4"/>
    <n v="151.5"/>
    <n v="137.80000000000001"/>
    <n v="135.30000000000001"/>
    <n v="144.19999999999999"/>
    <x v="5"/>
    <x v="5"/>
    <x v="5"/>
    <x v="5"/>
    <x v="5"/>
    <x v="5"/>
    <n v="136.55000000000001"/>
  </r>
  <r>
    <s v="Rural"/>
    <n v="2019"/>
    <x v="2"/>
    <n v="142.80000000000001"/>
    <n v="165.3"/>
    <n v="149.5"/>
    <n v="148.69999999999999"/>
    <n v="127.5"/>
    <n v="144.30000000000001"/>
    <n v="209.5"/>
    <n v="138.80000000000001"/>
    <n v="113.6"/>
    <n v="149.1"/>
    <n v="139.30000000000001"/>
    <n v="158.30000000000001"/>
    <n v="154.30000000000001"/>
    <n v="152.80000000000001"/>
    <n v="149.9"/>
    <n v="151.19999999999999"/>
    <n v="154.80000000000001"/>
    <n v="135"/>
    <n v="149.5"/>
    <n v="161.1"/>
    <n v="140.6"/>
    <n v="147.1"/>
    <n v="152.30000000000001"/>
    <x v="6"/>
    <x v="6"/>
    <x v="6"/>
    <x v="6"/>
    <x v="6"/>
    <x v="6"/>
    <n v="143.85"/>
  </r>
  <r>
    <s v="Rural+Urban"/>
    <n v="2019"/>
    <x v="2"/>
    <n v="143.5"/>
    <n v="165"/>
    <n v="151.1"/>
    <n v="148.30000000000001"/>
    <n v="125.7"/>
    <n v="145.69999999999999"/>
    <n v="217"/>
    <n v="138.30000000000001"/>
    <n v="114"/>
    <n v="148.69999999999999"/>
    <n v="135.80000000000001"/>
    <n v="158"/>
    <n v="155"/>
    <n v="152.80000000000001"/>
    <n v="143.69999999999999"/>
    <n v="145.80000000000001"/>
    <n v="150.4"/>
    <n v="129.80000000000001"/>
    <n v="142.30000000000001"/>
    <n v="155.69999999999999"/>
    <n v="140.4"/>
    <n v="142.5"/>
    <n v="150.4"/>
    <x v="7"/>
    <x v="7"/>
    <x v="7"/>
    <x v="7"/>
    <x v="7"/>
    <x v="7"/>
    <n v="141.44999999999999"/>
  </r>
  <r>
    <s v="Urban"/>
    <n v="2019"/>
    <x v="2"/>
    <n v="144.9"/>
    <n v="164.5"/>
    <n v="153.69999999999999"/>
    <n v="147.5"/>
    <n v="122.7"/>
    <n v="147.19999999999999"/>
    <n v="231.5"/>
    <n v="137.19999999999999"/>
    <n v="114.7"/>
    <n v="148"/>
    <n v="130.80000000000001"/>
    <n v="157.69999999999999"/>
    <n v="156.30000000000001"/>
    <n v="152.80000000000001"/>
    <n v="133.6"/>
    <n v="139.80000000000001"/>
    <n v="143.19999999999999"/>
    <n v="125.2"/>
    <n v="136.80000000000001"/>
    <n v="151.9"/>
    <n v="140.19999999999999"/>
    <n v="137.69999999999999"/>
    <n v="148.30000000000001"/>
    <x v="8"/>
    <x v="8"/>
    <x v="8"/>
    <x v="8"/>
    <x v="8"/>
    <x v="8"/>
    <n v="138.94999999999999"/>
  </r>
  <r>
    <s v="Rural"/>
    <n v="2019"/>
    <x v="3"/>
    <n v="136.80000000000001"/>
    <n v="153"/>
    <n v="139.1"/>
    <n v="142.5"/>
    <n v="124.1"/>
    <n v="135.80000000000001"/>
    <n v="128.69999999999999"/>
    <n v="121.5"/>
    <n v="108.3"/>
    <n v="139.19999999999999"/>
    <n v="137.4"/>
    <n v="156.19999999999999"/>
    <n v="137.19999999999999"/>
    <n v="148.5"/>
    <n v="145.30000000000001"/>
    <n v="150.1"/>
    <n v="149.9"/>
    <n v="129.19999999999999"/>
    <n v="143.4"/>
    <n v="155.5"/>
    <n v="134.9"/>
    <n v="142.19999999999999"/>
    <n v="141"/>
    <x v="9"/>
    <x v="9"/>
    <x v="9"/>
    <x v="7"/>
    <x v="9"/>
    <x v="9"/>
    <n v="138.55000000000001"/>
  </r>
  <r>
    <s v="Rural+Urban"/>
    <n v="2019"/>
    <x v="3"/>
    <n v="137.6"/>
    <n v="152"/>
    <n v="141.5"/>
    <n v="142.19999999999999"/>
    <n v="122"/>
    <n v="136.4"/>
    <n v="129.69999999999999"/>
    <n v="121"/>
    <n v="109"/>
    <n v="139.69999999999999"/>
    <n v="133.6"/>
    <n v="154.9"/>
    <n v="137.5"/>
    <n v="148.5"/>
    <n v="138.4"/>
    <n v="143.69999999999999"/>
    <n v="145.6"/>
    <n v="123.9"/>
    <n v="137.1"/>
    <n v="150.30000000000001"/>
    <n v="134.1"/>
    <n v="137.4"/>
    <n v="139.9"/>
    <x v="10"/>
    <x v="10"/>
    <x v="10"/>
    <x v="9"/>
    <x v="10"/>
    <x v="10"/>
    <n v="135.75"/>
  </r>
  <r>
    <s v="Urban"/>
    <n v="2019"/>
    <x v="3"/>
    <n v="139.4"/>
    <n v="150.1"/>
    <n v="145.30000000000001"/>
    <n v="141.69999999999999"/>
    <n v="118.4"/>
    <n v="137"/>
    <n v="131.6"/>
    <n v="119.9"/>
    <n v="110.4"/>
    <n v="140.80000000000001"/>
    <n v="128.30000000000001"/>
    <n v="153.5"/>
    <n v="138"/>
    <n v="148.5"/>
    <n v="127.1"/>
    <n v="136.6"/>
    <n v="138.5"/>
    <n v="119.2"/>
    <n v="132.19999999999999"/>
    <n v="146.6"/>
    <n v="133"/>
    <n v="132.4"/>
    <n v="138.6"/>
    <x v="11"/>
    <x v="11"/>
    <x v="11"/>
    <x v="10"/>
    <x v="11"/>
    <x v="11"/>
    <n v="132.69999999999999"/>
  </r>
  <r>
    <s v="Urban"/>
    <n v="2018"/>
    <x v="0"/>
    <n v="137"/>
    <n v="143.1"/>
    <n v="132.80000000000001"/>
    <n v="141.5"/>
    <n v="117.8"/>
    <n v="140"/>
    <n v="151.30000000000001"/>
    <n v="113.5"/>
    <n v="112.3"/>
    <n v="141.19999999999999"/>
    <n v="127.7"/>
    <n v="151.30000000000001"/>
    <n v="138.9"/>
    <n v="145.30000000000001"/>
    <n v="131.19999999999999"/>
    <n v="134.9"/>
    <n v="135.69999999999999"/>
    <n v="122.5"/>
    <n v="130.19999999999999"/>
    <n v="145.19999999999999"/>
    <n v="129.30000000000001"/>
    <n v="131.9"/>
    <n v="138.1"/>
    <x v="12"/>
    <x v="12"/>
    <x v="12"/>
    <x v="11"/>
    <x v="12"/>
    <x v="12"/>
    <n v="130.60000000000002"/>
  </r>
  <r>
    <s v="Rural+Urban"/>
    <n v="2018"/>
    <x v="0"/>
    <n v="138.6"/>
    <n v="145.80000000000001"/>
    <n v="135.1"/>
    <n v="142.9"/>
    <n v="122.1"/>
    <n v="145.4"/>
    <n v="150"/>
    <n v="121.4"/>
    <n v="113.7"/>
    <n v="139.5"/>
    <n v="130.80000000000001"/>
    <n v="153.80000000000001"/>
    <n v="140.4"/>
    <n v="145.30000000000001"/>
    <n v="142.30000000000001"/>
    <n v="139.69999999999999"/>
    <n v="138.4"/>
    <n v="126"/>
    <n v="134.5"/>
    <n v="146.19999999999999"/>
    <n v="130.9"/>
    <n v="134.69999999999999"/>
    <n v="140.19999999999999"/>
    <x v="13"/>
    <x v="13"/>
    <x v="13"/>
    <x v="12"/>
    <x v="13"/>
    <x v="13"/>
    <n v="132.80000000000001"/>
  </r>
  <r>
    <s v="Rural"/>
    <n v="2018"/>
    <x v="0"/>
    <n v="139.4"/>
    <n v="147.19999999999999"/>
    <n v="136.6"/>
    <n v="143.69999999999999"/>
    <n v="124.6"/>
    <n v="150.1"/>
    <n v="149.4"/>
    <n v="125.4"/>
    <n v="114.4"/>
    <n v="138.69999999999999"/>
    <n v="133.1"/>
    <n v="155.9"/>
    <n v="141.30000000000001"/>
    <n v="145.30000000000001"/>
    <n v="149"/>
    <n v="144"/>
    <n v="140"/>
    <n v="129.9"/>
    <n v="140"/>
    <n v="147.6"/>
    <n v="132"/>
    <n v="137.4"/>
    <n v="142.1"/>
    <x v="14"/>
    <x v="14"/>
    <x v="14"/>
    <x v="13"/>
    <x v="14"/>
    <x v="14"/>
    <n v="134.69999999999999"/>
  </r>
  <r>
    <s v="Urban"/>
    <n v="2017"/>
    <x v="0"/>
    <n v="133.6"/>
    <n v="143"/>
    <n v="129.69999999999999"/>
    <n v="138.69999999999999"/>
    <n v="114.5"/>
    <n v="137.5"/>
    <n v="160.69999999999999"/>
    <n v="124.5"/>
    <n v="122.4"/>
    <n v="137.30000000000001"/>
    <n v="124.8"/>
    <n v="145"/>
    <n v="138"/>
    <n v="135.69999999999999"/>
    <n v="120.6"/>
    <n v="128.1"/>
    <n v="126.1"/>
    <n v="115.7"/>
    <n v="124.5"/>
    <n v="135.9"/>
    <n v="124.4"/>
    <n v="124.5"/>
    <n v="132.4"/>
    <x v="15"/>
    <x v="15"/>
    <x v="15"/>
    <x v="14"/>
    <x v="15"/>
    <x v="15"/>
    <n v="124.45"/>
  </r>
  <r>
    <s v="Rural+Urban"/>
    <n v="2017"/>
    <x v="0"/>
    <n v="134.69999999999999"/>
    <n v="142.4"/>
    <n v="130.19999999999999"/>
    <n v="139.6"/>
    <n v="118.4"/>
    <n v="143"/>
    <n v="156.6"/>
    <n v="132.9"/>
    <n v="121.5"/>
    <n v="135.6"/>
    <n v="128.80000000000001"/>
    <n v="147.30000000000001"/>
    <n v="139"/>
    <n v="135.69999999999999"/>
    <n v="131"/>
    <n v="133.30000000000001"/>
    <n v="130.6"/>
    <n v="118.3"/>
    <n v="127.9"/>
    <n v="137.4"/>
    <n v="125.7"/>
    <n v="127.5"/>
    <n v="135.19999999999999"/>
    <x v="16"/>
    <x v="16"/>
    <x v="16"/>
    <x v="15"/>
    <x v="16"/>
    <x v="16"/>
    <n v="126.6"/>
  </r>
  <r>
    <s v="Rural"/>
    <n v="2017"/>
    <x v="0"/>
    <n v="135.19999999999999"/>
    <n v="142"/>
    <n v="130.5"/>
    <n v="140.19999999999999"/>
    <n v="120.7"/>
    <n v="147.80000000000001"/>
    <n v="154.5"/>
    <n v="137.1"/>
    <n v="121"/>
    <n v="134.69999999999999"/>
    <n v="131.69999999999999"/>
    <n v="149.30000000000001"/>
    <n v="139.6"/>
    <n v="135.69999999999999"/>
    <n v="137.4"/>
    <n v="137.9"/>
    <n v="133.4"/>
    <n v="121.2"/>
    <n v="132.30000000000001"/>
    <n v="139.6"/>
    <n v="126.7"/>
    <n v="130.30000000000001"/>
    <n v="137.6"/>
    <x v="17"/>
    <x v="17"/>
    <x v="17"/>
    <x v="16"/>
    <x v="17"/>
    <x v="17"/>
    <n v="128.5"/>
  </r>
  <r>
    <s v="Urban"/>
    <n v="2016"/>
    <x v="0"/>
    <n v="128.1"/>
    <n v="137.69999999999999"/>
    <n v="130.6"/>
    <n v="132.6"/>
    <n v="111.9"/>
    <n v="132.5"/>
    <n v="152.9"/>
    <n v="173.6"/>
    <n v="115.1"/>
    <n v="144.80000000000001"/>
    <n v="122.1"/>
    <n v="138.80000000000001"/>
    <n v="135.69999999999999"/>
    <n v="127.9"/>
    <n v="114.8"/>
    <n v="124.3"/>
    <n v="121.4"/>
    <n v="111.8"/>
    <n v="120.8"/>
    <n v="131.6"/>
    <n v="121.2"/>
    <n v="120.5"/>
    <n v="128"/>
    <x v="18"/>
    <x v="18"/>
    <x v="18"/>
    <x v="17"/>
    <x v="18"/>
    <x v="18"/>
    <n v="120.85"/>
  </r>
  <r>
    <s v="Rural+Urban"/>
    <n v="2016"/>
    <x v="0"/>
    <n v="129.9"/>
    <n v="138"/>
    <n v="130.5"/>
    <n v="134.4"/>
    <n v="117.2"/>
    <n v="136.1"/>
    <n v="150.69999999999999"/>
    <n v="171.5"/>
    <n v="113.8"/>
    <n v="138.80000000000001"/>
    <n v="126"/>
    <n v="140.19999999999999"/>
    <n v="136.6"/>
    <n v="127.9"/>
    <n v="124.1"/>
    <n v="127.9"/>
    <n v="125.4"/>
    <n v="114.3"/>
    <n v="122.9"/>
    <n v="131.80000000000001"/>
    <n v="122.1"/>
    <n v="122.8"/>
    <n v="130.9"/>
    <x v="19"/>
    <x v="19"/>
    <x v="19"/>
    <x v="18"/>
    <x v="19"/>
    <x v="19"/>
    <n v="122.44999999999999"/>
  </r>
  <r>
    <s v="Rural"/>
    <n v="2016"/>
    <x v="0"/>
    <n v="130.80000000000001"/>
    <n v="138.19999999999999"/>
    <n v="130.5"/>
    <n v="135.5"/>
    <n v="120.2"/>
    <n v="139.19999999999999"/>
    <n v="149.5"/>
    <n v="170.4"/>
    <n v="113.1"/>
    <n v="135.80000000000001"/>
    <n v="128.80000000000001"/>
    <n v="141.5"/>
    <n v="137.19999999999999"/>
    <n v="127.9"/>
    <n v="129.69999999999999"/>
    <n v="131.1"/>
    <n v="127.8"/>
    <n v="117"/>
    <n v="125.7"/>
    <n v="132.19999999999999"/>
    <n v="122.8"/>
    <n v="124.9"/>
    <n v="133.4"/>
    <x v="20"/>
    <x v="20"/>
    <x v="20"/>
    <x v="19"/>
    <x v="20"/>
    <x v="20"/>
    <n v="123.85"/>
  </r>
  <r>
    <s v="Urban"/>
    <n v="2015"/>
    <x v="0"/>
    <n v="123.4"/>
    <n v="129"/>
    <n v="115.6"/>
    <n v="128.30000000000001"/>
    <n v="107"/>
    <n v="124"/>
    <n v="168.5"/>
    <n v="165.4"/>
    <n v="86.3"/>
    <n v="134.4"/>
    <n v="119.1"/>
    <n v="132.30000000000001"/>
    <n v="131.5"/>
    <n v="121.6"/>
    <n v="115.1"/>
    <n v="120.4"/>
    <n v="117.1"/>
    <n v="109.1"/>
    <n v="117.3"/>
    <n v="126.5"/>
    <n v="112.9"/>
    <n v="116.2"/>
    <n v="123.5"/>
    <x v="21"/>
    <x v="21"/>
    <x v="21"/>
    <x v="20"/>
    <x v="21"/>
    <x v="21"/>
    <n v="114.55000000000001"/>
  </r>
  <r>
    <s v="Rural+Urban"/>
    <n v="2015"/>
    <x v="0"/>
    <n v="124.6"/>
    <n v="130.4"/>
    <n v="118.7"/>
    <n v="128.9"/>
    <n v="111.9"/>
    <n v="128.4"/>
    <n v="162.19999999999999"/>
    <n v="150"/>
    <n v="90.4"/>
    <n v="128.4"/>
    <n v="120.7"/>
    <n v="132.5"/>
    <n v="131.19999999999999"/>
    <n v="121.6"/>
    <n v="120.4"/>
    <n v="122.6"/>
    <n v="119.8"/>
    <n v="111.3"/>
    <n v="118.3"/>
    <n v="125.7"/>
    <n v="113.4"/>
    <n v="117.5"/>
    <n v="125.4"/>
    <x v="22"/>
    <x v="22"/>
    <x v="22"/>
    <x v="21"/>
    <x v="22"/>
    <x v="22"/>
    <n v="115.45"/>
  </r>
  <r>
    <s v="Rural"/>
    <n v="2015"/>
    <x v="0"/>
    <n v="125.1"/>
    <n v="131.1"/>
    <n v="120.7"/>
    <n v="129.19999999999999"/>
    <n v="114.7"/>
    <n v="132.30000000000001"/>
    <n v="158.9"/>
    <n v="142.1"/>
    <n v="92.5"/>
    <n v="125.4"/>
    <n v="121.9"/>
    <n v="132.69999999999999"/>
    <n v="131"/>
    <n v="121.6"/>
    <n v="123.7"/>
    <n v="124.5"/>
    <n v="121.4"/>
    <n v="113.8"/>
    <n v="119.6"/>
    <n v="124.5"/>
    <n v="113.7"/>
    <n v="118.8"/>
    <n v="127"/>
    <x v="23"/>
    <x v="23"/>
    <x v="23"/>
    <x v="22"/>
    <x v="18"/>
    <x v="23"/>
    <n v="116.25"/>
  </r>
  <r>
    <s v="Rural"/>
    <n v="2014"/>
    <x v="0"/>
    <n v="122.3"/>
    <n v="122.4"/>
    <n v="117.8"/>
    <n v="122.7"/>
    <n v="110.4"/>
    <n v="129.80000000000001"/>
    <n v="158.80000000000001"/>
    <n v="115"/>
    <n v="104.7"/>
    <n v="114.9"/>
    <n v="116.5"/>
    <n v="122.6"/>
    <n v="125.3"/>
    <n v="109.7"/>
    <n v="115.8"/>
    <n v="116.7"/>
    <n v="114.5"/>
    <n v="112.8"/>
    <n v="112.6"/>
    <n v="116.6"/>
    <n v="109.1"/>
    <n v="113.7"/>
    <n v="120.9"/>
    <x v="24"/>
    <x v="24"/>
    <x v="24"/>
    <x v="23"/>
    <x v="23"/>
    <x v="24"/>
    <n v="111.4"/>
  </r>
  <r>
    <s v="Rural+Urban"/>
    <n v="2014"/>
    <x v="0"/>
    <n v="122.9"/>
    <n v="123.5"/>
    <n v="117.3"/>
    <n v="122.7"/>
    <n v="107.9"/>
    <n v="127.3"/>
    <n v="162.1"/>
    <n v="115.6"/>
    <n v="103.8"/>
    <n v="117.6"/>
    <n v="115.8"/>
    <n v="123.8"/>
    <n v="125.8"/>
    <n v="116.1"/>
    <n v="114.3"/>
    <n v="116.1"/>
    <n v="113.7"/>
    <n v="112"/>
    <n v="113.1"/>
    <n v="118.6"/>
    <n v="109.5"/>
    <n v="113.7"/>
    <n v="120.1"/>
    <x v="25"/>
    <x v="25"/>
    <x v="25"/>
    <x v="24"/>
    <x v="24"/>
    <x v="25"/>
    <n v="111.6"/>
  </r>
  <r>
    <s v="Urban"/>
    <n v="2014"/>
    <x v="0"/>
    <n v="124.2"/>
    <n v="125.4"/>
    <n v="116.4"/>
    <n v="122.7"/>
    <n v="103.5"/>
    <n v="124.5"/>
    <n v="168.6"/>
    <n v="116.9"/>
    <n v="101.9"/>
    <n v="122.9"/>
    <n v="114.8"/>
    <n v="125.2"/>
    <n v="126.7"/>
    <n v="116.1"/>
    <n v="111.8"/>
    <n v="115.5"/>
    <n v="112.3"/>
    <n v="111.2"/>
    <n v="113.4"/>
    <n v="120"/>
    <n v="110"/>
    <n v="113.6"/>
    <n v="119.2"/>
    <x v="26"/>
    <x v="26"/>
    <x v="26"/>
    <x v="25"/>
    <x v="25"/>
    <x v="26"/>
    <n v="111.8"/>
  </r>
  <r>
    <s v="Rural"/>
    <n v="2013"/>
    <x v="0"/>
    <n v="115.4"/>
    <n v="115.7"/>
    <n v="111.7"/>
    <n v="111"/>
    <n v="107.4"/>
    <n v="110.9"/>
    <n v="154"/>
    <n v="108.1"/>
    <n v="104.2"/>
    <n v="107.9"/>
    <n v="110.4"/>
    <n v="114"/>
    <n v="117.8"/>
    <n v="109.7"/>
    <n v="111.1"/>
    <n v="109.6"/>
    <n v="108.3"/>
    <n v="109.3"/>
    <n v="107.7"/>
    <n v="109.8"/>
    <n v="106.7"/>
    <n v="108.7"/>
    <n v="114.2"/>
    <x v="27"/>
    <x v="27"/>
    <x v="27"/>
    <x v="26"/>
    <x v="26"/>
    <x v="27"/>
    <n v="107.7"/>
  </r>
  <r>
    <s v="Rural+Urban"/>
    <n v="2013"/>
    <x v="0"/>
    <n v="116.4"/>
    <n v="116.9"/>
    <n v="112.3"/>
    <n v="110.5"/>
    <n v="105.3"/>
    <n v="107.3"/>
    <n v="160.9"/>
    <n v="107.1"/>
    <n v="103.1"/>
    <n v="108.3"/>
    <n v="110.7"/>
    <n v="114.6"/>
    <n v="118.3"/>
    <n v="109.7"/>
    <n v="110.5"/>
    <n v="109.6"/>
    <n v="108.1"/>
    <n v="109.9"/>
    <n v="107.5"/>
    <n v="110.6"/>
    <n v="106.8"/>
    <n v="109"/>
    <n v="113.7"/>
    <x v="28"/>
    <x v="28"/>
    <x v="28"/>
    <x v="26"/>
    <x v="27"/>
    <x v="28"/>
    <n v="107.9"/>
  </r>
  <r>
    <s v="Urban"/>
    <n v="2013"/>
    <x v="0"/>
    <n v="118.6"/>
    <n v="119.1"/>
    <n v="113.2"/>
    <n v="109.6"/>
    <n v="101.7"/>
    <n v="103.2"/>
    <n v="174.3"/>
    <n v="105.1"/>
    <n v="100.8"/>
    <n v="109.1"/>
    <n v="111.1"/>
    <n v="115.4"/>
    <n v="119.2"/>
    <n v="109.7"/>
    <n v="109.5"/>
    <n v="109.6"/>
    <n v="107.9"/>
    <n v="110.4"/>
    <n v="107.4"/>
    <n v="111.2"/>
    <n v="106.9"/>
    <n v="109.4"/>
    <n v="113.2"/>
    <x v="29"/>
    <x v="29"/>
    <x v="29"/>
    <x v="26"/>
    <x v="28"/>
    <x v="29"/>
    <n v="108.15"/>
  </r>
  <r>
    <s v="Rural"/>
    <n v="2022"/>
    <x v="4"/>
    <n v="164.7"/>
    <n v="208.8"/>
    <n v="170.3"/>
    <n v="170.9"/>
    <n v="191.6"/>
    <n v="162.19999999999999"/>
    <n v="184.8"/>
    <n v="169.7"/>
    <n v="121.1"/>
    <n v="201.6"/>
    <n v="175.8"/>
    <n v="185.6"/>
    <n v="177.4"/>
    <n v="163.6"/>
    <n v="180.8"/>
    <n v="174.4"/>
    <n v="181.2"/>
    <n v="167.4"/>
    <n v="170.6"/>
    <n v="176.5"/>
    <n v="172"/>
    <n v="173.9"/>
    <n v="177.9"/>
    <x v="30"/>
    <x v="30"/>
    <x v="30"/>
    <x v="27"/>
    <x v="29"/>
    <x v="30"/>
    <n v="172.95"/>
  </r>
  <r>
    <s v="Rural+Urban"/>
    <n v="2022"/>
    <x v="4"/>
    <n v="165.2"/>
    <n v="210.9"/>
    <n v="170.9"/>
    <n v="170.9"/>
    <n v="186.5"/>
    <n v="163.80000000000001"/>
    <n v="199.7"/>
    <n v="169.8"/>
    <n v="121.9"/>
    <n v="199.9"/>
    <n v="169.9"/>
    <n v="188.3"/>
    <n v="179.6"/>
    <n v="171.2"/>
    <n v="180.5"/>
    <n v="170.4"/>
    <n v="178.7"/>
    <n v="162.9"/>
    <n v="168.2"/>
    <n v="173.4"/>
    <n v="172.1"/>
    <n v="170.5"/>
    <n v="176.7"/>
    <x v="31"/>
    <x v="31"/>
    <x v="31"/>
    <x v="28"/>
    <x v="30"/>
    <x v="31"/>
    <n v="171.3"/>
  </r>
  <r>
    <s v="Urban"/>
    <n v="2022"/>
    <x v="4"/>
    <n v="166.4"/>
    <n v="214.9"/>
    <n v="171.9"/>
    <n v="171"/>
    <n v="177.7"/>
    <n v="165.7"/>
    <n v="228.6"/>
    <n v="169.9"/>
    <n v="123.4"/>
    <n v="196.4"/>
    <n v="161.6"/>
    <n v="191.5"/>
    <n v="183.3"/>
    <n v="171.2"/>
    <n v="180"/>
    <n v="166"/>
    <n v="174.7"/>
    <n v="158.80000000000001"/>
    <n v="166.3"/>
    <n v="171.2"/>
    <n v="172.3"/>
    <n v="166.8"/>
    <n v="175.3"/>
    <x v="32"/>
    <x v="32"/>
    <x v="32"/>
    <x v="29"/>
    <x v="31"/>
    <x v="32"/>
    <n v="169.55"/>
  </r>
  <r>
    <s v="Rural"/>
    <n v="2019"/>
    <x v="5"/>
    <n v="136.6"/>
    <n v="152.5"/>
    <n v="138.19999999999999"/>
    <n v="142.4"/>
    <n v="123.9"/>
    <n v="135.5"/>
    <n v="131.69999999999999"/>
    <n v="121.3"/>
    <n v="108.4"/>
    <n v="138.9"/>
    <n v="137"/>
    <n v="155.80000000000001"/>
    <n v="137.4"/>
    <n v="147.69999999999999"/>
    <n v="146.19999999999999"/>
    <n v="150.1"/>
    <n v="149.6"/>
    <n v="128.6"/>
    <n v="142.9"/>
    <n v="155.19999999999999"/>
    <n v="133.5"/>
    <n v="141.69999999999999"/>
    <n v="141"/>
    <x v="33"/>
    <x v="33"/>
    <x v="33"/>
    <x v="30"/>
    <x v="32"/>
    <x v="33"/>
    <n v="137.6"/>
  </r>
  <r>
    <s v="Rural+Urban"/>
    <n v="2019"/>
    <x v="5"/>
    <n v="137.1"/>
    <n v="151.4"/>
    <n v="140.19999999999999"/>
    <n v="142.1"/>
    <n v="121.8"/>
    <n v="135.4"/>
    <n v="131.30000000000001"/>
    <n v="120.3"/>
    <n v="109.1"/>
    <n v="139.4"/>
    <n v="133.30000000000001"/>
    <n v="154.6"/>
    <n v="137.4"/>
    <n v="147.69999999999999"/>
    <n v="139.5"/>
    <n v="143.6"/>
    <n v="145.1"/>
    <n v="123.3"/>
    <n v="136.69999999999999"/>
    <n v="150.19999999999999"/>
    <n v="132.80000000000001"/>
    <n v="136.9"/>
    <n v="139.6"/>
    <x v="34"/>
    <x v="34"/>
    <x v="34"/>
    <x v="31"/>
    <x v="33"/>
    <x v="5"/>
    <n v="134.85000000000002"/>
  </r>
  <r>
    <s v="Urban"/>
    <n v="2019"/>
    <x v="5"/>
    <n v="138.30000000000001"/>
    <n v="149.4"/>
    <n v="143.5"/>
    <n v="141.69999999999999"/>
    <n v="118.1"/>
    <n v="135.19999999999999"/>
    <n v="130.5"/>
    <n v="118.2"/>
    <n v="110.4"/>
    <n v="140.4"/>
    <n v="128.1"/>
    <n v="153.19999999999999"/>
    <n v="137.30000000000001"/>
    <n v="147.69999999999999"/>
    <n v="128.6"/>
    <n v="136.30000000000001"/>
    <n v="137.80000000000001"/>
    <n v="118.6"/>
    <n v="131.9"/>
    <n v="146.6"/>
    <n v="131.69999999999999"/>
    <n v="131.80000000000001"/>
    <n v="138"/>
    <x v="35"/>
    <x v="35"/>
    <x v="35"/>
    <x v="32"/>
    <x v="34"/>
    <x v="34"/>
    <n v="131.75"/>
  </r>
  <r>
    <s v="Rural"/>
    <n v="2019"/>
    <x v="6"/>
    <n v="138.4"/>
    <n v="164"/>
    <n v="138.4"/>
    <n v="143.9"/>
    <n v="124.4"/>
    <n v="146.4"/>
    <n v="150.1"/>
    <n v="130.6"/>
    <n v="110.8"/>
    <n v="141.69999999999999"/>
    <n v="138.5"/>
    <n v="156.69999999999999"/>
    <n v="143"/>
    <n v="150.6"/>
    <n v="146.80000000000001"/>
    <n v="150"/>
    <n v="152.19999999999999"/>
    <n v="131.19999999999999"/>
    <n v="147.5"/>
    <n v="159.1"/>
    <n v="136.1"/>
    <n v="144.19999999999999"/>
    <n v="144.9"/>
    <x v="36"/>
    <x v="36"/>
    <x v="36"/>
    <x v="33"/>
    <x v="35"/>
    <x v="35"/>
    <n v="140.14999999999998"/>
  </r>
  <r>
    <s v="Rural+Urban"/>
    <n v="2019"/>
    <x v="6"/>
    <n v="139.30000000000001"/>
    <n v="162.69999999999999"/>
    <n v="140"/>
    <n v="144"/>
    <n v="122.5"/>
    <n v="150.30000000000001"/>
    <n v="160.30000000000001"/>
    <n v="130"/>
    <n v="111.1"/>
    <n v="141.69999999999999"/>
    <n v="134.69999999999999"/>
    <n v="156.19999999999999"/>
    <n v="144.69999999999999"/>
    <n v="150.6"/>
    <n v="139.30000000000001"/>
    <n v="144.19999999999999"/>
    <n v="147.9"/>
    <n v="125.6"/>
    <n v="140.5"/>
    <n v="154"/>
    <n v="135.69999999999999"/>
    <n v="139.5"/>
    <n v="144.19999999999999"/>
    <x v="37"/>
    <x v="37"/>
    <x v="37"/>
    <x v="34"/>
    <x v="36"/>
    <x v="36"/>
    <n v="137.6"/>
  </r>
  <r>
    <s v="Urban"/>
    <n v="2019"/>
    <x v="6"/>
    <n v="141.4"/>
    <n v="160.19999999999999"/>
    <n v="142.5"/>
    <n v="144.1"/>
    <n v="119.3"/>
    <n v="154.69999999999999"/>
    <n v="180.1"/>
    <n v="128.9"/>
    <n v="111.8"/>
    <n v="141.6"/>
    <n v="129.5"/>
    <n v="155.6"/>
    <n v="147.69999999999999"/>
    <n v="150.6"/>
    <n v="127"/>
    <n v="137.69999999999999"/>
    <n v="140.80000000000001"/>
    <n v="120.6"/>
    <n v="135"/>
    <n v="150.4"/>
    <n v="135.1"/>
    <n v="134.5"/>
    <n v="143.30000000000001"/>
    <x v="38"/>
    <x v="38"/>
    <x v="38"/>
    <x v="35"/>
    <x v="37"/>
    <x v="37"/>
    <n v="134.80000000000001"/>
  </r>
  <r>
    <s v="Rural"/>
    <n v="2019"/>
    <x v="7"/>
    <n v="137.80000000000001"/>
    <n v="163.5"/>
    <n v="136.19999999999999"/>
    <n v="143.19999999999999"/>
    <n v="124.3"/>
    <n v="143.30000000000001"/>
    <n v="140.6"/>
    <n v="128.69999999999999"/>
    <n v="110.6"/>
    <n v="140.4"/>
    <n v="138"/>
    <n v="156.6"/>
    <n v="141"/>
    <n v="149.4"/>
    <n v="147.80000000000001"/>
    <n v="149.6"/>
    <n v="151.69999999999999"/>
    <n v="130.19999999999999"/>
    <n v="146.4"/>
    <n v="157.69999999999999"/>
    <n v="134.80000000000001"/>
    <n v="143.30000000000001"/>
    <n v="143.6"/>
    <x v="39"/>
    <x v="39"/>
    <x v="39"/>
    <x v="36"/>
    <x v="38"/>
    <x v="38"/>
    <n v="139.05000000000001"/>
  </r>
  <r>
    <s v="Rural+Urban"/>
    <n v="2019"/>
    <x v="7"/>
    <n v="138.69999999999999"/>
    <n v="162.1"/>
    <n v="137.80000000000001"/>
    <n v="143.30000000000001"/>
    <n v="122.2"/>
    <n v="146.80000000000001"/>
    <n v="150.5"/>
    <n v="128.30000000000001"/>
    <n v="111"/>
    <n v="140.6"/>
    <n v="134.19999999999999"/>
    <n v="155.9"/>
    <n v="142.69999999999999"/>
    <n v="149.4"/>
    <n v="141.19999999999999"/>
    <n v="143.80000000000001"/>
    <n v="147.4"/>
    <n v="124.6"/>
    <n v="139.6"/>
    <n v="152.5"/>
    <n v="134.30000000000001"/>
    <n v="138.6"/>
    <n v="142.9"/>
    <x v="40"/>
    <x v="40"/>
    <x v="40"/>
    <x v="37"/>
    <x v="39"/>
    <x v="39"/>
    <n v="136.44999999999999"/>
  </r>
  <r>
    <s v="Urban"/>
    <n v="2019"/>
    <x v="7"/>
    <n v="140.69999999999999"/>
    <n v="159.6"/>
    <n v="140.4"/>
    <n v="143.4"/>
    <n v="118.6"/>
    <n v="150.9"/>
    <n v="169.8"/>
    <n v="127.4"/>
    <n v="111.8"/>
    <n v="141"/>
    <n v="129"/>
    <n v="155.1"/>
    <n v="145.6"/>
    <n v="149.4"/>
    <n v="130.5"/>
    <n v="137.4"/>
    <n v="140.30000000000001"/>
    <n v="119.6"/>
    <n v="134.30000000000001"/>
    <n v="148.9"/>
    <n v="133.69999999999999"/>
    <n v="133.6"/>
    <n v="142.1"/>
    <x v="41"/>
    <x v="41"/>
    <x v="41"/>
    <x v="38"/>
    <x v="40"/>
    <x v="40"/>
    <n v="133.64999999999998"/>
  </r>
  <r>
    <s v="Rural+Urban"/>
    <n v="2018"/>
    <x v="4"/>
    <n v="137.4"/>
    <n v="149.5"/>
    <n v="137.30000000000001"/>
    <n v="141.9"/>
    <n v="121.1"/>
    <n v="142.5"/>
    <n v="146.69999999999999"/>
    <n v="119.1"/>
    <n v="111.9"/>
    <n v="141"/>
    <n v="133.6"/>
    <n v="154.5"/>
    <n v="139.69999999999999"/>
    <n v="146.9"/>
    <n v="145.30000000000001"/>
    <n v="142.19999999999999"/>
    <n v="142.1"/>
    <n v="125.5"/>
    <n v="136.5"/>
    <n v="147.80000000000001"/>
    <n v="132"/>
    <n v="136.30000000000001"/>
    <n v="140.80000000000001"/>
    <x v="42"/>
    <x v="9"/>
    <x v="42"/>
    <x v="39"/>
    <x v="41"/>
    <x v="41"/>
    <n v="134.15"/>
  </r>
  <r>
    <s v="Urban"/>
    <n v="2018"/>
    <x v="4"/>
    <n v="137.6"/>
    <n v="144.9"/>
    <n v="133.5"/>
    <n v="141.5"/>
    <n v="118"/>
    <n v="139.5"/>
    <n v="153"/>
    <n v="113.2"/>
    <n v="112.8"/>
    <n v="141.1"/>
    <n v="127.6"/>
    <n v="152"/>
    <n v="139.4"/>
    <n v="146.30000000000001"/>
    <n v="133.4"/>
    <n v="135.1"/>
    <n v="136.19999999999999"/>
    <n v="123.3"/>
    <n v="130.69999999999999"/>
    <n v="145.5"/>
    <n v="130.4"/>
    <n v="132.5"/>
    <n v="138.9"/>
    <x v="43"/>
    <x v="42"/>
    <x v="34"/>
    <x v="40"/>
    <x v="42"/>
    <x v="42"/>
    <n v="131.44999999999999"/>
  </r>
  <r>
    <s v="Rural"/>
    <n v="2018"/>
    <x v="4"/>
    <n v="139.30000000000001"/>
    <n v="147.6"/>
    <n v="134.6"/>
    <n v="141.9"/>
    <n v="123.5"/>
    <n v="144.5"/>
    <n v="147.6"/>
    <n v="121.4"/>
    <n v="112.3"/>
    <n v="139.5"/>
    <n v="134.6"/>
    <n v="155.19999999999999"/>
    <n v="140.19999999999999"/>
    <n v="146.6"/>
    <n v="149.69999999999999"/>
    <n v="147.5"/>
    <n v="144.80000000000001"/>
    <n v="130.80000000000001"/>
    <n v="140.1"/>
    <n v="148"/>
    <n v="134.4"/>
    <n v="139.80000000000001"/>
    <n v="142.19999999999999"/>
    <x v="44"/>
    <x v="43"/>
    <x v="43"/>
    <x v="41"/>
    <x v="43"/>
    <x v="43"/>
    <n v="137.10000000000002"/>
  </r>
  <r>
    <s v="Urban"/>
    <n v="2017"/>
    <x v="4"/>
    <n v="133.9"/>
    <n v="142.80000000000001"/>
    <n v="131.4"/>
    <n v="139.1"/>
    <n v="114.9"/>
    <n v="135.6"/>
    <n v="173.2"/>
    <n v="124.1"/>
    <n v="122.6"/>
    <n v="137.80000000000001"/>
    <n v="125.1"/>
    <n v="145.5"/>
    <n v="139.69999999999999"/>
    <n v="137.30000000000001"/>
    <n v="122.6"/>
    <n v="128.30000000000001"/>
    <n v="126.6"/>
    <n v="115"/>
    <n v="124.8"/>
    <n v="136.30000000000001"/>
    <n v="124.6"/>
    <n v="124.5"/>
    <n v="133.5"/>
    <x v="45"/>
    <x v="44"/>
    <x v="44"/>
    <x v="42"/>
    <x v="44"/>
    <x v="44"/>
    <n v="124.55"/>
  </r>
  <r>
    <s v="Rural+Urban"/>
    <n v="2017"/>
    <x v="4"/>
    <n v="135.30000000000001"/>
    <n v="142.19999999999999"/>
    <n v="131.19999999999999"/>
    <n v="140.6"/>
    <n v="119"/>
    <n v="141.5"/>
    <n v="162.6"/>
    <n v="132.30000000000001"/>
    <n v="121.8"/>
    <n v="136.30000000000001"/>
    <n v="128.69999999999999"/>
    <n v="148.1"/>
    <n v="140.1"/>
    <n v="137.30000000000001"/>
    <n v="132.19999999999999"/>
    <n v="133.6"/>
    <n v="131.30000000000001"/>
    <n v="117.8"/>
    <n v="128.4"/>
    <n v="137.9"/>
    <n v="126.2"/>
    <n v="127.7"/>
    <n v="136.1"/>
    <x v="46"/>
    <x v="45"/>
    <x v="45"/>
    <x v="43"/>
    <x v="45"/>
    <x v="45"/>
    <n v="126.95"/>
  </r>
  <r>
    <s v="Rural"/>
    <n v="2017"/>
    <x v="4"/>
    <n v="135.9"/>
    <n v="141.9"/>
    <n v="131"/>
    <n v="141.5"/>
    <n v="121.4"/>
    <n v="146.69999999999999"/>
    <n v="157.1"/>
    <n v="136.4"/>
    <n v="121.4"/>
    <n v="135.6"/>
    <n v="131.30000000000001"/>
    <n v="150.30000000000001"/>
    <n v="140.4"/>
    <n v="137.30000000000001"/>
    <n v="138.1"/>
    <n v="138.4"/>
    <n v="134.19999999999999"/>
    <n v="121"/>
    <n v="133"/>
    <n v="140.1"/>
    <n v="127.4"/>
    <n v="130.69999999999999"/>
    <n v="138.30000000000001"/>
    <x v="47"/>
    <x v="46"/>
    <x v="46"/>
    <x v="44"/>
    <x v="46"/>
    <x v="46"/>
    <n v="129.05000000000001"/>
  </r>
  <r>
    <s v="Urban"/>
    <n v="2016"/>
    <x v="4"/>
    <n v="128.69999999999999"/>
    <n v="138.4"/>
    <n v="130.30000000000001"/>
    <n v="132.69999999999999"/>
    <n v="112.5"/>
    <n v="130.4"/>
    <n v="155.1"/>
    <n v="175.7"/>
    <n v="115.4"/>
    <n v="145.30000000000001"/>
    <n v="122.5"/>
    <n v="139.6"/>
    <n v="136.30000000000001"/>
    <n v="128.69999999999999"/>
    <n v="115.2"/>
    <n v="124.5"/>
    <n v="121.8"/>
    <n v="112.8"/>
    <n v="121.2"/>
    <n v="131.9"/>
    <n v="120.8"/>
    <n v="120.9"/>
    <n v="128.6"/>
    <x v="48"/>
    <x v="47"/>
    <x v="24"/>
    <x v="45"/>
    <x v="47"/>
    <x v="47"/>
    <n v="120.85"/>
  </r>
  <r>
    <s v="Rural+Urban"/>
    <n v="2016"/>
    <x v="4"/>
    <n v="130.5"/>
    <n v="137.9"/>
    <n v="130.19999999999999"/>
    <n v="134.80000000000001"/>
    <n v="117.8"/>
    <n v="134.69999999999999"/>
    <n v="151.19999999999999"/>
    <n v="172.1"/>
    <n v="114.1"/>
    <n v="139.30000000000001"/>
    <n v="126.1"/>
    <n v="141.1"/>
    <n v="137"/>
    <n v="128.69999999999999"/>
    <n v="124.3"/>
    <n v="128.4"/>
    <n v="126.1"/>
    <n v="115.2"/>
    <n v="123.5"/>
    <n v="132.4"/>
    <n v="122.1"/>
    <n v="123.4"/>
    <n v="131.4"/>
    <x v="49"/>
    <x v="48"/>
    <x v="47"/>
    <x v="46"/>
    <x v="15"/>
    <x v="48"/>
    <n v="122.75"/>
  </r>
  <r>
    <s v="Rural"/>
    <n v="2016"/>
    <x v="4"/>
    <n v="131.30000000000001"/>
    <n v="137.6"/>
    <n v="130.1"/>
    <n v="136"/>
    <n v="120.8"/>
    <n v="138.4"/>
    <n v="149.19999999999999"/>
    <n v="170.2"/>
    <n v="113.4"/>
    <n v="136.30000000000001"/>
    <n v="128.69999999999999"/>
    <n v="142.4"/>
    <n v="137.4"/>
    <n v="128.69999999999999"/>
    <n v="129.80000000000001"/>
    <n v="131.80000000000001"/>
    <n v="128.69999999999999"/>
    <n v="117.8"/>
    <n v="126.5"/>
    <n v="133"/>
    <n v="123"/>
    <n v="125.7"/>
    <n v="133.80000000000001"/>
    <x v="50"/>
    <x v="49"/>
    <x v="45"/>
    <x v="47"/>
    <x v="48"/>
    <x v="49"/>
    <n v="124.35"/>
  </r>
  <r>
    <s v="Urban"/>
    <n v="2015"/>
    <x v="4"/>
    <n v="123.6"/>
    <n v="128.6"/>
    <n v="115.9"/>
    <n v="128.5"/>
    <n v="109"/>
    <n v="124.1"/>
    <n v="165.8"/>
    <n v="187.2"/>
    <n v="89.4"/>
    <n v="135.80000000000001"/>
    <n v="119.4"/>
    <n v="132.9"/>
    <n v="132.6"/>
    <n v="122.4"/>
    <n v="114.9"/>
    <n v="120.7"/>
    <n v="117.7"/>
    <n v="109.3"/>
    <n v="117.7"/>
    <n v="126.5"/>
    <n v="113.5"/>
    <n v="116.5"/>
    <n v="124.2"/>
    <x v="51"/>
    <x v="50"/>
    <x v="27"/>
    <x v="48"/>
    <x v="49"/>
    <x v="50"/>
    <n v="115"/>
  </r>
  <r>
    <s v="Rural+Urban"/>
    <n v="2015"/>
    <x v="4"/>
    <n v="125"/>
    <n v="129.80000000000001"/>
    <n v="118.9"/>
    <n v="129.1"/>
    <n v="113.3"/>
    <n v="129"/>
    <n v="160.4"/>
    <n v="165.3"/>
    <n v="92.3"/>
    <n v="129.69999999999999"/>
    <n v="121.1"/>
    <n v="133"/>
    <n v="132.1"/>
    <n v="122.4"/>
    <n v="120.8"/>
    <n v="123"/>
    <n v="120.4"/>
    <n v="111.4"/>
    <n v="118.7"/>
    <n v="125.9"/>
    <n v="113.9"/>
    <n v="117.9"/>
    <n v="126.1"/>
    <x v="52"/>
    <x v="51"/>
    <x v="48"/>
    <x v="49"/>
    <x v="50"/>
    <x v="51"/>
    <n v="115.9"/>
  </r>
  <r>
    <s v="Rural"/>
    <n v="2015"/>
    <x v="4"/>
    <n v="125.6"/>
    <n v="130.4"/>
    <n v="120.8"/>
    <n v="129.4"/>
    <n v="115.8"/>
    <n v="133.19999999999999"/>
    <n v="157.69999999999999"/>
    <n v="154.19999999999999"/>
    <n v="93.7"/>
    <n v="126.6"/>
    <n v="122.3"/>
    <n v="133.1"/>
    <n v="131.80000000000001"/>
    <n v="122.4"/>
    <n v="124.4"/>
    <n v="125.1"/>
    <n v="122"/>
    <n v="113.8"/>
    <n v="120.1"/>
    <n v="125.1"/>
    <n v="114.2"/>
    <n v="119.2"/>
    <n v="127.7"/>
    <x v="53"/>
    <x v="52"/>
    <x v="23"/>
    <x v="50"/>
    <x v="51"/>
    <x v="52"/>
    <n v="116.7"/>
  </r>
  <r>
    <s v="Rural"/>
    <n v="2014"/>
    <x v="4"/>
    <n v="122.6"/>
    <n v="122.5"/>
    <n v="118.3"/>
    <n v="123.2"/>
    <n v="110.5"/>
    <n v="128.9"/>
    <n v="155.30000000000001"/>
    <n v="115.5"/>
    <n v="104"/>
    <n v="115.3"/>
    <n v="116.8"/>
    <n v="123.2"/>
    <n v="125.1"/>
    <n v="110.5"/>
    <n v="116.4"/>
    <n v="117.5"/>
    <n v="115.3"/>
    <n v="112.6"/>
    <n v="113"/>
    <n v="116.9"/>
    <n v="109.3"/>
    <n v="114"/>
    <n v="121"/>
    <x v="54"/>
    <x v="53"/>
    <x v="49"/>
    <x v="51"/>
    <x v="52"/>
    <x v="53"/>
    <n v="111.65"/>
  </r>
  <r>
    <s v="Rural+Urban"/>
    <n v="2014"/>
    <x v="4"/>
    <n v="123.2"/>
    <n v="123.8"/>
    <n v="118.1"/>
    <n v="123.2"/>
    <n v="107.9"/>
    <n v="126.4"/>
    <n v="156.80000000000001"/>
    <n v="116.1"/>
    <n v="103.1"/>
    <n v="118.1"/>
    <n v="116.1"/>
    <n v="124.5"/>
    <n v="125.4"/>
    <n v="116.7"/>
    <n v="114.7"/>
    <n v="116.7"/>
    <n v="114.3"/>
    <n v="111.8"/>
    <n v="113.3"/>
    <n v="118.8"/>
    <n v="109.6"/>
    <n v="113.9"/>
    <n v="120.1"/>
    <x v="55"/>
    <x v="54"/>
    <x v="18"/>
    <x v="52"/>
    <x v="53"/>
    <x v="54"/>
    <n v="111.75"/>
  </r>
  <r>
    <s v="Urban"/>
    <n v="2014"/>
    <x v="4"/>
    <n v="124.6"/>
    <n v="126.1"/>
    <n v="117.8"/>
    <n v="123.1"/>
    <n v="103.5"/>
    <n v="123.5"/>
    <n v="159.6"/>
    <n v="117.4"/>
    <n v="101.2"/>
    <n v="123.8"/>
    <n v="115.2"/>
    <n v="125.9"/>
    <n v="125.8"/>
    <n v="116.7"/>
    <n v="112"/>
    <n v="115.8"/>
    <n v="112.6"/>
    <n v="111"/>
    <n v="113.6"/>
    <n v="120.2"/>
    <n v="110.1"/>
    <n v="113.7"/>
    <n v="119.1"/>
    <x v="56"/>
    <x v="55"/>
    <x v="50"/>
    <x v="53"/>
    <x v="54"/>
    <x v="55"/>
    <n v="111.9"/>
  </r>
  <r>
    <s v="Rural"/>
    <n v="2013"/>
    <x v="4"/>
    <n v="116.3"/>
    <n v="115.4"/>
    <n v="112.6"/>
    <n v="111.7"/>
    <n v="107.7"/>
    <n v="113.2"/>
    <n v="164.9"/>
    <n v="108.3"/>
    <n v="103.9"/>
    <n v="108.2"/>
    <n v="111.1"/>
    <n v="114.9"/>
    <n v="119.8"/>
    <n v="169.5"/>
    <n v="111.6"/>
    <n v="110.4"/>
    <n v="108.9"/>
    <n v="109.3"/>
    <n v="108.3"/>
    <n v="110.2"/>
    <n v="107.5"/>
    <n v="109.1"/>
    <n v="115.5"/>
    <x v="57"/>
    <x v="56"/>
    <x v="27"/>
    <x v="54"/>
    <x v="55"/>
    <x v="56"/>
    <n v="108.3"/>
  </r>
  <r>
    <s v="Rural+Urban"/>
    <n v="2013"/>
    <x v="4"/>
    <n v="117.1"/>
    <n v="116.3"/>
    <n v="113.3"/>
    <n v="111.2"/>
    <n v="105.7"/>
    <n v="109.9"/>
    <n v="171.2"/>
    <n v="107.3"/>
    <n v="102.7"/>
    <n v="108.7"/>
    <n v="111.2"/>
    <n v="115.4"/>
    <n v="120.2"/>
    <n v="110.5"/>
    <n v="110.9"/>
    <n v="110.3"/>
    <n v="108.6"/>
    <n v="109.5"/>
    <n v="108.1"/>
    <n v="110.8"/>
    <n v="107.4"/>
    <n v="109.2"/>
    <n v="114.8"/>
    <x v="58"/>
    <x v="57"/>
    <x v="51"/>
    <x v="55"/>
    <x v="56"/>
    <x v="57"/>
    <n v="108.30000000000001"/>
  </r>
  <r>
    <s v="Urban"/>
    <n v="2013"/>
    <x v="4"/>
    <n v="118.9"/>
    <n v="118.1"/>
    <n v="114.5"/>
    <n v="110.4"/>
    <n v="102.3"/>
    <n v="106.2"/>
    <n v="183.5"/>
    <n v="105.3"/>
    <n v="100.2"/>
    <n v="109.6"/>
    <n v="111.4"/>
    <n v="116"/>
    <n v="120.8"/>
    <n v="110.5"/>
    <n v="109.7"/>
    <n v="110.2"/>
    <n v="108.2"/>
    <n v="109.7"/>
    <n v="108"/>
    <n v="111.3"/>
    <n v="107.3"/>
    <n v="109.4"/>
    <n v="114"/>
    <x v="59"/>
    <x v="58"/>
    <x v="52"/>
    <x v="56"/>
    <x v="57"/>
    <x v="58"/>
    <n v="108.35"/>
  </r>
  <r>
    <s v="Rural"/>
    <n v="2013"/>
    <x v="8"/>
    <n v="117.3"/>
    <n v="114.9"/>
    <n v="116.2"/>
    <n v="112.8"/>
    <n v="108.9"/>
    <n v="116.6"/>
    <n v="178.1"/>
    <n v="109.1"/>
    <n v="103.6"/>
    <n v="109"/>
    <n v="111.8"/>
    <n v="116"/>
    <n v="122.5"/>
    <n v="171.2"/>
    <n v="112.6"/>
    <n v="111.3"/>
    <n v="109.7"/>
    <n v="109.6"/>
    <n v="108.7"/>
    <n v="111"/>
    <n v="108.2"/>
    <n v="109.8"/>
    <n v="117.4"/>
    <x v="60"/>
    <x v="59"/>
    <x v="53"/>
    <x v="57"/>
    <x v="58"/>
    <x v="59"/>
    <n v="109"/>
  </r>
  <r>
    <s v="Rural"/>
    <n v="2022"/>
    <x v="9"/>
    <n v="166.9"/>
    <n v="207.2"/>
    <n v="180.2"/>
    <n v="172.3"/>
    <n v="194"/>
    <n v="159.1"/>
    <n v="171.6"/>
    <n v="170.2"/>
    <n v="121.5"/>
    <n v="204.8"/>
    <n v="176.4"/>
    <n v="186.9"/>
    <n v="176.6"/>
    <n v="164.2"/>
    <n v="181.9"/>
    <n v="175.5"/>
    <n v="182.3"/>
    <n v="167.5"/>
    <n v="170.8"/>
    <n v="176.9"/>
    <n v="173.4"/>
    <n v="174.6"/>
    <n v="177.8"/>
    <x v="61"/>
    <x v="60"/>
    <x v="54"/>
    <x v="58"/>
    <x v="59"/>
    <x v="60"/>
    <n v="174"/>
  </r>
  <r>
    <s v="Rural+Urban"/>
    <n v="2022"/>
    <x v="9"/>
    <n v="167.4"/>
    <n v="209.4"/>
    <n v="181.4"/>
    <n v="172.3"/>
    <n v="188.9"/>
    <n v="160.69999999999999"/>
    <n v="183.1"/>
    <n v="170.5"/>
    <n v="122.1"/>
    <n v="202.8"/>
    <n v="170.4"/>
    <n v="189.5"/>
    <n v="178.3"/>
    <n v="171.8"/>
    <n v="181.3"/>
    <n v="171.4"/>
    <n v="179.8"/>
    <n v="163"/>
    <n v="168.5"/>
    <n v="173.7"/>
    <n v="173.6"/>
    <n v="171.1"/>
    <n v="176.5"/>
    <x v="62"/>
    <x v="61"/>
    <x v="55"/>
    <x v="59"/>
    <x v="60"/>
    <x v="61"/>
    <n v="172.35"/>
  </r>
  <r>
    <s v="Urban"/>
    <n v="2022"/>
    <x v="9"/>
    <n v="168.4"/>
    <n v="213.4"/>
    <n v="183.2"/>
    <n v="172.3"/>
    <n v="180"/>
    <n v="162.6"/>
    <n v="205.5"/>
    <n v="171"/>
    <n v="123.4"/>
    <n v="198.8"/>
    <n v="162.1"/>
    <n v="192.4"/>
    <n v="181.3"/>
    <n v="171.8"/>
    <n v="180.3"/>
    <n v="166.9"/>
    <n v="175.8"/>
    <n v="158.9"/>
    <n v="166.7"/>
    <n v="171.5"/>
    <n v="173.8"/>
    <n v="167.4"/>
    <n v="174.1"/>
    <x v="63"/>
    <x v="62"/>
    <x v="56"/>
    <x v="60"/>
    <x v="61"/>
    <x v="62"/>
    <n v="170.60000000000002"/>
  </r>
  <r>
    <s v="Rural"/>
    <n v="2019"/>
    <x v="10"/>
    <n v="136.9"/>
    <n v="154.1"/>
    <n v="138.69999999999999"/>
    <n v="142.5"/>
    <n v="124.1"/>
    <n v="136.1"/>
    <n v="128.19999999999999"/>
    <n v="122.3"/>
    <n v="108.3"/>
    <n v="138.9"/>
    <n v="137.4"/>
    <n v="156.4"/>
    <n v="137.30000000000001"/>
    <n v="149"/>
    <n v="146.4"/>
    <n v="150"/>
    <n v="150.4"/>
    <n v="129.9"/>
    <n v="143.80000000000001"/>
    <n v="155.5"/>
    <n v="134"/>
    <n v="142.4"/>
    <n v="141.19999999999999"/>
    <x v="64"/>
    <x v="3"/>
    <x v="14"/>
    <x v="36"/>
    <x v="7"/>
    <x v="63"/>
    <n v="138.19999999999999"/>
  </r>
  <r>
    <s v="Rural+Urban"/>
    <n v="2019"/>
    <x v="10"/>
    <n v="137.80000000000001"/>
    <n v="153"/>
    <n v="140.30000000000001"/>
    <n v="142.30000000000001"/>
    <n v="122"/>
    <n v="137.6"/>
    <n v="132.6"/>
    <n v="121.8"/>
    <n v="109"/>
    <n v="139.5"/>
    <n v="133.69999999999999"/>
    <n v="155.19999999999999"/>
    <n v="138.1"/>
    <n v="149"/>
    <n v="139.69999999999999"/>
    <n v="143.80000000000001"/>
    <n v="146.19999999999999"/>
    <n v="124.6"/>
    <n v="137.69999999999999"/>
    <n v="150.30000000000001"/>
    <n v="133.4"/>
    <n v="137.69999999999999"/>
    <n v="140.4"/>
    <x v="48"/>
    <x v="63"/>
    <x v="40"/>
    <x v="61"/>
    <x v="62"/>
    <x v="64"/>
    <n v="135.55000000000001"/>
  </r>
  <r>
    <s v="Urban"/>
    <n v="2019"/>
    <x v="10"/>
    <n v="139.69999999999999"/>
    <n v="151.1"/>
    <n v="142.9"/>
    <n v="141.9"/>
    <n v="118.4"/>
    <n v="139.4"/>
    <n v="141.19999999999999"/>
    <n v="120.7"/>
    <n v="110.4"/>
    <n v="140.69999999999999"/>
    <n v="128.5"/>
    <n v="153.9"/>
    <n v="139.6"/>
    <n v="149"/>
    <n v="128.80000000000001"/>
    <n v="136.80000000000001"/>
    <n v="139.19999999999999"/>
    <n v="119.9"/>
    <n v="133"/>
    <n v="146.69999999999999"/>
    <n v="132.5"/>
    <n v="132.80000000000001"/>
    <n v="139.5"/>
    <x v="65"/>
    <x v="64"/>
    <x v="57"/>
    <x v="62"/>
    <x v="63"/>
    <x v="65"/>
    <n v="132.65"/>
  </r>
  <r>
    <s v="Rural"/>
    <n v="2019"/>
    <x v="11"/>
    <n v="137.4"/>
    <n v="159.5"/>
    <n v="134.5"/>
    <n v="142.6"/>
    <n v="124"/>
    <n v="143.69999999999999"/>
    <n v="133.4"/>
    <n v="125.1"/>
    <n v="109.3"/>
    <n v="139.30000000000001"/>
    <n v="137.69999999999999"/>
    <n v="156.4"/>
    <n v="139.19999999999999"/>
    <n v="150.1"/>
    <n v="146.9"/>
    <n v="149.5"/>
    <n v="151.30000000000001"/>
    <n v="130.19999999999999"/>
    <n v="145.9"/>
    <n v="156.69999999999999"/>
    <n v="133.9"/>
    <n v="142.9"/>
    <n v="142.4"/>
    <x v="66"/>
    <x v="65"/>
    <x v="39"/>
    <x v="63"/>
    <x v="64"/>
    <x v="66"/>
    <n v="138.4"/>
  </r>
  <r>
    <s v="Rural+Urban"/>
    <n v="2019"/>
    <x v="11"/>
    <n v="138.30000000000001"/>
    <n v="158.5"/>
    <n v="136"/>
    <n v="142.5"/>
    <n v="122"/>
    <n v="146.5"/>
    <n v="143"/>
    <n v="124.9"/>
    <n v="109.9"/>
    <n v="139.9"/>
    <n v="134"/>
    <n v="155.5"/>
    <n v="140.9"/>
    <n v="150.1"/>
    <n v="140.30000000000001"/>
    <n v="143.69999999999999"/>
    <n v="146.9"/>
    <n v="124.9"/>
    <n v="139.19999999999999"/>
    <n v="151.6"/>
    <n v="133.4"/>
    <n v="138.19999999999999"/>
    <n v="142"/>
    <x v="67"/>
    <x v="66"/>
    <x v="58"/>
    <x v="64"/>
    <x v="65"/>
    <x v="67"/>
    <n v="135.80000000000001"/>
  </r>
  <r>
    <s v="Urban"/>
    <n v="2019"/>
    <x v="11"/>
    <n v="140.4"/>
    <n v="156.69999999999999"/>
    <n v="138.30000000000001"/>
    <n v="142.4"/>
    <n v="118.6"/>
    <n v="149.69999999999999"/>
    <n v="161.6"/>
    <n v="124.4"/>
    <n v="111.2"/>
    <n v="141"/>
    <n v="128.9"/>
    <n v="154.5"/>
    <n v="143.80000000000001"/>
    <n v="150.1"/>
    <n v="129.4"/>
    <n v="137.19999999999999"/>
    <n v="139.80000000000001"/>
    <n v="120.1"/>
    <n v="134"/>
    <n v="148"/>
    <n v="132.6"/>
    <n v="133.30000000000001"/>
    <n v="141.5"/>
    <x v="68"/>
    <x v="67"/>
    <x v="59"/>
    <x v="65"/>
    <x v="66"/>
    <x v="68"/>
    <n v="132.94999999999999"/>
  </r>
  <r>
    <s v="Rural"/>
    <n v="2019"/>
    <x v="9"/>
    <n v="141.80000000000001"/>
    <n v="163.69999999999999"/>
    <n v="143.80000000000001"/>
    <n v="147.1"/>
    <n v="126"/>
    <n v="146.19999999999999"/>
    <n v="191.4"/>
    <n v="136.19999999999999"/>
    <n v="113.8"/>
    <n v="147.30000000000001"/>
    <n v="138.69999999999999"/>
    <n v="157.69999999999999"/>
    <n v="150.9"/>
    <n v="146.9"/>
    <n v="148.4"/>
    <n v="150.9"/>
    <n v="154.30000000000001"/>
    <n v="132.1"/>
    <n v="149.1"/>
    <n v="160.80000000000001"/>
    <n v="140.6"/>
    <n v="146.1"/>
    <n v="149.9"/>
    <x v="69"/>
    <x v="68"/>
    <x v="60"/>
    <x v="66"/>
    <x v="67"/>
    <x v="69"/>
    <n v="143.35"/>
  </r>
  <r>
    <s v="Rural+Urban"/>
    <n v="2019"/>
    <x v="9"/>
    <n v="142.5"/>
    <n v="163.19999999999999"/>
    <n v="145.6"/>
    <n v="146.69999999999999"/>
    <n v="124.3"/>
    <n v="147.4"/>
    <n v="199.6"/>
    <n v="135.69999999999999"/>
    <n v="114.2"/>
    <n v="147"/>
    <n v="135.30000000000001"/>
    <n v="157.5"/>
    <n v="151.9"/>
    <n v="153.5"/>
    <n v="142.30000000000001"/>
    <n v="145.30000000000001"/>
    <n v="149.9"/>
    <n v="126.6"/>
    <n v="142.1"/>
    <n v="155.5"/>
    <n v="140.30000000000001"/>
    <n v="141.30000000000001"/>
    <n v="148.6"/>
    <x v="70"/>
    <x v="13"/>
    <x v="61"/>
    <x v="67"/>
    <x v="9"/>
    <x v="70"/>
    <n v="140.80000000000001"/>
  </r>
  <r>
    <s v="Urban"/>
    <n v="2019"/>
    <x v="9"/>
    <n v="144.1"/>
    <n v="162.4"/>
    <n v="148.4"/>
    <n v="145.9"/>
    <n v="121.5"/>
    <n v="148.80000000000001"/>
    <n v="215.7"/>
    <n v="134.6"/>
    <n v="115"/>
    <n v="146.30000000000001"/>
    <n v="130.5"/>
    <n v="157.19999999999999"/>
    <n v="153.6"/>
    <n v="153.5"/>
    <n v="132.19999999999999"/>
    <n v="139.1"/>
    <n v="142.80000000000001"/>
    <n v="121.7"/>
    <n v="136.69999999999999"/>
    <n v="151.80000000000001"/>
    <n v="139.80000000000001"/>
    <n v="136.30000000000001"/>
    <n v="147"/>
    <x v="71"/>
    <x v="45"/>
    <x v="62"/>
    <x v="8"/>
    <x v="68"/>
    <x v="71"/>
    <n v="138.05000000000001"/>
  </r>
  <r>
    <s v="Rural"/>
    <n v="2018"/>
    <x v="9"/>
    <n v="137.1"/>
    <n v="150.80000000000001"/>
    <n v="136.69999999999999"/>
    <n v="141.9"/>
    <n v="122.8"/>
    <n v="143.9"/>
    <n v="147.5"/>
    <n v="121"/>
    <n v="111.6"/>
    <n v="140.6"/>
    <n v="137.5"/>
    <n v="156.1"/>
    <n v="140"/>
    <n v="138.6"/>
    <n v="150.30000000000001"/>
    <n v="148"/>
    <n v="145.4"/>
    <n v="130.30000000000001"/>
    <n v="143.1"/>
    <n v="150.19999999999999"/>
    <n v="133.1"/>
    <n v="140.1"/>
    <n v="142.4"/>
    <x v="72"/>
    <x v="69"/>
    <x v="63"/>
    <x v="68"/>
    <x v="69"/>
    <x v="72"/>
    <n v="136.6"/>
  </r>
  <r>
    <s v="Rural+Urban"/>
    <n v="2018"/>
    <x v="9"/>
    <n v="137.4"/>
    <n v="149.19999999999999"/>
    <n v="137.1"/>
    <n v="141.80000000000001"/>
    <n v="121.1"/>
    <n v="142.80000000000001"/>
    <n v="146.69999999999999"/>
    <n v="119.1"/>
    <n v="111.9"/>
    <n v="140.9"/>
    <n v="133.5"/>
    <n v="154.5"/>
    <n v="139.69999999999999"/>
    <n v="146.9"/>
    <n v="145.1"/>
    <n v="142.19999999999999"/>
    <n v="142.1"/>
    <n v="125.5"/>
    <n v="136.5"/>
    <n v="147.80000000000001"/>
    <n v="132"/>
    <n v="136.30000000000001"/>
    <n v="140.80000000000001"/>
    <x v="73"/>
    <x v="70"/>
    <x v="42"/>
    <x v="39"/>
    <x v="41"/>
    <x v="41"/>
    <n v="134.15"/>
  </r>
  <r>
    <s v="Urban"/>
    <n v="2018"/>
    <x v="9"/>
    <n v="138.1"/>
    <n v="146.30000000000001"/>
    <n v="137.80000000000001"/>
    <n v="141.6"/>
    <n v="118.1"/>
    <n v="141.5"/>
    <n v="145.19999999999999"/>
    <n v="115.3"/>
    <n v="112.5"/>
    <n v="141.4"/>
    <n v="128"/>
    <n v="152.6"/>
    <n v="139.1"/>
    <n v="146.9"/>
    <n v="136.69999999999999"/>
    <n v="135.80000000000001"/>
    <n v="136.80000000000001"/>
    <n v="121.2"/>
    <n v="131.30000000000001"/>
    <n v="146.1"/>
    <n v="130.5"/>
    <n v="132.19999999999999"/>
    <n v="139"/>
    <x v="74"/>
    <x v="71"/>
    <x v="17"/>
    <x v="69"/>
    <x v="70"/>
    <x v="73"/>
    <n v="131.35"/>
  </r>
  <r>
    <s v="Urban"/>
    <n v="2017"/>
    <x v="9"/>
    <n v="134.30000000000001"/>
    <n v="142.1"/>
    <n v="146.69999999999999"/>
    <n v="139.5"/>
    <n v="115.2"/>
    <n v="136.4"/>
    <n v="185.2"/>
    <n v="122.2"/>
    <n v="123.9"/>
    <n v="138.30000000000001"/>
    <n v="125.4"/>
    <n v="146"/>
    <n v="141.5"/>
    <n v="138.6"/>
    <n v="125.7"/>
    <n v="128.80000000000001"/>
    <n v="127.4"/>
    <n v="115.3"/>
    <n v="125.1"/>
    <n v="136.6"/>
    <n v="124.9"/>
    <n v="124.9"/>
    <n v="134.80000000000001"/>
    <x v="75"/>
    <x v="72"/>
    <x v="64"/>
    <x v="70"/>
    <x v="71"/>
    <x v="74"/>
    <n v="124.9"/>
  </r>
  <r>
    <s v="Rural+Urban"/>
    <n v="2017"/>
    <x v="9"/>
    <n v="135.69999999999999"/>
    <n v="142.4"/>
    <n v="142.9"/>
    <n v="140.80000000000001"/>
    <n v="119.2"/>
    <n v="142.19999999999999"/>
    <n v="173.8"/>
    <n v="131.19999999999999"/>
    <n v="123"/>
    <n v="136.80000000000001"/>
    <n v="129.19999999999999"/>
    <n v="148.9"/>
    <n v="142.1"/>
    <n v="138.6"/>
    <n v="135.30000000000001"/>
    <n v="134.4"/>
    <n v="132.6"/>
    <n v="118.3"/>
    <n v="128.9"/>
    <n v="138.6"/>
    <n v="126.8"/>
    <n v="128.4"/>
    <n v="137.6"/>
    <x v="76"/>
    <x v="73"/>
    <x v="16"/>
    <x v="71"/>
    <x v="72"/>
    <x v="75"/>
    <n v="127.6"/>
  </r>
  <r>
    <s v="Rural"/>
    <n v="2017"/>
    <x v="9"/>
    <n v="136.30000000000001"/>
    <n v="142.5"/>
    <n v="140.5"/>
    <n v="141.5"/>
    <n v="121.6"/>
    <n v="147.30000000000001"/>
    <n v="168"/>
    <n v="135.80000000000001"/>
    <n v="122.5"/>
    <n v="136"/>
    <n v="131.9"/>
    <n v="151.4"/>
    <n v="142.4"/>
    <n v="138.6"/>
    <n v="141.1"/>
    <n v="139.4"/>
    <n v="135.80000000000001"/>
    <n v="121.6"/>
    <n v="133.69999999999999"/>
    <n v="141.5"/>
    <n v="128.1"/>
    <n v="131.69999999999999"/>
    <n v="140"/>
    <x v="77"/>
    <x v="74"/>
    <x v="65"/>
    <x v="72"/>
    <x v="73"/>
    <x v="76"/>
    <n v="129.89999999999998"/>
  </r>
  <r>
    <s v="Urban"/>
    <n v="2016"/>
    <x v="9"/>
    <n v="130.19999999999999"/>
    <n v="138.5"/>
    <n v="134.1"/>
    <n v="132.9"/>
    <n v="112.6"/>
    <n v="130.80000000000001"/>
    <n v="142"/>
    <n v="174.9"/>
    <n v="115.6"/>
    <n v="145.4"/>
    <n v="122.7"/>
    <n v="140.30000000000001"/>
    <n v="135.19999999999999"/>
    <n v="129.1"/>
    <n v="116.2"/>
    <n v="124.7"/>
    <n v="122.1"/>
    <n v="113.4"/>
    <n v="121.7"/>
    <n v="132.1"/>
    <n v="121.3"/>
    <n v="121.3"/>
    <n v="128.5"/>
    <x v="78"/>
    <x v="75"/>
    <x v="66"/>
    <x v="73"/>
    <x v="74"/>
    <x v="77"/>
    <n v="121.3"/>
  </r>
  <r>
    <s v="Rural+Urban"/>
    <n v="2016"/>
    <x v="9"/>
    <n v="131.4"/>
    <n v="137.80000000000001"/>
    <n v="132"/>
    <n v="135"/>
    <n v="118"/>
    <n v="134.1"/>
    <n v="141.9"/>
    <n v="171.7"/>
    <n v="114.1"/>
    <n v="139.69999999999999"/>
    <n v="126.2"/>
    <n v="141.80000000000001"/>
    <n v="136.1"/>
    <n v="129.1"/>
    <n v="125"/>
    <n v="128.6"/>
    <n v="126.4"/>
    <n v="115.7"/>
    <n v="124"/>
    <n v="132.80000000000001"/>
    <n v="122.6"/>
    <n v="123.8"/>
    <n v="131.19999999999999"/>
    <x v="79"/>
    <x v="76"/>
    <x v="15"/>
    <x v="74"/>
    <x v="75"/>
    <x v="78"/>
    <n v="123.19999999999999"/>
  </r>
  <r>
    <s v="Rural"/>
    <n v="2016"/>
    <x v="9"/>
    <n v="132"/>
    <n v="137.4"/>
    <n v="130.6"/>
    <n v="136.19999999999999"/>
    <n v="121.1"/>
    <n v="136.9"/>
    <n v="141.80000000000001"/>
    <n v="170"/>
    <n v="113.4"/>
    <n v="136.80000000000001"/>
    <n v="128.69999999999999"/>
    <n v="143.1"/>
    <n v="136.6"/>
    <n v="129.1"/>
    <n v="130.30000000000001"/>
    <n v="132.1"/>
    <n v="129.1"/>
    <n v="118.2"/>
    <n v="126.9"/>
    <n v="133.69999999999999"/>
    <n v="123.5"/>
    <n v="126.1"/>
    <n v="133.6"/>
    <x v="80"/>
    <x v="77"/>
    <x v="67"/>
    <x v="75"/>
    <x v="76"/>
    <x v="79"/>
    <n v="124.8"/>
  </r>
  <r>
    <s v="Urban"/>
    <n v="2015"/>
    <x v="9"/>
    <n v="124"/>
    <n v="129.80000000000001"/>
    <n v="121.5"/>
    <n v="128.6"/>
    <n v="110"/>
    <n v="123.7"/>
    <n v="164.6"/>
    <n v="191.6"/>
    <n v="90.8"/>
    <n v="137.1"/>
    <n v="119.8"/>
    <n v="133.69999999999999"/>
    <n v="133.30000000000001"/>
    <n v="122.9"/>
    <n v="115.1"/>
    <n v="121"/>
    <n v="118.1"/>
    <n v="109.3"/>
    <n v="117.9"/>
    <n v="126.6"/>
    <n v="113.3"/>
    <n v="116.6"/>
    <n v="124.6"/>
    <x v="81"/>
    <x v="21"/>
    <x v="27"/>
    <x v="76"/>
    <x v="77"/>
    <x v="80"/>
    <n v="114.94999999999999"/>
  </r>
  <r>
    <s v="Rural+Urban"/>
    <n v="2015"/>
    <x v="9"/>
    <n v="125.4"/>
    <n v="130.30000000000001"/>
    <n v="121.6"/>
    <n v="129.19999999999999"/>
    <n v="114.9"/>
    <n v="128.19999999999999"/>
    <n v="158.4"/>
    <n v="171.2"/>
    <n v="93.3"/>
    <n v="131.19999999999999"/>
    <n v="121.7"/>
    <n v="134"/>
    <n v="132.69999999999999"/>
    <n v="122.9"/>
    <n v="121.6"/>
    <n v="123.4"/>
    <n v="120.9"/>
    <n v="111.5"/>
    <n v="119.2"/>
    <n v="126.3"/>
    <n v="113.8"/>
    <n v="118.1"/>
    <n v="126.6"/>
    <x v="82"/>
    <x v="78"/>
    <x v="68"/>
    <x v="77"/>
    <x v="78"/>
    <x v="81"/>
    <n v="115.94999999999999"/>
  </r>
  <r>
    <s v="Rural"/>
    <n v="2015"/>
    <x v="9"/>
    <n v="126.1"/>
    <n v="130.6"/>
    <n v="121.7"/>
    <n v="129.5"/>
    <n v="117.8"/>
    <n v="132.1"/>
    <n v="155.19999999999999"/>
    <n v="160.80000000000001"/>
    <n v="94.5"/>
    <n v="128.30000000000001"/>
    <n v="123.1"/>
    <n v="134.19999999999999"/>
    <n v="132.4"/>
    <n v="122.9"/>
    <n v="125.6"/>
    <n v="125.6"/>
    <n v="122.6"/>
    <n v="114"/>
    <n v="120.9"/>
    <n v="125.8"/>
    <n v="114.2"/>
    <n v="119.6"/>
    <n v="128.30000000000001"/>
    <x v="83"/>
    <x v="79"/>
    <x v="69"/>
    <x v="78"/>
    <x v="79"/>
    <x v="82"/>
    <n v="116.9"/>
  </r>
  <r>
    <s v="Rural"/>
    <n v="2014"/>
    <x v="9"/>
    <n v="122.7"/>
    <n v="122.6"/>
    <n v="119.9"/>
    <n v="124"/>
    <n v="110.5"/>
    <n v="128.80000000000001"/>
    <n v="152"/>
    <n v="116.2"/>
    <n v="103.3"/>
    <n v="115.8"/>
    <n v="116.8"/>
    <n v="124.5"/>
    <n v="124.9"/>
    <n v="111.1"/>
    <n v="117.3"/>
    <n v="118.1"/>
    <n v="115.9"/>
    <n v="112"/>
    <n v="113.3"/>
    <n v="117.2"/>
    <n v="108.8"/>
    <n v="114.1"/>
    <n v="121.1"/>
    <x v="84"/>
    <x v="80"/>
    <x v="25"/>
    <x v="79"/>
    <x v="80"/>
    <x v="83"/>
    <n v="111.44999999999999"/>
  </r>
  <r>
    <s v="Rural+Urban"/>
    <n v="2014"/>
    <x v="9"/>
    <n v="123.3"/>
    <n v="123.7"/>
    <n v="121"/>
    <n v="124.2"/>
    <n v="107.8"/>
    <n v="125.7"/>
    <n v="152.4"/>
    <n v="117.2"/>
    <n v="102.1"/>
    <n v="118.7"/>
    <n v="116.4"/>
    <n v="125.6"/>
    <n v="125.1"/>
    <n v="117.1"/>
    <n v="115.5"/>
    <n v="117.3"/>
    <n v="114.8"/>
    <n v="110.8"/>
    <n v="113.7"/>
    <n v="119"/>
    <n v="109.1"/>
    <n v="113.8"/>
    <n v="120.1"/>
    <x v="24"/>
    <x v="81"/>
    <x v="70"/>
    <x v="80"/>
    <x v="81"/>
    <x v="84"/>
    <n v="111.44999999999999"/>
  </r>
  <r>
    <s v="Urban"/>
    <n v="2014"/>
    <x v="9"/>
    <n v="124.5"/>
    <n v="125.6"/>
    <n v="122.7"/>
    <n v="124.6"/>
    <n v="103.2"/>
    <n v="122.2"/>
    <n v="153.19999999999999"/>
    <n v="119.3"/>
    <n v="99.8"/>
    <n v="124.6"/>
    <n v="115.8"/>
    <n v="126.9"/>
    <n v="125.4"/>
    <n v="117.1"/>
    <n v="112.6"/>
    <n v="116.4"/>
    <n v="113"/>
    <n v="109.7"/>
    <n v="114"/>
    <n v="120.3"/>
    <n v="109.6"/>
    <n v="113.4"/>
    <n v="119"/>
    <x v="85"/>
    <x v="59"/>
    <x v="52"/>
    <x v="81"/>
    <x v="82"/>
    <x v="85"/>
    <n v="111.5"/>
  </r>
  <r>
    <s v="Rural+Urban"/>
    <n v="2013"/>
    <x v="9"/>
    <n v="118.1"/>
    <n v="115.4"/>
    <n v="118.7"/>
    <n v="112.5"/>
    <n v="106.8"/>
    <n v="113.5"/>
    <n v="183.1"/>
    <n v="108.2"/>
    <n v="102.2"/>
    <n v="109.4"/>
    <n v="111.8"/>
    <n v="116.5"/>
    <n v="122.6"/>
    <n v="111.1"/>
    <n v="111.6"/>
    <n v="111.1"/>
    <n v="109.3"/>
    <n v="109.5"/>
    <n v="108.6"/>
    <n v="111.2"/>
    <n v="108.1"/>
    <n v="109.7"/>
    <n v="116.3"/>
    <x v="86"/>
    <x v="56"/>
    <x v="51"/>
    <x v="82"/>
    <x v="83"/>
    <x v="86"/>
    <n v="108.9"/>
  </r>
  <r>
    <s v="Urban"/>
    <n v="2013"/>
    <x v="9"/>
    <n v="119.8"/>
    <n v="116.3"/>
    <n v="122.6"/>
    <n v="112"/>
    <n v="103.2"/>
    <n v="110"/>
    <n v="192.8"/>
    <n v="106.3"/>
    <n v="99.5"/>
    <n v="110.3"/>
    <n v="111.8"/>
    <n v="117.1"/>
    <n v="122.9"/>
    <n v="111.1"/>
    <n v="110"/>
    <n v="110.9"/>
    <n v="108.6"/>
    <n v="109.5"/>
    <n v="108.5"/>
    <n v="111.3"/>
    <n v="107.9"/>
    <n v="109.6"/>
    <n v="115"/>
    <x v="87"/>
    <x v="82"/>
    <x v="51"/>
    <x v="83"/>
    <x v="56"/>
    <x v="86"/>
    <n v="108.75"/>
  </r>
  <r>
    <s v="Rural"/>
    <n v="2023"/>
    <x v="11"/>
    <n v="173.2"/>
    <n v="211.5"/>
    <n v="171"/>
    <n v="179.6"/>
    <n v="173.3"/>
    <n v="169"/>
    <n v="148.69999999999999"/>
    <n v="174.9"/>
    <n v="121.9"/>
    <n v="221"/>
    <n v="178.7"/>
    <n v="191.1"/>
    <n v="176.8"/>
    <n v="175.6"/>
    <n v="182.5"/>
    <n v="179.8"/>
    <n v="187.8"/>
    <n v="169.7"/>
    <n v="173.8"/>
    <n v="180.3"/>
    <n v="184.9"/>
    <n v="179.5"/>
    <n v="179.8"/>
    <x v="88"/>
    <x v="83"/>
    <x v="71"/>
    <x v="84"/>
    <x v="84"/>
    <x v="87"/>
    <n v="182.2"/>
  </r>
  <r>
    <s v="Rural+Urban"/>
    <n v="2023"/>
    <x v="11"/>
    <n v="173.7"/>
    <n v="214.3"/>
    <n v="173.2"/>
    <n v="179.5"/>
    <n v="170"/>
    <n v="172.2"/>
    <n v="161"/>
    <n v="175.6"/>
    <n v="122.7"/>
    <n v="218"/>
    <n v="173.4"/>
    <n v="194.2"/>
    <n v="179.1"/>
    <n v="175.6"/>
    <n v="182.8"/>
    <n v="175.2"/>
    <n v="185.7"/>
    <n v="164.8"/>
    <n v="171.2"/>
    <n v="177.1"/>
    <n v="185.2"/>
    <n v="175.7"/>
    <n v="179.1"/>
    <x v="89"/>
    <x v="84"/>
    <x v="72"/>
    <x v="85"/>
    <x v="85"/>
    <x v="88"/>
    <n v="180.45"/>
  </r>
  <r>
    <s v="Urban"/>
    <n v="2023"/>
    <x v="11"/>
    <n v="174.7"/>
    <n v="219.4"/>
    <n v="176.7"/>
    <n v="179.4"/>
    <n v="164.4"/>
    <n v="175.8"/>
    <n v="185"/>
    <n v="176.9"/>
    <n v="124.2"/>
    <n v="211.9"/>
    <n v="165.9"/>
    <n v="197.7"/>
    <n v="183.1"/>
    <n v="175.6"/>
    <n v="183.4"/>
    <n v="170.1"/>
    <n v="182.2"/>
    <n v="160.4"/>
    <n v="169.2"/>
    <n v="174.8"/>
    <n v="185.6"/>
    <n v="171.6"/>
    <n v="178.2"/>
    <x v="90"/>
    <x v="85"/>
    <x v="73"/>
    <x v="86"/>
    <x v="86"/>
    <x v="89"/>
    <n v="178.6"/>
  </r>
  <r>
    <s v="Rural"/>
    <n v="2022"/>
    <x v="11"/>
    <n v="152.9"/>
    <n v="214.7"/>
    <n v="161.4"/>
    <n v="164.6"/>
    <n v="209.9"/>
    <n v="168"/>
    <n v="160.4"/>
    <n v="165"/>
    <n v="118.9"/>
    <n v="186.6"/>
    <n v="173.2"/>
    <n v="180.4"/>
    <n v="170.8"/>
    <n v="167.5"/>
    <n v="175.3"/>
    <n v="168.9"/>
    <n v="177.7"/>
    <n v="167.1"/>
    <n v="167.6"/>
    <n v="171.8"/>
    <n v="168.5"/>
    <n v="170.9"/>
    <n v="172.5"/>
    <x v="91"/>
    <x v="86"/>
    <x v="74"/>
    <x v="87"/>
    <x v="87"/>
    <x v="90"/>
    <n v="169.7"/>
  </r>
  <r>
    <s v="Rural+Urban"/>
    <n v="2022"/>
    <x v="11"/>
    <n v="154.1"/>
    <n v="217"/>
    <n v="162.4"/>
    <n v="164.9"/>
    <n v="202.4"/>
    <n v="171"/>
    <n v="174.9"/>
    <n v="164.7"/>
    <n v="119.7"/>
    <n v="184.9"/>
    <n v="167.1"/>
    <n v="182.5"/>
    <n v="173.3"/>
    <n v="167.5"/>
    <n v="174.6"/>
    <n v="165.2"/>
    <n v="174.8"/>
    <n v="163"/>
    <n v="165.1"/>
    <n v="167.9"/>
    <n v="168.4"/>
    <n v="167.5"/>
    <n v="171.7"/>
    <x v="92"/>
    <x v="87"/>
    <x v="55"/>
    <x v="88"/>
    <x v="88"/>
    <x v="91"/>
    <n v="167.95"/>
  </r>
  <r>
    <s v="Urban"/>
    <n v="2022"/>
    <x v="11"/>
    <n v="156.69999999999999"/>
    <n v="221.2"/>
    <n v="164.1"/>
    <n v="165.4"/>
    <n v="189.5"/>
    <n v="174.5"/>
    <n v="203.2"/>
    <n v="164.1"/>
    <n v="121.2"/>
    <n v="181.4"/>
    <n v="158.5"/>
    <n v="184.9"/>
    <n v="177.5"/>
    <n v="167.5"/>
    <n v="173.5"/>
    <n v="161.1"/>
    <n v="170.1"/>
    <n v="159.4"/>
    <n v="163.19999999999999"/>
    <n v="165.2"/>
    <n v="168.2"/>
    <n v="163.80000000000001"/>
    <n v="170.8"/>
    <x v="93"/>
    <x v="88"/>
    <x v="75"/>
    <x v="89"/>
    <x v="89"/>
    <x v="92"/>
    <n v="166"/>
  </r>
  <r>
    <s v="Rural"/>
    <n v="2019"/>
    <x v="4"/>
    <n v="141"/>
    <n v="161.6"/>
    <n v="141.19999999999999"/>
    <n v="146.5"/>
    <n v="125.6"/>
    <n v="145.69999999999999"/>
    <n v="178.8"/>
    <n v="133.1"/>
    <n v="113.6"/>
    <n v="145.5"/>
    <n v="138.6"/>
    <n v="157.4"/>
    <n v="148.30000000000001"/>
    <n v="146.44999999999999"/>
    <n v="147.69999999999999"/>
    <n v="150.6"/>
    <n v="153.69999999999999"/>
    <n v="131.69999999999999"/>
    <n v="148.69999999999999"/>
    <n v="160.69999999999999"/>
    <n v="140.30000000000001"/>
    <n v="145.69999999999999"/>
    <n v="148.30000000000001"/>
    <x v="94"/>
    <x v="89"/>
    <x v="76"/>
    <x v="90"/>
    <x v="90"/>
    <x v="93"/>
    <n v="143"/>
  </r>
  <r>
    <s v="Rural+Urban"/>
    <n v="2019"/>
    <x v="4"/>
    <n v="141.80000000000001"/>
    <n v="161"/>
    <n v="142.6"/>
    <n v="146.19999999999999"/>
    <n v="123.9"/>
    <n v="148"/>
    <n v="188.4"/>
    <n v="132.5"/>
    <n v="114"/>
    <n v="145.4"/>
    <n v="135.1"/>
    <n v="157.1"/>
    <n v="149.6"/>
    <n v="153"/>
    <n v="140.6"/>
    <n v="145"/>
    <n v="149.4"/>
    <n v="126.3"/>
    <n v="141.69999999999999"/>
    <n v="155.4"/>
    <n v="140"/>
    <n v="141"/>
    <n v="147.19999999999999"/>
    <x v="95"/>
    <x v="90"/>
    <x v="77"/>
    <x v="91"/>
    <x v="91"/>
    <x v="94"/>
    <n v="140.5"/>
  </r>
  <r>
    <s v="Urban"/>
    <n v="2019"/>
    <x v="4"/>
    <n v="143.5"/>
    <n v="159.80000000000001"/>
    <n v="144.69999999999999"/>
    <n v="145.6"/>
    <n v="121.1"/>
    <n v="150.6"/>
    <n v="207.2"/>
    <n v="131.19999999999999"/>
    <n v="114.8"/>
    <n v="145.19999999999999"/>
    <n v="130.19999999999999"/>
    <n v="156.80000000000001"/>
    <n v="151.9"/>
    <n v="153"/>
    <n v="128.9"/>
    <n v="138.69999999999999"/>
    <n v="142.4"/>
    <n v="121.5"/>
    <n v="136.19999999999999"/>
    <n v="151.69999999999999"/>
    <n v="139.5"/>
    <n v="136"/>
    <n v="146"/>
    <x v="96"/>
    <x v="91"/>
    <x v="78"/>
    <x v="92"/>
    <x v="92"/>
    <x v="95"/>
    <n v="137.75"/>
  </r>
  <r>
    <s v="Rural"/>
    <n v="2019"/>
    <x v="0"/>
    <n v="140.1"/>
    <n v="161.9"/>
    <n v="138.30000000000001"/>
    <n v="145.69999999999999"/>
    <n v="125.1"/>
    <n v="143.80000000000001"/>
    <n v="163.4"/>
    <n v="132.19999999999999"/>
    <n v="112.8"/>
    <n v="144.19999999999999"/>
    <n v="138.5"/>
    <n v="157.19999999999999"/>
    <n v="145.5"/>
    <n v="145.30000000000001"/>
    <n v="146.9"/>
    <n v="150.30000000000001"/>
    <n v="153.4"/>
    <n v="131.6"/>
    <n v="148.30000000000001"/>
    <n v="160.19999999999999"/>
    <n v="140.19999999999999"/>
    <n v="145.4"/>
    <n v="146.69999999999999"/>
    <x v="97"/>
    <x v="65"/>
    <x v="79"/>
    <x v="93"/>
    <x v="93"/>
    <x v="96"/>
    <n v="142.80000000000001"/>
  </r>
  <r>
    <s v="Rural+Urban"/>
    <n v="2019"/>
    <x v="0"/>
    <n v="140.9"/>
    <n v="160.80000000000001"/>
    <n v="139.6"/>
    <n v="145.4"/>
    <n v="123.5"/>
    <n v="146.6"/>
    <n v="173.2"/>
    <n v="131.6"/>
    <n v="113.2"/>
    <n v="144.1"/>
    <n v="135"/>
    <n v="156.80000000000001"/>
    <n v="147"/>
    <n v="152.19999999999999"/>
    <n v="139.19999999999999"/>
    <n v="144.6"/>
    <n v="149"/>
    <n v="126.1"/>
    <n v="141.30000000000001"/>
    <n v="155.19999999999999"/>
    <n v="139.69999999999999"/>
    <n v="140.69999999999999"/>
    <n v="145.80000000000001"/>
    <x v="98"/>
    <x v="92"/>
    <x v="80"/>
    <x v="94"/>
    <x v="94"/>
    <x v="97"/>
    <n v="140.19999999999999"/>
  </r>
  <r>
    <s v="Urban"/>
    <n v="2019"/>
    <x v="0"/>
    <n v="142.69999999999999"/>
    <n v="158.69999999999999"/>
    <n v="141.6"/>
    <n v="144.9"/>
    <n v="120.8"/>
    <n v="149.80000000000001"/>
    <n v="192.4"/>
    <n v="130.30000000000001"/>
    <n v="114"/>
    <n v="143.80000000000001"/>
    <n v="130"/>
    <n v="156.4"/>
    <n v="149.5"/>
    <n v="152.19999999999999"/>
    <n v="126.6"/>
    <n v="138.30000000000001"/>
    <n v="141.9"/>
    <n v="121.2"/>
    <n v="135.9"/>
    <n v="151.6"/>
    <n v="139"/>
    <n v="135.69999999999999"/>
    <n v="144.69999999999999"/>
    <x v="99"/>
    <x v="93"/>
    <x v="17"/>
    <x v="95"/>
    <x v="95"/>
    <x v="98"/>
    <n v="137.35"/>
  </r>
  <r>
    <s v="Rural"/>
    <n v="2020"/>
    <x v="12"/>
    <n v="147.19999999999999"/>
    <n v="144.5"/>
    <n v="146.9"/>
    <n v="155.6"/>
    <n v="137.1"/>
    <n v="147.30000000000001"/>
    <n v="162.69999999999999"/>
    <n v="150.19999999999999"/>
    <n v="119.8"/>
    <n v="158.69999999999999"/>
    <n v="139.19999999999999"/>
    <n v="152.5"/>
    <n v="150.1"/>
    <n v="155.6"/>
    <n v="148.4"/>
    <n v="138.80000000000001"/>
    <n v="154.30000000000001"/>
    <n v="123.6"/>
    <n v="133.69999999999999"/>
    <n v="142.6"/>
    <n v="129.80000000000001"/>
    <n v="132.80000000000001"/>
    <n v="138.1"/>
    <x v="100"/>
    <x v="68"/>
    <x v="81"/>
    <x v="96"/>
    <x v="67"/>
    <x v="99"/>
    <n v="131.30000000000001"/>
  </r>
  <r>
    <s v="Rural+Urban"/>
    <n v="2020"/>
    <x v="12"/>
    <n v="148.69999999999999"/>
    <n v="144.5"/>
    <n v="148.80000000000001"/>
    <n v="155.6"/>
    <n v="135.1"/>
    <n v="149.9"/>
    <n v="168.6"/>
    <n v="150.4"/>
    <n v="120.3"/>
    <n v="157.1"/>
    <n v="136.80000000000001"/>
    <n v="153.19999999999999"/>
    <n v="151.4"/>
    <n v="155.6"/>
    <n v="144.1"/>
    <n v="139.80000000000001"/>
    <n v="150.69999999999999"/>
    <n v="124.5"/>
    <n v="134.80000000000001"/>
    <n v="143.1"/>
    <n v="130.1"/>
    <n v="133.5"/>
    <n v="138.6"/>
    <x v="101"/>
    <x v="94"/>
    <x v="82"/>
    <x v="97"/>
    <x v="96"/>
    <x v="100"/>
    <n v="131.80000000000001"/>
  </r>
  <r>
    <s v="Urban"/>
    <n v="2020"/>
    <x v="12"/>
    <n v="151.80000000000001"/>
    <n v="144.5"/>
    <n v="151.9"/>
    <n v="155.5"/>
    <n v="131.6"/>
    <n v="152.9"/>
    <n v="180"/>
    <n v="150.80000000000001"/>
    <n v="121.2"/>
    <n v="154"/>
    <n v="133.5"/>
    <n v="152.80000000000001"/>
    <n v="153.5"/>
    <n v="155.6"/>
    <n v="137.1"/>
    <n v="139.30000000000001"/>
    <n v="144.80000000000001"/>
    <n v="124"/>
    <n v="134.19999999999999"/>
    <n v="142.80000000000001"/>
    <n v="129.94999999999999"/>
    <n v="133.1"/>
    <n v="138.4"/>
    <x v="102"/>
    <x v="95"/>
    <x v="83"/>
    <x v="98"/>
    <x v="43"/>
    <x v="101"/>
    <n v="131.52499999999998"/>
  </r>
  <r>
    <s v="Urban"/>
    <n v="2018"/>
    <x v="11"/>
    <n v="135"/>
    <n v="148.19999999999999"/>
    <n v="130.5"/>
    <n v="140.69999999999999"/>
    <n v="116.4"/>
    <n v="151.30000000000001"/>
    <n v="131.4"/>
    <n v="112.8"/>
    <n v="105.3"/>
    <n v="139.6"/>
    <n v="126.6"/>
    <n v="148.69999999999999"/>
    <n v="136.4"/>
    <n v="143.19999999999999"/>
    <n v="124.7"/>
    <n v="132.5"/>
    <n v="132"/>
    <n v="119.8"/>
    <n v="128"/>
    <n v="140.4"/>
    <n v="128.1"/>
    <n v="128.9"/>
    <n v="135.4"/>
    <x v="103"/>
    <x v="96"/>
    <x v="84"/>
    <x v="99"/>
    <x v="97"/>
    <x v="102"/>
    <n v="128.5"/>
  </r>
  <r>
    <s v="Rural+Urban"/>
    <n v="2018"/>
    <x v="11"/>
    <n v="136.6"/>
    <n v="146.6"/>
    <n v="133.6"/>
    <n v="142.1"/>
    <n v="121"/>
    <n v="154.6"/>
    <n v="135.6"/>
    <n v="122.3"/>
    <n v="109.6"/>
    <n v="138.1"/>
    <n v="129.9"/>
    <n v="151.69999999999999"/>
    <n v="138.1"/>
    <n v="143.19999999999999"/>
    <n v="136.9"/>
    <n v="137.4"/>
    <n v="136"/>
    <n v="122.9"/>
    <n v="131.80000000000001"/>
    <n v="142.1"/>
    <n v="129.9"/>
    <n v="132.1"/>
    <n v="137.80000000000001"/>
    <x v="79"/>
    <x v="97"/>
    <x v="85"/>
    <x v="100"/>
    <x v="98"/>
    <x v="103"/>
    <n v="131"/>
  </r>
  <r>
    <s v="Rural"/>
    <n v="2018"/>
    <x v="11"/>
    <n v="137.4"/>
    <n v="145.69999999999999"/>
    <n v="135.5"/>
    <n v="142.9"/>
    <n v="123.6"/>
    <n v="157.5"/>
    <n v="137.80000000000001"/>
    <n v="127.2"/>
    <n v="111.8"/>
    <n v="137.4"/>
    <n v="132.19999999999999"/>
    <n v="154.30000000000001"/>
    <n v="139.1"/>
    <n v="143.19999999999999"/>
    <n v="144.30000000000001"/>
    <n v="141.80000000000001"/>
    <n v="138.4"/>
    <n v="126.4"/>
    <n v="136.80000000000001"/>
    <n v="144.4"/>
    <n v="131.19999999999999"/>
    <n v="135.1"/>
    <n v="139.80000000000001"/>
    <x v="104"/>
    <x v="98"/>
    <x v="86"/>
    <x v="12"/>
    <x v="13"/>
    <x v="104"/>
    <n v="133.14999999999998"/>
  </r>
  <r>
    <s v="Urban"/>
    <n v="2017"/>
    <x v="11"/>
    <n v="132.6"/>
    <n v="144.1"/>
    <n v="125.6"/>
    <n v="136.80000000000001"/>
    <n v="113.4"/>
    <n v="135.19999999999999"/>
    <n v="129.19999999999999"/>
    <n v="131.5"/>
    <n v="121"/>
    <n v="139.9"/>
    <n v="123.8"/>
    <n v="142.9"/>
    <n v="133.6"/>
    <n v="132.1"/>
    <n v="120.1"/>
    <n v="126.5"/>
    <n v="123.6"/>
    <n v="114.3"/>
    <n v="122.8"/>
    <n v="133.80000000000001"/>
    <n v="122"/>
    <n v="122.6"/>
    <n v="129.30000000000001"/>
    <x v="105"/>
    <x v="99"/>
    <x v="19"/>
    <x v="101"/>
    <x v="99"/>
    <x v="105"/>
    <n v="122.3"/>
  </r>
  <r>
    <s v="Rural+Urban"/>
    <n v="2017"/>
    <x v="11"/>
    <n v="132.9"/>
    <n v="141.6"/>
    <n v="126.3"/>
    <n v="137.69999999999999"/>
    <n v="118.1"/>
    <n v="137.9"/>
    <n v="125.6"/>
    <n v="138.30000000000001"/>
    <n v="119.4"/>
    <n v="136"/>
    <n v="127.6"/>
    <n v="144.5"/>
    <n v="133.69999999999999"/>
    <n v="132.1"/>
    <n v="129.4"/>
    <n v="130.9"/>
    <n v="128.4"/>
    <n v="116.7"/>
    <n v="125.7"/>
    <n v="134.80000000000001"/>
    <n v="123"/>
    <n v="125.3"/>
    <n v="131.4"/>
    <x v="106"/>
    <x v="67"/>
    <x v="87"/>
    <x v="102"/>
    <x v="100"/>
    <x v="106"/>
    <n v="124.15"/>
  </r>
  <r>
    <s v="Rural"/>
    <n v="2017"/>
    <x v="11"/>
    <n v="133.1"/>
    <n v="140.30000000000001"/>
    <n v="126.8"/>
    <n v="138.19999999999999"/>
    <n v="120.8"/>
    <n v="140.19999999999999"/>
    <n v="123.8"/>
    <n v="141.80000000000001"/>
    <n v="118.6"/>
    <n v="134"/>
    <n v="130.30000000000001"/>
    <n v="145.80000000000001"/>
    <n v="133.80000000000001"/>
    <n v="132.1"/>
    <n v="135"/>
    <n v="134.9"/>
    <n v="131.4"/>
    <n v="119.4"/>
    <n v="129.4"/>
    <n v="136.30000000000001"/>
    <n v="123.7"/>
    <n v="127.9"/>
    <n v="133.30000000000001"/>
    <x v="107"/>
    <x v="100"/>
    <x v="88"/>
    <x v="103"/>
    <x v="101"/>
    <x v="107"/>
    <n v="125.80000000000001"/>
  </r>
  <r>
    <s v="Urban"/>
    <n v="2016"/>
    <x v="11"/>
    <n v="125"/>
    <n v="142.1"/>
    <n v="127"/>
    <n v="130.4"/>
    <n v="109.6"/>
    <n v="133.5"/>
    <n v="151.4"/>
    <n v="182.8"/>
    <n v="111.1"/>
    <n v="141.5"/>
    <n v="121.5"/>
    <n v="136.30000000000001"/>
    <n v="134.6"/>
    <n v="126"/>
    <n v="115"/>
    <n v="123.2"/>
    <n v="120.3"/>
    <n v="110.7"/>
    <n v="119.8"/>
    <n v="128"/>
    <n v="118.5"/>
    <n v="118.7"/>
    <n v="126.6"/>
    <x v="108"/>
    <x v="101"/>
    <x v="89"/>
    <x v="104"/>
    <x v="102"/>
    <x v="108"/>
    <n v="118.6"/>
  </r>
  <r>
    <s v="Rural+Urban"/>
    <n v="2016"/>
    <x v="11"/>
    <n v="126.8"/>
    <n v="139.1"/>
    <n v="125.4"/>
    <n v="131.69999999999999"/>
    <n v="115"/>
    <n v="136"/>
    <n v="145.1"/>
    <n v="171.7"/>
    <n v="108.7"/>
    <n v="135.30000000000001"/>
    <n v="124.2"/>
    <n v="137.4"/>
    <n v="134"/>
    <n v="126"/>
    <n v="122.7"/>
    <n v="126"/>
    <n v="123.7"/>
    <n v="112.8"/>
    <n v="121.5"/>
    <n v="128.5"/>
    <n v="119.2"/>
    <n v="120.7"/>
    <n v="128.6"/>
    <x v="109"/>
    <x v="102"/>
    <x v="24"/>
    <x v="105"/>
    <x v="103"/>
    <x v="109"/>
    <n v="119.95"/>
  </r>
  <r>
    <s v="Rural"/>
    <n v="2016"/>
    <x v="11"/>
    <n v="127.6"/>
    <n v="137.5"/>
    <n v="124.4"/>
    <n v="132.4"/>
    <n v="118.2"/>
    <n v="138.1"/>
    <n v="141.80000000000001"/>
    <n v="166"/>
    <n v="107.5"/>
    <n v="132.19999999999999"/>
    <n v="126.1"/>
    <n v="138.30000000000001"/>
    <n v="133.6"/>
    <n v="126"/>
    <n v="127.4"/>
    <n v="128.5"/>
    <n v="125.8"/>
    <n v="115.1"/>
    <n v="123.6"/>
    <n v="129.1"/>
    <n v="119.7"/>
    <n v="122.5"/>
    <n v="130.30000000000001"/>
    <x v="110"/>
    <x v="103"/>
    <x v="90"/>
    <x v="106"/>
    <x v="104"/>
    <x v="110"/>
    <n v="121.1"/>
  </r>
  <r>
    <s v="Rural"/>
    <n v="2015"/>
    <x v="11"/>
    <n v="123.5"/>
    <n v="127.1"/>
    <n v="117.3"/>
    <n v="127.7"/>
    <n v="112.5"/>
    <n v="134.1"/>
    <n v="128.5"/>
    <n v="124.3"/>
    <n v="97.6"/>
    <n v="120.7"/>
    <n v="120.2"/>
    <n v="129.80000000000001"/>
    <n v="124.4"/>
    <n v="114.3"/>
    <n v="121.9"/>
    <n v="121.5"/>
    <n v="119.4"/>
    <n v="113.3"/>
    <n v="116.7"/>
    <n v="120.5"/>
    <n v="112.3"/>
    <n v="116.9"/>
    <n v="122.4"/>
    <x v="111"/>
    <x v="104"/>
    <x v="91"/>
    <x v="107"/>
    <x v="105"/>
    <x v="111"/>
    <n v="114.6"/>
  </r>
  <r>
    <s v="Rural+Urban"/>
    <n v="2015"/>
    <x v="11"/>
    <n v="123.6"/>
    <n v="128"/>
    <n v="115"/>
    <n v="127.3"/>
    <n v="109.8"/>
    <n v="132.6"/>
    <n v="130.9"/>
    <n v="130.5"/>
    <n v="95.3"/>
    <n v="123.4"/>
    <n v="119.2"/>
    <n v="129.80000000000001"/>
    <n v="125"/>
    <n v="119.6"/>
    <n v="119.2"/>
    <n v="120.2"/>
    <n v="117.7"/>
    <n v="112"/>
    <n v="116.3"/>
    <n v="121.4"/>
    <n v="112.3"/>
    <n v="116.1"/>
    <n v="121.6"/>
    <x v="112"/>
    <x v="105"/>
    <x v="25"/>
    <x v="108"/>
    <x v="49"/>
    <x v="112"/>
    <n v="114.19999999999999"/>
  </r>
  <r>
    <s v="Urban"/>
    <n v="2015"/>
    <x v="11"/>
    <n v="123.8"/>
    <n v="129.69999999999999"/>
    <n v="111.3"/>
    <n v="126.6"/>
    <n v="105.2"/>
    <n v="130.80000000000001"/>
    <n v="135.6"/>
    <n v="142.6"/>
    <n v="90.8"/>
    <n v="128.80000000000001"/>
    <n v="117.7"/>
    <n v="129.9"/>
    <n v="126.1"/>
    <n v="119.6"/>
    <n v="114.9"/>
    <n v="118.7"/>
    <n v="114.9"/>
    <n v="110.8"/>
    <n v="116"/>
    <n v="122"/>
    <n v="112.4"/>
    <n v="115.2"/>
    <n v="120.7"/>
    <x v="113"/>
    <x v="50"/>
    <x v="70"/>
    <x v="109"/>
    <x v="106"/>
    <x v="113"/>
    <n v="113.80000000000001"/>
  </r>
  <r>
    <s v="Rural"/>
    <n v="2014"/>
    <x v="11"/>
    <n v="120.3"/>
    <n v="120.2"/>
    <n v="116.9"/>
    <n v="118"/>
    <n v="110.1"/>
    <n v="126.3"/>
    <n v="123.9"/>
    <n v="111.5"/>
    <n v="103.5"/>
    <n v="111.6"/>
    <n v="114.2"/>
    <n v="119.2"/>
    <n v="118.2"/>
    <n v="100.5"/>
    <n v="113.4"/>
    <n v="114.1"/>
    <n v="112.1"/>
    <n v="111.4"/>
    <n v="110.9"/>
    <n v="113.1"/>
    <n v="108.9"/>
    <n v="111.8"/>
    <n v="116"/>
    <x v="114"/>
    <x v="106"/>
    <x v="48"/>
    <x v="110"/>
    <x v="107"/>
    <x v="114"/>
    <n v="110.35"/>
  </r>
  <r>
    <s v="Rural+Urban"/>
    <n v="2014"/>
    <x v="11"/>
    <n v="121.1"/>
    <n v="121.6"/>
    <n v="115.9"/>
    <n v="118.4"/>
    <n v="107.7"/>
    <n v="127.7"/>
    <n v="125"/>
    <n v="111.9"/>
    <n v="102.8"/>
    <n v="113.4"/>
    <n v="113.7"/>
    <n v="120.4"/>
    <n v="118.9"/>
    <n v="114.3"/>
    <n v="112.5"/>
    <n v="114.1"/>
    <n v="111.8"/>
    <n v="111.3"/>
    <n v="111.2"/>
    <n v="113"/>
    <n v="109.1"/>
    <n v="111.8"/>
    <n v="115.8"/>
    <x v="115"/>
    <x v="107"/>
    <x v="22"/>
    <x v="111"/>
    <x v="108"/>
    <x v="115"/>
    <n v="110.44999999999999"/>
  </r>
  <r>
    <s v="Urban"/>
    <n v="2014"/>
    <x v="11"/>
    <n v="122.7"/>
    <n v="124.1"/>
    <n v="114.2"/>
    <n v="119.1"/>
    <n v="103.5"/>
    <n v="129.19999999999999"/>
    <n v="127"/>
    <n v="112.6"/>
    <n v="101.3"/>
    <n v="117"/>
    <n v="112.9"/>
    <n v="121.7"/>
    <n v="120"/>
    <n v="114.3"/>
    <n v="111.1"/>
    <n v="114.1"/>
    <n v="111.2"/>
    <n v="111.3"/>
    <n v="111.5"/>
    <n v="112.9"/>
    <n v="109.3"/>
    <n v="111.7"/>
    <n v="115.6"/>
    <x v="116"/>
    <x v="27"/>
    <x v="22"/>
    <x v="111"/>
    <x v="109"/>
    <x v="116"/>
    <n v="110.5"/>
  </r>
  <r>
    <s v="Rural"/>
    <n v="2013"/>
    <x v="11"/>
    <n v="110.9"/>
    <n v="109.8"/>
    <n v="105.9"/>
    <n v="107.5"/>
    <n v="105.3"/>
    <n v="108.1"/>
    <n v="107.3"/>
    <n v="106.1"/>
    <n v="103.7"/>
    <n v="104"/>
    <n v="107.4"/>
    <n v="109.9"/>
    <n v="108.1"/>
    <n v="171.8"/>
    <n v="107.5"/>
    <n v="106.8"/>
    <n v="105.7"/>
    <n v="104.1"/>
    <n v="105"/>
    <n v="105.5"/>
    <n v="102.1"/>
    <n v="104.8"/>
    <n v="107.2"/>
    <x v="117"/>
    <x v="108"/>
    <x v="92"/>
    <x v="112"/>
    <x v="110"/>
    <x v="117"/>
    <n v="103.44999999999999"/>
  </r>
  <r>
    <s v="Rural+Urban"/>
    <n v="2013"/>
    <x v="11"/>
    <n v="112.3"/>
    <n v="111.3"/>
    <n v="104.7"/>
    <n v="106.8"/>
    <n v="103.9"/>
    <n v="109.3"/>
    <n v="112.9"/>
    <n v="105.8"/>
    <n v="103.1"/>
    <n v="104.3"/>
    <n v="108.1"/>
    <n v="110.5"/>
    <n v="109.2"/>
    <n v="100.5"/>
    <n v="107.4"/>
    <n v="106.9"/>
    <n v="105.9"/>
    <n v="104"/>
    <n v="104.8"/>
    <n v="105.6"/>
    <n v="102.3"/>
    <n v="104.8"/>
    <n v="106.9"/>
    <x v="118"/>
    <x v="109"/>
    <x v="93"/>
    <x v="113"/>
    <x v="111"/>
    <x v="118"/>
    <n v="103.55"/>
  </r>
  <r>
    <s v="Urban"/>
    <n v="2013"/>
    <x v="11"/>
    <n v="115.4"/>
    <n v="114.2"/>
    <n v="102.7"/>
    <n v="105.5"/>
    <n v="101.5"/>
    <n v="110.6"/>
    <n v="123.7"/>
    <n v="105.2"/>
    <n v="101.9"/>
    <n v="105"/>
    <n v="109.1"/>
    <n v="111.3"/>
    <n v="111.1"/>
    <n v="100.5"/>
    <n v="107.2"/>
    <n v="107.1"/>
    <n v="106.2"/>
    <n v="103.9"/>
    <n v="104.6"/>
    <n v="105.7"/>
    <n v="102.6"/>
    <n v="104.9"/>
    <n v="106.6"/>
    <x v="119"/>
    <x v="110"/>
    <x v="94"/>
    <x v="114"/>
    <x v="112"/>
    <x v="119"/>
    <n v="103.75"/>
  </r>
  <r>
    <s v="Rural+Urban"/>
    <n v="2014"/>
    <x v="13"/>
    <n v="120.7"/>
    <n v="119.3"/>
    <n v="121"/>
    <n v="116.1"/>
    <n v="106.9"/>
    <n v="118.7"/>
    <n v="116.3"/>
    <n v="109.8"/>
    <n v="99.6"/>
    <n v="111.8"/>
    <n v="112.7"/>
    <n v="119.3"/>
    <n v="116.1"/>
    <n v="113.2"/>
    <n v="112.5"/>
    <n v="113.2"/>
    <n v="111.2"/>
    <n v="111.4"/>
    <n v="110.6"/>
    <n v="112"/>
    <n v="109"/>
    <n v="111.3"/>
    <n v="114.2"/>
    <x v="120"/>
    <x v="107"/>
    <x v="48"/>
    <x v="23"/>
    <x v="109"/>
    <x v="120"/>
    <n v="110.15"/>
  </r>
  <r>
    <s v="Rural"/>
    <n v="2023"/>
    <x v="10"/>
    <n v="174.3"/>
    <n v="205.2"/>
    <n v="173.9"/>
    <n v="177"/>
    <n v="183.3"/>
    <n v="167.2"/>
    <n v="140.9"/>
    <n v="170.5"/>
    <n v="119.1"/>
    <n v="212.1"/>
    <n v="177.6"/>
    <n v="189.9"/>
    <n v="174.8"/>
    <n v="173.5"/>
    <n v="181.4"/>
    <n v="178.6"/>
    <n v="186.6"/>
    <n v="169"/>
    <n v="172.8"/>
    <n v="178.5"/>
    <n v="180.7"/>
    <n v="177.9"/>
    <n v="178"/>
    <x v="121"/>
    <x v="111"/>
    <x v="95"/>
    <x v="115"/>
    <x v="113"/>
    <x v="121"/>
    <n v="179.3"/>
  </r>
  <r>
    <s v="Rural+Urban"/>
    <n v="2023"/>
    <x v="10"/>
    <n v="174.4"/>
    <n v="207.7"/>
    <n v="175.2"/>
    <n v="177.3"/>
    <n v="179.2"/>
    <n v="169.5"/>
    <n v="152.80000000000001"/>
    <n v="171.1"/>
    <n v="120"/>
    <n v="209.7"/>
    <n v="172.3"/>
    <n v="193"/>
    <n v="177"/>
    <n v="173.5"/>
    <n v="181.9"/>
    <n v="174.2"/>
    <n v="184.4"/>
    <n v="164.2"/>
    <n v="170.3"/>
    <n v="175"/>
    <n v="181"/>
    <n v="174.1"/>
    <n v="177.2"/>
    <x v="122"/>
    <x v="60"/>
    <x v="96"/>
    <x v="116"/>
    <x v="114"/>
    <x v="122"/>
    <n v="177.55"/>
  </r>
  <r>
    <s v="Urban"/>
    <n v="2023"/>
    <x v="10"/>
    <n v="174.7"/>
    <n v="212.2"/>
    <n v="177.2"/>
    <n v="177.9"/>
    <n v="172.2"/>
    <n v="172.1"/>
    <n v="175.9"/>
    <n v="172.2"/>
    <n v="121.9"/>
    <n v="204.8"/>
    <n v="164.9"/>
    <n v="196.6"/>
    <n v="180.8"/>
    <n v="173.5"/>
    <n v="182.6"/>
    <n v="169.2"/>
    <n v="180.8"/>
    <n v="159.80000000000001"/>
    <n v="168.4"/>
    <n v="172.5"/>
    <n v="181.5"/>
    <n v="170"/>
    <n v="176.3"/>
    <x v="123"/>
    <x v="112"/>
    <x v="97"/>
    <x v="117"/>
    <x v="115"/>
    <x v="123"/>
    <n v="175.75"/>
  </r>
  <r>
    <s v="Rural"/>
    <n v="2022"/>
    <x v="10"/>
    <n v="150.19999999999999"/>
    <n v="208"/>
    <n v="167.9"/>
    <n v="162"/>
    <n v="203.1"/>
    <n v="155.9"/>
    <n v="155.80000000000001"/>
    <n v="164.2"/>
    <n v="118.1"/>
    <n v="178.7"/>
    <n v="171.2"/>
    <n v="177.4"/>
    <n v="166.6"/>
    <n v="165.3"/>
    <n v="168.9"/>
    <n v="166.5"/>
    <n v="176"/>
    <n v="162"/>
    <n v="166.6"/>
    <n v="170.6"/>
    <n v="167.4"/>
    <n v="168.3"/>
    <n v="168.7"/>
    <x v="124"/>
    <x v="113"/>
    <x v="98"/>
    <x v="118"/>
    <x v="116"/>
    <x v="124"/>
    <n v="167.85000000000002"/>
  </r>
  <r>
    <s v="Rural+Urban"/>
    <n v="2022"/>
    <x v="10"/>
    <n v="151.30000000000001"/>
    <n v="210.7"/>
    <n v="167.8"/>
    <n v="162.19999999999999"/>
    <n v="194.6"/>
    <n v="157.6"/>
    <n v="166.9"/>
    <n v="163.9"/>
    <n v="118.8"/>
    <n v="177.4"/>
    <n v="165.3"/>
    <n v="179.3"/>
    <n v="168.4"/>
    <n v="165.3"/>
    <n v="167.2"/>
    <n v="162.80000000000001"/>
    <n v="173"/>
    <n v="157.9"/>
    <n v="163.30000000000001"/>
    <n v="166"/>
    <n v="167.2"/>
    <n v="164.6"/>
    <n v="167.7"/>
    <x v="125"/>
    <x v="114"/>
    <x v="99"/>
    <x v="119"/>
    <x v="117"/>
    <x v="125"/>
    <n v="165.89999999999998"/>
  </r>
  <r>
    <s v="Urban"/>
    <n v="2022"/>
    <x v="10"/>
    <n v="153.69999999999999"/>
    <n v="215.8"/>
    <n v="167.7"/>
    <n v="162.6"/>
    <n v="180"/>
    <n v="159.6"/>
    <n v="188.4"/>
    <n v="163.4"/>
    <n v="120.3"/>
    <n v="174.7"/>
    <n v="157.1"/>
    <n v="181.5"/>
    <n v="171.5"/>
    <n v="165.3"/>
    <n v="164.5"/>
    <n v="158.6"/>
    <n v="168.2"/>
    <n v="154.19999999999999"/>
    <n v="160.80000000000001"/>
    <n v="162.69999999999999"/>
    <n v="166.8"/>
    <n v="160.6"/>
    <n v="166.5"/>
    <x v="126"/>
    <x v="115"/>
    <x v="100"/>
    <x v="120"/>
    <x v="118"/>
    <x v="126"/>
    <n v="163.69999999999999"/>
  </r>
  <r>
    <s v="Rural"/>
    <n v="2020"/>
    <x v="1"/>
    <n v="147.6"/>
    <n v="187.2"/>
    <n v="148.4"/>
    <n v="153.30000000000001"/>
    <n v="139.80000000000001"/>
    <n v="146.9"/>
    <n v="171"/>
    <n v="149.9"/>
    <n v="114.2"/>
    <n v="160"/>
    <n v="143.5"/>
    <n v="161.5"/>
    <n v="155.30000000000001"/>
    <n v="155.5"/>
    <n v="145.80000000000001"/>
    <n v="151.9"/>
    <n v="158.80000000000001"/>
    <n v="143.6"/>
    <n v="152.19999999999999"/>
    <n v="162.69999999999999"/>
    <n v="153.6"/>
    <n v="153"/>
    <n v="154.69999999999999"/>
    <x v="127"/>
    <x v="116"/>
    <x v="101"/>
    <x v="121"/>
    <x v="119"/>
    <x v="127"/>
    <n v="153.30000000000001"/>
  </r>
  <r>
    <s v="Rural+Urban"/>
    <n v="2020"/>
    <x v="1"/>
    <n v="148.9"/>
    <n v="190.9"/>
    <n v="150.80000000000001"/>
    <n v="153.30000000000001"/>
    <n v="137.4"/>
    <n v="150.4"/>
    <n v="178.1"/>
    <n v="150.4"/>
    <n v="115.1"/>
    <n v="160"/>
    <n v="140.6"/>
    <n v="162.30000000000001"/>
    <n v="157"/>
    <n v="155.5"/>
    <n v="143"/>
    <n v="148.4"/>
    <n v="155"/>
    <n v="138.5"/>
    <n v="146"/>
    <n v="158.5"/>
    <n v="154.30000000000001"/>
    <n v="149"/>
    <n v="153.9"/>
    <x v="128"/>
    <x v="117"/>
    <x v="102"/>
    <x v="122"/>
    <x v="120"/>
    <x v="128"/>
    <n v="151.65"/>
  </r>
  <r>
    <s v="Urban"/>
    <n v="2020"/>
    <x v="1"/>
    <n v="151.6"/>
    <n v="197.8"/>
    <n v="154.5"/>
    <n v="153.4"/>
    <n v="133.4"/>
    <n v="154.5"/>
    <n v="191.9"/>
    <n v="151.30000000000001"/>
    <n v="116.8"/>
    <n v="160"/>
    <n v="136.5"/>
    <n v="163.30000000000001"/>
    <n v="159.9"/>
    <n v="155.5"/>
    <n v="138.30000000000001"/>
    <n v="144.5"/>
    <n v="148.69999999999999"/>
    <n v="133.9"/>
    <n v="141.19999999999999"/>
    <n v="155.5"/>
    <n v="155.19999999999999"/>
    <n v="144.80000000000001"/>
    <n v="152.9"/>
    <x v="129"/>
    <x v="118"/>
    <x v="103"/>
    <x v="123"/>
    <x v="121"/>
    <x v="129"/>
    <n v="150"/>
  </r>
  <r>
    <s v="Rural"/>
    <n v="2020"/>
    <x v="2"/>
    <n v="144.6"/>
    <n v="188.5"/>
    <n v="173.4"/>
    <n v="154"/>
    <n v="150"/>
    <n v="145.9"/>
    <n v="225.2"/>
    <n v="159.5"/>
    <n v="114.4"/>
    <n v="163.5"/>
    <n v="153.4"/>
    <n v="163.6"/>
    <n v="164.5"/>
    <n v="158.4"/>
    <n v="148.69999999999999"/>
    <n v="153.4"/>
    <n v="161.6"/>
    <n v="146.4"/>
    <n v="153.9"/>
    <n v="162.9"/>
    <n v="156.6"/>
    <n v="155.19999999999999"/>
    <n v="160.69999999999999"/>
    <x v="130"/>
    <x v="119"/>
    <x v="104"/>
    <x v="124"/>
    <x v="122"/>
    <x v="130"/>
    <n v="155.89999999999998"/>
  </r>
  <r>
    <s v="Rural+Urban"/>
    <n v="2020"/>
    <x v="2"/>
    <n v="146"/>
    <n v="191"/>
    <n v="175.3"/>
    <n v="154.1"/>
    <n v="146.6"/>
    <n v="147.69999999999999"/>
    <n v="230.5"/>
    <n v="160.19999999999999"/>
    <n v="115.3"/>
    <n v="163"/>
    <n v="149.19999999999999"/>
    <n v="164.8"/>
    <n v="165.4"/>
    <n v="158.4"/>
    <n v="144.6"/>
    <n v="149.69999999999999"/>
    <n v="158.30000000000001"/>
    <n v="140.69999999999999"/>
    <n v="148.5"/>
    <n v="159.4"/>
    <n v="157.1"/>
    <n v="151.19999999999999"/>
    <n v="158.9"/>
    <x v="131"/>
    <x v="120"/>
    <x v="105"/>
    <x v="125"/>
    <x v="123"/>
    <x v="131"/>
    <n v="154.14999999999998"/>
  </r>
  <r>
    <s v="Urban"/>
    <n v="2020"/>
    <x v="2"/>
    <n v="149"/>
    <n v="195.7"/>
    <n v="178.3"/>
    <n v="154.19999999999999"/>
    <n v="140.69999999999999"/>
    <n v="149.69999999999999"/>
    <n v="240.9"/>
    <n v="161.5"/>
    <n v="117.1"/>
    <n v="161.9"/>
    <n v="143.30000000000001"/>
    <n v="166.1"/>
    <n v="167"/>
    <n v="158.4"/>
    <n v="137.9"/>
    <n v="145.5"/>
    <n v="152.9"/>
    <n v="135.5"/>
    <n v="144.30000000000001"/>
    <n v="156.9"/>
    <n v="157.9"/>
    <n v="146.9"/>
    <n v="156.9"/>
    <x v="132"/>
    <x v="121"/>
    <x v="106"/>
    <x v="122"/>
    <x v="124"/>
    <x v="132"/>
    <n v="152.4"/>
  </r>
  <r>
    <s v="Rural"/>
    <n v="2020"/>
    <x v="3"/>
    <n v="144.19999999999999"/>
    <n v="167.5"/>
    <n v="150.9"/>
    <n v="150.9"/>
    <n v="133.69999999999999"/>
    <n v="140.69999999999999"/>
    <n v="165.1"/>
    <n v="141.80000000000001"/>
    <n v="113.1"/>
    <n v="152.80000000000001"/>
    <n v="140.1"/>
    <n v="159.19999999999999"/>
    <n v="149.80000000000001"/>
    <n v="154.80000000000001"/>
    <n v="152.30000000000001"/>
    <n v="151.80000000000001"/>
    <n v="156.19999999999999"/>
    <n v="136"/>
    <n v="150.4"/>
    <n v="161.9"/>
    <n v="143.4"/>
    <n v="148.4"/>
    <n v="150.4"/>
    <x v="133"/>
    <x v="122"/>
    <x v="107"/>
    <x v="126"/>
    <x v="125"/>
    <x v="133"/>
    <n v="145.9"/>
  </r>
  <r>
    <s v="Rural+Urban"/>
    <n v="2020"/>
    <x v="3"/>
    <n v="144.80000000000001"/>
    <n v="167.5"/>
    <n v="151.80000000000001"/>
    <n v="150.80000000000001"/>
    <n v="131.4"/>
    <n v="141.80000000000001"/>
    <n v="170.7"/>
    <n v="141.1"/>
    <n v="113.6"/>
    <n v="152"/>
    <n v="136.5"/>
    <n v="159.1"/>
    <n v="150.5"/>
    <n v="154.80000000000001"/>
    <n v="147.19999999999999"/>
    <n v="146.4"/>
    <n v="151.69999999999999"/>
    <n v="130.30000000000001"/>
    <n v="143.19999999999999"/>
    <n v="156.19999999999999"/>
    <n v="143.4"/>
    <n v="143.6"/>
    <n v="149.1"/>
    <x v="134"/>
    <x v="123"/>
    <x v="63"/>
    <x v="127"/>
    <x v="38"/>
    <x v="134"/>
    <n v="143.5"/>
  </r>
  <r>
    <s v="Urban"/>
    <n v="2020"/>
    <x v="3"/>
    <n v="146.19999999999999"/>
    <n v="167.6"/>
    <n v="153.1"/>
    <n v="150.69999999999999"/>
    <n v="127.4"/>
    <n v="143.1"/>
    <n v="181.7"/>
    <n v="139.6"/>
    <n v="114.6"/>
    <n v="150.4"/>
    <n v="131.5"/>
    <n v="159"/>
    <n v="151.69999999999999"/>
    <n v="154.80000000000001"/>
    <n v="138.9"/>
    <n v="140.4"/>
    <n v="144.4"/>
    <n v="125.2"/>
    <n v="137.69999999999999"/>
    <n v="152.19999999999999"/>
    <n v="143.5"/>
    <n v="138.4"/>
    <n v="147.69999999999999"/>
    <x v="135"/>
    <x v="124"/>
    <x v="8"/>
    <x v="128"/>
    <x v="126"/>
    <x v="135"/>
    <n v="140.94999999999999"/>
  </r>
  <r>
    <s v="Urban"/>
    <n v="2018"/>
    <x v="10"/>
    <n v="135"/>
    <n v="143.1"/>
    <n v="135.5"/>
    <n v="139.9"/>
    <n v="116.5"/>
    <n v="138.5"/>
    <n v="128"/>
    <n v="115.5"/>
    <n v="114.2"/>
    <n v="140.69999999999999"/>
    <n v="126.2"/>
    <n v="147.6"/>
    <n v="134.80000000000001"/>
    <n v="142"/>
    <n v="126.4"/>
    <n v="130.80000000000001"/>
    <n v="130.5"/>
    <n v="117.8"/>
    <n v="126.8"/>
    <n v="137.80000000000001"/>
    <n v="126.7"/>
    <n v="127.1"/>
    <n v="134"/>
    <x v="136"/>
    <x v="125"/>
    <x v="45"/>
    <x v="129"/>
    <x v="127"/>
    <x v="136"/>
    <n v="126.9"/>
  </r>
  <r>
    <s v="Rural+Urban"/>
    <n v="2018"/>
    <x v="10"/>
    <n v="136.19999999999999"/>
    <n v="143.6"/>
    <n v="138.30000000000001"/>
    <n v="141.19999999999999"/>
    <n v="120.7"/>
    <n v="146.19999999999999"/>
    <n v="134.6"/>
    <n v="124.6"/>
    <n v="116.1"/>
    <n v="137.80000000000001"/>
    <n v="129.1"/>
    <n v="150.4"/>
    <n v="137.19999999999999"/>
    <n v="142"/>
    <n v="136.5"/>
    <n v="135.6"/>
    <n v="134.30000000000001"/>
    <n v="121"/>
    <n v="130.4"/>
    <n v="139.80000000000001"/>
    <n v="128.19999999999999"/>
    <n v="130.30000000000001"/>
    <n v="136.5"/>
    <x v="137"/>
    <x v="126"/>
    <x v="46"/>
    <x v="130"/>
    <x v="128"/>
    <x v="137"/>
    <n v="129.25"/>
  </r>
  <r>
    <s v="Rural"/>
    <n v="2018"/>
    <x v="10"/>
    <n v="136.80000000000001"/>
    <n v="143.80000000000001"/>
    <n v="140"/>
    <n v="142"/>
    <n v="123.2"/>
    <n v="152.9"/>
    <n v="138"/>
    <n v="129.30000000000001"/>
    <n v="117.1"/>
    <n v="136.30000000000001"/>
    <n v="131.19999999999999"/>
    <n v="152.80000000000001"/>
    <n v="138.6"/>
    <n v="142"/>
    <n v="142.6"/>
    <n v="139.9"/>
    <n v="136.69999999999999"/>
    <n v="124.6"/>
    <n v="135.1"/>
    <n v="142.69999999999999"/>
    <n v="129.30000000000001"/>
    <n v="133.30000000000001"/>
    <n v="138.69999999999999"/>
    <x v="138"/>
    <x v="127"/>
    <x v="40"/>
    <x v="131"/>
    <x v="129"/>
    <x v="138"/>
    <n v="131.30000000000001"/>
  </r>
  <r>
    <s v="Urban"/>
    <n v="2017"/>
    <x v="10"/>
    <n v="132.69999999999999"/>
    <n v="139.4"/>
    <n v="128.4"/>
    <n v="134.9"/>
    <n v="114"/>
    <n v="136.80000000000001"/>
    <n v="122.2"/>
    <n v="135.80000000000001"/>
    <n v="120.3"/>
    <n v="142.6"/>
    <n v="123.6"/>
    <n v="142.4"/>
    <n v="132.6"/>
    <n v="131.1"/>
    <n v="120.8"/>
    <n v="125.6"/>
    <n v="123.1"/>
    <n v="115.6"/>
    <n v="122.4"/>
    <n v="132.80000000000001"/>
    <n v="121.7"/>
    <n v="122.6"/>
    <n v="128.69999999999999"/>
    <x v="139"/>
    <x v="51"/>
    <x v="108"/>
    <x v="132"/>
    <x v="130"/>
    <x v="139"/>
    <n v="122.15"/>
  </r>
  <r>
    <s v="Rural+Urban"/>
    <n v="2017"/>
    <x v="10"/>
    <n v="133.30000000000001"/>
    <n v="139"/>
    <n v="128.6"/>
    <n v="136.30000000000001"/>
    <n v="118.8"/>
    <n v="138.30000000000001"/>
    <n v="120.5"/>
    <n v="143.9"/>
    <n v="118"/>
    <n v="137.9"/>
    <n v="127.2"/>
    <n v="144"/>
    <n v="133.1"/>
    <n v="131.1"/>
    <n v="129.1"/>
    <n v="130.1"/>
    <n v="127.8"/>
    <n v="117.6"/>
    <n v="125"/>
    <n v="133.80000000000001"/>
    <n v="122.6"/>
    <n v="125.1"/>
    <n v="130.9"/>
    <x v="140"/>
    <x v="128"/>
    <x v="109"/>
    <x v="75"/>
    <x v="20"/>
    <x v="140"/>
    <n v="123.85"/>
  </r>
  <r>
    <s v="Rural"/>
    <n v="2017"/>
    <x v="10"/>
    <n v="133.6"/>
    <n v="138.80000000000001"/>
    <n v="128.80000000000001"/>
    <n v="137.19999999999999"/>
    <n v="121.6"/>
    <n v="139.69999999999999"/>
    <n v="119.7"/>
    <n v="148"/>
    <n v="116.9"/>
    <n v="135.6"/>
    <n v="129.80000000000001"/>
    <n v="145.4"/>
    <n v="133.4"/>
    <n v="131.1"/>
    <n v="134.19999999999999"/>
    <n v="134.1"/>
    <n v="130.6"/>
    <n v="119.8"/>
    <n v="128.30000000000001"/>
    <n v="135.19999999999999"/>
    <n v="123.3"/>
    <n v="127.4"/>
    <n v="132.80000000000001"/>
    <x v="141"/>
    <x v="129"/>
    <x v="84"/>
    <x v="133"/>
    <x v="16"/>
    <x v="141"/>
    <n v="125.35"/>
  </r>
  <r>
    <s v="Urban"/>
    <n v="2016"/>
    <x v="10"/>
    <n v="124.8"/>
    <n v="136.30000000000001"/>
    <n v="123.7"/>
    <n v="129.69999999999999"/>
    <n v="107.9"/>
    <n v="119.9"/>
    <n v="128.1"/>
    <n v="170.3"/>
    <n v="101.8"/>
    <n v="140.1"/>
    <n v="120.7"/>
    <n v="135.4"/>
    <n v="128.9"/>
    <n v="124.9"/>
    <n v="114.8"/>
    <n v="122.3"/>
    <n v="119.7"/>
    <n v="108.5"/>
    <n v="119.1"/>
    <n v="126.4"/>
    <n v="117.1"/>
    <n v="117.3"/>
    <n v="123.8"/>
    <x v="142"/>
    <x v="18"/>
    <x v="110"/>
    <x v="134"/>
    <x v="131"/>
    <x v="81"/>
    <n v="117.19999999999999"/>
  </r>
  <r>
    <s v="Rural+Urban"/>
    <n v="2016"/>
    <x v="10"/>
    <n v="126.5"/>
    <n v="135.1"/>
    <n v="124.6"/>
    <n v="130.19999999999999"/>
    <n v="114.5"/>
    <n v="126.2"/>
    <n v="129.80000000000001"/>
    <n v="164.3"/>
    <n v="100.9"/>
    <n v="133.9"/>
    <n v="123.1"/>
    <n v="136.30000000000001"/>
    <n v="129.80000000000001"/>
    <n v="124.9"/>
    <n v="122.4"/>
    <n v="125.1"/>
    <n v="122.9"/>
    <n v="110.9"/>
    <n v="120.6"/>
    <n v="126.9"/>
    <n v="117.3"/>
    <n v="119.3"/>
    <n v="126"/>
    <x v="143"/>
    <x v="130"/>
    <x v="111"/>
    <x v="135"/>
    <x v="132"/>
    <x v="142"/>
    <n v="118.3"/>
  </r>
  <r>
    <s v="Rural"/>
    <n v="2016"/>
    <x v="10"/>
    <n v="127.3"/>
    <n v="134.4"/>
    <n v="125.1"/>
    <n v="130.5"/>
    <n v="118.3"/>
    <n v="131.69999999999999"/>
    <n v="130.69999999999999"/>
    <n v="161.19999999999999"/>
    <n v="100.4"/>
    <n v="130.80000000000001"/>
    <n v="124.9"/>
    <n v="137"/>
    <n v="130.4"/>
    <n v="124.9"/>
    <n v="127"/>
    <n v="127.7"/>
    <n v="124.8"/>
    <n v="113.6"/>
    <n v="122.5"/>
    <n v="127.5"/>
    <n v="117.4"/>
    <n v="121.1"/>
    <n v="128"/>
    <x v="144"/>
    <x v="38"/>
    <x v="112"/>
    <x v="136"/>
    <x v="133"/>
    <x v="109"/>
    <n v="119.25"/>
  </r>
  <r>
    <s v="Rural"/>
    <n v="2015"/>
    <x v="10"/>
    <n v="123.3"/>
    <n v="124.7"/>
    <n v="118.9"/>
    <n v="126"/>
    <n v="111.8"/>
    <n v="130.9"/>
    <n v="128"/>
    <n v="119.9"/>
    <n v="98.9"/>
    <n v="119.4"/>
    <n v="118.9"/>
    <n v="127.7"/>
    <n v="123.1"/>
    <n v="118.6"/>
    <n v="120.6"/>
    <n v="120.2"/>
    <n v="118.2"/>
    <n v="111.6"/>
    <n v="115.5"/>
    <n v="119.4"/>
    <n v="110.8"/>
    <n v="115.5"/>
    <n v="121.1"/>
    <x v="145"/>
    <x v="15"/>
    <x v="113"/>
    <x v="137"/>
    <x v="134"/>
    <x v="143"/>
    <n v="113.15"/>
  </r>
  <r>
    <s v="Rural+Urban"/>
    <n v="2015"/>
    <x v="10"/>
    <n v="123.5"/>
    <n v="125.4"/>
    <n v="116.8"/>
    <n v="126"/>
    <n v="109.2"/>
    <n v="127.6"/>
    <n v="129.19999999999999"/>
    <n v="122.4"/>
    <n v="97"/>
    <n v="122.1"/>
    <n v="118.1"/>
    <n v="128.4"/>
    <n v="123.4"/>
    <n v="118.6"/>
    <n v="118.3"/>
    <n v="119.2"/>
    <n v="116.7"/>
    <n v="109.9"/>
    <n v="115.4"/>
    <n v="120.1"/>
    <n v="111"/>
    <n v="114.7"/>
    <n v="120.2"/>
    <x v="146"/>
    <x v="131"/>
    <x v="28"/>
    <x v="138"/>
    <x v="135"/>
    <x v="144"/>
    <n v="112.85"/>
  </r>
  <r>
    <s v="Urban"/>
    <n v="2015"/>
    <x v="10"/>
    <n v="124"/>
    <n v="126.7"/>
    <n v="113.5"/>
    <n v="125.9"/>
    <n v="104.8"/>
    <n v="123.8"/>
    <n v="131.4"/>
    <n v="127.2"/>
    <n v="93.2"/>
    <n v="127.4"/>
    <n v="117"/>
    <n v="129.19999999999999"/>
    <n v="123.9"/>
    <n v="118.6"/>
    <n v="114.4"/>
    <n v="118"/>
    <n v="114.3"/>
    <n v="108.4"/>
    <n v="115.4"/>
    <n v="120.6"/>
    <n v="111.3"/>
    <n v="113.8"/>
    <n v="119.1"/>
    <x v="147"/>
    <x v="132"/>
    <x v="114"/>
    <x v="139"/>
    <x v="53"/>
    <x v="145"/>
    <n v="112.55"/>
  </r>
  <r>
    <s v="Rural"/>
    <n v="2014"/>
    <x v="10"/>
    <n v="120.1"/>
    <n v="118.1"/>
    <n v="120.7"/>
    <n v="116.1"/>
    <n v="109.3"/>
    <n v="119.6"/>
    <n v="117.9"/>
    <n v="110.2"/>
    <n v="101.2"/>
    <n v="110.7"/>
    <n v="113"/>
    <n v="118.3"/>
    <n v="116.2"/>
    <n v="113.2"/>
    <n v="113.4"/>
    <n v="113.4"/>
    <n v="111.4"/>
    <n v="111.2"/>
    <n v="110.2"/>
    <n v="112.4"/>
    <n v="108.9"/>
    <n v="111.3"/>
    <n v="114.6"/>
    <x v="148"/>
    <x v="106"/>
    <x v="26"/>
    <x v="140"/>
    <x v="136"/>
    <x v="146"/>
    <n v="110.1"/>
  </r>
  <r>
    <s v="Urban"/>
    <n v="2014"/>
    <x v="10"/>
    <n v="122.1"/>
    <n v="121.4"/>
    <n v="121.5"/>
    <n v="116.2"/>
    <n v="102.8"/>
    <n v="117.7"/>
    <n v="113.3"/>
    <n v="108.9"/>
    <n v="96.3"/>
    <n v="114.1"/>
    <n v="112.2"/>
    <n v="120.5"/>
    <n v="116"/>
    <n v="113.2"/>
    <n v="110.9"/>
    <n v="113"/>
    <n v="110.8"/>
    <n v="111.6"/>
    <n v="110.9"/>
    <n v="111.8"/>
    <n v="109.2"/>
    <n v="111.4"/>
    <n v="113.7"/>
    <x v="149"/>
    <x v="57"/>
    <x v="113"/>
    <x v="141"/>
    <x v="137"/>
    <x v="147"/>
    <n v="110.30000000000001"/>
  </r>
  <r>
    <s v="Rural"/>
    <n v="2013"/>
    <x v="10"/>
    <n v="110.2"/>
    <n v="108.8"/>
    <n v="109.9"/>
    <n v="105.6"/>
    <n v="106.2"/>
    <n v="105.7"/>
    <n v="101.4"/>
    <n v="105.7"/>
    <n v="105"/>
    <n v="103.3"/>
    <n v="105.6"/>
    <n v="108.2"/>
    <n v="106.6"/>
    <n v="100.4"/>
    <n v="106.1"/>
    <n v="105.6"/>
    <n v="104.7"/>
    <n v="104.6"/>
    <n v="104"/>
    <n v="104.3"/>
    <n v="104.3"/>
    <n v="104.6"/>
    <n v="106"/>
    <x v="150"/>
    <x v="133"/>
    <x v="115"/>
    <x v="142"/>
    <x v="138"/>
    <x v="148"/>
    <n v="104.44999999999999"/>
  </r>
  <r>
    <s v="Rural+Urban"/>
    <n v="2013"/>
    <x v="10"/>
    <n v="111.4"/>
    <n v="109.7"/>
    <n v="111.2"/>
    <n v="105.1"/>
    <n v="104.9"/>
    <n v="105.3"/>
    <n v="102.2"/>
    <n v="105"/>
    <n v="104.2"/>
    <n v="103"/>
    <n v="106.2"/>
    <n v="108.9"/>
    <n v="106.9"/>
    <n v="100.4"/>
    <n v="106.1"/>
    <n v="105.6"/>
    <n v="104.9"/>
    <n v="105.1"/>
    <n v="103.7"/>
    <n v="104"/>
    <n v="104.3"/>
    <n v="104.7"/>
    <n v="105.5"/>
    <x v="151"/>
    <x v="133"/>
    <x v="116"/>
    <x v="142"/>
    <x v="139"/>
    <x v="149"/>
    <n v="104.5"/>
  </r>
  <r>
    <s v="Urban"/>
    <n v="2013"/>
    <x v="10"/>
    <n v="113.9"/>
    <n v="111.4"/>
    <n v="113.2"/>
    <n v="104.3"/>
    <n v="102.7"/>
    <n v="104.9"/>
    <n v="103.8"/>
    <n v="103.5"/>
    <n v="102.6"/>
    <n v="102.4"/>
    <n v="107"/>
    <n v="109.8"/>
    <n v="107.3"/>
    <n v="100.4"/>
    <n v="106"/>
    <n v="105.7"/>
    <n v="105.2"/>
    <n v="105.5"/>
    <n v="103.5"/>
    <n v="103.8"/>
    <n v="104.2"/>
    <n v="104.9"/>
    <n v="105"/>
    <x v="152"/>
    <x v="134"/>
    <x v="117"/>
    <x v="143"/>
    <x v="140"/>
    <x v="150"/>
    <n v="104.55000000000001"/>
  </r>
  <r>
    <s v="Rural"/>
    <n v="2022"/>
    <x v="7"/>
    <n v="153.80000000000001"/>
    <n v="217.2"/>
    <n v="169.6"/>
    <n v="165.4"/>
    <n v="208.1"/>
    <n v="165.8"/>
    <n v="167.3"/>
    <n v="164.6"/>
    <n v="119.1"/>
    <n v="188.9"/>
    <n v="174.2"/>
    <n v="181.9"/>
    <n v="172.4"/>
    <n v="166.8"/>
    <n v="176.7"/>
    <n v="170.3"/>
    <n v="178.2"/>
    <n v="165.5"/>
    <n v="168"/>
    <n v="172.6"/>
    <n v="169.5"/>
    <n v="171"/>
    <n v="173.6"/>
    <x v="153"/>
    <x v="135"/>
    <x v="118"/>
    <x v="144"/>
    <x v="141"/>
    <x v="151"/>
    <n v="170.25"/>
  </r>
  <r>
    <s v="Rural+Urban"/>
    <n v="2022"/>
    <x v="7"/>
    <n v="155"/>
    <n v="219.4"/>
    <n v="170.8"/>
    <n v="165.8"/>
    <n v="200.9"/>
    <n v="169.7"/>
    <n v="182.3"/>
    <n v="164.3"/>
    <n v="119.9"/>
    <n v="187.1"/>
    <n v="167.9"/>
    <n v="183.9"/>
    <n v="174.9"/>
    <n v="166.8"/>
    <n v="176"/>
    <n v="166.4"/>
    <n v="175.4"/>
    <n v="161.1"/>
    <n v="165.8"/>
    <n v="169"/>
    <n v="169.4"/>
    <n v="167.5"/>
    <n v="172.6"/>
    <x v="154"/>
    <x v="136"/>
    <x v="119"/>
    <x v="145"/>
    <x v="142"/>
    <x v="152"/>
    <n v="168.45"/>
  </r>
  <r>
    <s v="Urban"/>
    <n v="2022"/>
    <x v="7"/>
    <n v="157.5"/>
    <n v="223.4"/>
    <n v="172.8"/>
    <n v="166.4"/>
    <n v="188.6"/>
    <n v="174.1"/>
    <n v="211.5"/>
    <n v="163.6"/>
    <n v="121.4"/>
    <n v="183.5"/>
    <n v="159.1"/>
    <n v="186.3"/>
    <n v="179.3"/>
    <n v="166.8"/>
    <n v="174.9"/>
    <n v="162.1"/>
    <n v="170.9"/>
    <n v="157.19999999999999"/>
    <n v="164.1"/>
    <n v="166.5"/>
    <n v="169.2"/>
    <n v="163.80000000000001"/>
    <n v="171.4"/>
    <x v="155"/>
    <x v="137"/>
    <x v="120"/>
    <x v="146"/>
    <x v="143"/>
    <x v="153"/>
    <n v="166.5"/>
  </r>
  <r>
    <s v="Rural"/>
    <n v="2020"/>
    <x v="5"/>
    <n v="143.69999999999999"/>
    <n v="167.3"/>
    <n v="153.5"/>
    <n v="150.5"/>
    <n v="132"/>
    <n v="142.19999999999999"/>
    <n v="191.5"/>
    <n v="141.1"/>
    <n v="113.8"/>
    <n v="151.6"/>
    <n v="139.69999999999999"/>
    <n v="158.69999999999999"/>
    <n v="153"/>
    <n v="153.9"/>
    <n v="150.4"/>
    <n v="151.69999999999999"/>
    <n v="155.69999999999999"/>
    <n v="136.30000000000001"/>
    <n v="150.1"/>
    <n v="161.69999999999999"/>
    <n v="142.5"/>
    <n v="148.1"/>
    <n v="151.9"/>
    <x v="156"/>
    <x v="138"/>
    <x v="121"/>
    <x v="147"/>
    <x v="144"/>
    <x v="154"/>
    <n v="145.30000000000001"/>
  </r>
  <r>
    <s v="Rural+Urban"/>
    <n v="2020"/>
    <x v="5"/>
    <n v="144.30000000000001"/>
    <n v="167.4"/>
    <n v="154.9"/>
    <n v="150.1"/>
    <n v="129.9"/>
    <n v="143.19999999999999"/>
    <n v="197"/>
    <n v="140.4"/>
    <n v="114.1"/>
    <n v="150.9"/>
    <n v="136.1"/>
    <n v="158.6"/>
    <n v="153.5"/>
    <n v="153.9"/>
    <n v="144.6"/>
    <n v="146.19999999999999"/>
    <n v="151.19999999999999"/>
    <n v="130.9"/>
    <n v="142.80000000000001"/>
    <n v="156.1"/>
    <n v="142.30000000000001"/>
    <n v="143.4"/>
    <n v="150.19999999999999"/>
    <x v="157"/>
    <x v="120"/>
    <x v="122"/>
    <x v="148"/>
    <x v="145"/>
    <x v="9"/>
    <n v="142.85000000000002"/>
  </r>
  <r>
    <s v="Urban"/>
    <n v="2020"/>
    <x v="5"/>
    <n v="145.6"/>
    <n v="167.6"/>
    <n v="157"/>
    <n v="149.30000000000001"/>
    <n v="126.3"/>
    <n v="144.4"/>
    <n v="207.8"/>
    <n v="139.1"/>
    <n v="114.8"/>
    <n v="149.5"/>
    <n v="131.1"/>
    <n v="158.5"/>
    <n v="154.4"/>
    <n v="153.9"/>
    <n v="135.1"/>
    <n v="140.1"/>
    <n v="143.80000000000001"/>
    <n v="126.1"/>
    <n v="137.19999999999999"/>
    <n v="152.1"/>
    <n v="142.1"/>
    <n v="138.4"/>
    <n v="148.19999999999999"/>
    <x v="158"/>
    <x v="139"/>
    <x v="80"/>
    <x v="149"/>
    <x v="146"/>
    <x v="155"/>
    <n v="140.25"/>
  </r>
  <r>
    <s v="Rural"/>
    <n v="2020"/>
    <x v="6"/>
    <n v="148.19999999999999"/>
    <n v="190.3"/>
    <n v="149.4"/>
    <n v="153.30000000000001"/>
    <n v="138.19999999999999"/>
    <n v="143.19999999999999"/>
    <n v="148.9"/>
    <n v="150.30000000000001"/>
    <n v="113.2"/>
    <n v="159.80000000000001"/>
    <n v="142.1"/>
    <n v="161.80000000000001"/>
    <n v="152.30000000000001"/>
    <n v="154.69999999999999"/>
    <n v="144.9"/>
    <n v="151.69999999999999"/>
    <n v="158.19999999999999"/>
    <n v="141.4"/>
    <n v="153.19999999999999"/>
    <n v="161.80000000000001"/>
    <n v="151.19999999999999"/>
    <n v="151.69999999999999"/>
    <n v="152.69999999999999"/>
    <x v="159"/>
    <x v="140"/>
    <x v="123"/>
    <x v="150"/>
    <x v="147"/>
    <x v="156"/>
    <n v="151.44999999999999"/>
  </r>
  <r>
    <s v="Rural+Urban"/>
    <n v="2020"/>
    <x v="6"/>
    <n v="149.6"/>
    <n v="192.7"/>
    <n v="151.4"/>
    <n v="153.30000000000001"/>
    <n v="136.30000000000001"/>
    <n v="147.19999999999999"/>
    <n v="156.5"/>
    <n v="150.9"/>
    <n v="114.2"/>
    <n v="159.5"/>
    <n v="139.4"/>
    <n v="161.80000000000001"/>
    <n v="154"/>
    <n v="154.69999999999999"/>
    <n v="141.9"/>
    <n v="146.4"/>
    <n v="154.4"/>
    <n v="135"/>
    <n v="148.30000000000001"/>
    <n v="156.4"/>
    <n v="151.6"/>
    <n v="147"/>
    <n v="151.80000000000001"/>
    <x v="160"/>
    <x v="141"/>
    <x v="6"/>
    <x v="151"/>
    <x v="148"/>
    <x v="157"/>
    <n v="149.30000000000001"/>
  </r>
  <r>
    <s v="Urban"/>
    <n v="2020"/>
    <x v="6"/>
    <n v="152.69999999999999"/>
    <n v="197"/>
    <n v="154.6"/>
    <n v="153.4"/>
    <n v="132.9"/>
    <n v="151.80000000000001"/>
    <n v="171.2"/>
    <n v="152"/>
    <n v="116.3"/>
    <n v="158.80000000000001"/>
    <n v="135.6"/>
    <n v="161.69999999999999"/>
    <n v="157"/>
    <n v="154.69999999999999"/>
    <n v="137.1"/>
    <n v="140.4"/>
    <n v="148.1"/>
    <n v="129.30000000000001"/>
    <n v="144.5"/>
    <n v="152.5"/>
    <n v="152.19999999999999"/>
    <n v="142"/>
    <n v="150.80000000000001"/>
    <x v="161"/>
    <x v="95"/>
    <x v="124"/>
    <x v="152"/>
    <x v="149"/>
    <x v="158"/>
    <n v="147.1"/>
  </r>
  <r>
    <s v="Rural"/>
    <n v="2020"/>
    <x v="7"/>
    <n v="148.19999999999999"/>
    <n v="190.3"/>
    <n v="149.4"/>
    <n v="153.30000000000001"/>
    <n v="138.19999999999999"/>
    <n v="143.19999999999999"/>
    <n v="148.9"/>
    <n v="150.30000000000001"/>
    <n v="113.2"/>
    <n v="159.80000000000001"/>
    <n v="142.1"/>
    <n v="161.80000000000001"/>
    <n v="152.30000000000001"/>
    <n v="154.69999999999999"/>
    <n v="144.9"/>
    <n v="151.69999999999999"/>
    <n v="158.19999999999999"/>
    <n v="141.4"/>
    <n v="153.19999999999999"/>
    <n v="161.80000000000001"/>
    <n v="151.19999999999999"/>
    <n v="151.69999999999999"/>
    <n v="152.69999999999999"/>
    <x v="159"/>
    <x v="140"/>
    <x v="123"/>
    <x v="150"/>
    <x v="147"/>
    <x v="156"/>
    <n v="151.44999999999999"/>
  </r>
  <r>
    <s v="Rural+Urban"/>
    <n v="2020"/>
    <x v="7"/>
    <n v="149.6"/>
    <n v="192.7"/>
    <n v="151.4"/>
    <n v="153.30000000000001"/>
    <n v="136.30000000000001"/>
    <n v="147.19999999999999"/>
    <n v="156.5"/>
    <n v="150.9"/>
    <n v="114.2"/>
    <n v="159.5"/>
    <n v="139.4"/>
    <n v="161.80000000000001"/>
    <n v="154"/>
    <n v="154.69999999999999"/>
    <n v="141.9"/>
    <n v="146.4"/>
    <n v="154.4"/>
    <n v="135"/>
    <n v="148.30000000000001"/>
    <n v="156.4"/>
    <n v="151.6"/>
    <n v="147"/>
    <n v="151.80000000000001"/>
    <x v="160"/>
    <x v="141"/>
    <x v="6"/>
    <x v="151"/>
    <x v="148"/>
    <x v="157"/>
    <n v="149.30000000000001"/>
  </r>
  <r>
    <s v="Urban"/>
    <n v="2020"/>
    <x v="7"/>
    <n v="152.69999999999999"/>
    <n v="197"/>
    <n v="154.6"/>
    <n v="153.4"/>
    <n v="132.9"/>
    <n v="151.80000000000001"/>
    <n v="171.2"/>
    <n v="152"/>
    <n v="116.3"/>
    <n v="158.80000000000001"/>
    <n v="135.6"/>
    <n v="161.69999999999999"/>
    <n v="157"/>
    <n v="154.69999999999999"/>
    <n v="137.1"/>
    <n v="140.4"/>
    <n v="148.1"/>
    <n v="129.30000000000001"/>
    <n v="144.5"/>
    <n v="152.5"/>
    <n v="152.19999999999999"/>
    <n v="142"/>
    <n v="150.80000000000001"/>
    <x v="161"/>
    <x v="95"/>
    <x v="124"/>
    <x v="152"/>
    <x v="149"/>
    <x v="158"/>
    <n v="147.1"/>
  </r>
  <r>
    <s v="Urban"/>
    <n v="2018"/>
    <x v="7"/>
    <n v="135.30000000000001"/>
    <n v="149.69999999999999"/>
    <n v="133.9"/>
    <n v="140.80000000000001"/>
    <n v="116.6"/>
    <n v="152.19999999999999"/>
    <n v="144"/>
    <n v="112.3"/>
    <n v="108.4"/>
    <n v="140"/>
    <n v="126.7"/>
    <n v="149"/>
    <n v="138.4"/>
    <n v="142.5"/>
    <n v="126.5"/>
    <n v="133.1"/>
    <n v="132.6"/>
    <n v="120.4"/>
    <n v="128.5"/>
    <n v="141.19999999999999"/>
    <n v="128.19999999999999"/>
    <n v="129.5"/>
    <n v="136.19999999999999"/>
    <x v="162"/>
    <x v="142"/>
    <x v="125"/>
    <x v="153"/>
    <x v="72"/>
    <x v="159"/>
    <n v="128.85"/>
  </r>
  <r>
    <s v="Rural+Urban"/>
    <n v="2018"/>
    <x v="7"/>
    <n v="136.9"/>
    <n v="148.69999999999999"/>
    <n v="135.6"/>
    <n v="142.30000000000001"/>
    <n v="121.3"/>
    <n v="153.19999999999999"/>
    <n v="143.69999999999999"/>
    <n v="121.4"/>
    <n v="111.1"/>
    <n v="138.4"/>
    <n v="130.30000000000001"/>
    <n v="151.80000000000001"/>
    <n v="139.4"/>
    <n v="142.5"/>
    <n v="138.1"/>
    <n v="137.9"/>
    <n v="136.19999999999999"/>
    <n v="123.7"/>
    <n v="132.6"/>
    <n v="142.80000000000001"/>
    <n v="130.1"/>
    <n v="132.6"/>
    <n v="138.5"/>
    <x v="163"/>
    <x v="46"/>
    <x v="126"/>
    <x v="154"/>
    <x v="42"/>
    <x v="12"/>
    <n v="131.35"/>
  </r>
  <r>
    <s v="Rural"/>
    <n v="2018"/>
    <x v="7"/>
    <n v="137.6"/>
    <n v="148.1"/>
    <n v="136.69999999999999"/>
    <n v="143.19999999999999"/>
    <n v="124"/>
    <n v="154.1"/>
    <n v="143.5"/>
    <n v="126"/>
    <n v="112.4"/>
    <n v="137.6"/>
    <n v="132.80000000000001"/>
    <n v="154.30000000000001"/>
    <n v="140"/>
    <n v="142.5"/>
    <n v="145.1"/>
    <n v="142.19999999999999"/>
    <n v="138.4"/>
    <n v="127.4"/>
    <n v="137.80000000000001"/>
    <n v="145.1"/>
    <n v="131.4"/>
    <n v="135.6"/>
    <n v="140.5"/>
    <x v="164"/>
    <x v="70"/>
    <x v="127"/>
    <x v="155"/>
    <x v="13"/>
    <x v="160"/>
    <n v="133.5"/>
  </r>
  <r>
    <s v="Urban"/>
    <n v="2017"/>
    <x v="7"/>
    <n v="132.9"/>
    <n v="148.69999999999999"/>
    <n v="128.30000000000001"/>
    <n v="137.30000000000001"/>
    <n v="113.5"/>
    <n v="137.19999999999999"/>
    <n v="142.19999999999999"/>
    <n v="128.19999999999999"/>
    <n v="120.9"/>
    <n v="138.80000000000001"/>
    <n v="124.2"/>
    <n v="143.1"/>
    <n v="135.69999999999999"/>
    <n v="131.4"/>
    <n v="119"/>
    <n v="126.8"/>
    <n v="123.8"/>
    <n v="113.9"/>
    <n v="122.9"/>
    <n v="134.30000000000001"/>
    <n v="122.5"/>
    <n v="122.7"/>
    <n v="129.9"/>
    <x v="165"/>
    <x v="143"/>
    <x v="128"/>
    <x v="156"/>
    <x v="150"/>
    <x v="161"/>
    <n v="122.6"/>
  </r>
  <r>
    <s v="Rural+Urban"/>
    <n v="2017"/>
    <x v="7"/>
    <n v="133.30000000000001"/>
    <n v="145.5"/>
    <n v="128.1"/>
    <n v="138.1"/>
    <n v="118.2"/>
    <n v="139.19999999999999"/>
    <n v="133.30000000000001"/>
    <n v="136.19999999999999"/>
    <n v="119.6"/>
    <n v="135.30000000000001"/>
    <n v="127.8"/>
    <n v="144.9"/>
    <n v="135.19999999999999"/>
    <n v="131.4"/>
    <n v="128.80000000000001"/>
    <n v="131.19999999999999"/>
    <n v="128.5"/>
    <n v="116.5"/>
    <n v="125.9"/>
    <n v="135.4"/>
    <n v="123.4"/>
    <n v="125.5"/>
    <n v="132"/>
    <x v="166"/>
    <x v="64"/>
    <x v="129"/>
    <x v="157"/>
    <x v="151"/>
    <x v="162"/>
    <n v="124.45"/>
  </r>
  <r>
    <s v="Rural"/>
    <n v="2017"/>
    <x v="7"/>
    <n v="133.5"/>
    <n v="143.69999999999999"/>
    <n v="128"/>
    <n v="138.6"/>
    <n v="120.9"/>
    <n v="140.9"/>
    <n v="128.80000000000001"/>
    <n v="140.19999999999999"/>
    <n v="118.9"/>
    <n v="133.5"/>
    <n v="130.4"/>
    <n v="146.5"/>
    <n v="134.9"/>
    <n v="131.4"/>
    <n v="134.80000000000001"/>
    <n v="135.19999999999999"/>
    <n v="131.30000000000001"/>
    <n v="119.4"/>
    <n v="129.80000000000001"/>
    <n v="136.9"/>
    <n v="124.1"/>
    <n v="128.1"/>
    <n v="133.9"/>
    <x v="167"/>
    <x v="144"/>
    <x v="88"/>
    <x v="158"/>
    <x v="45"/>
    <x v="163"/>
    <n v="126.1"/>
  </r>
  <r>
    <s v="Urban"/>
    <n v="2016"/>
    <x v="7"/>
    <n v="125.9"/>
    <n v="143.9"/>
    <n v="130.9"/>
    <n v="131"/>
    <n v="110.2"/>
    <n v="135.5"/>
    <n v="173.7"/>
    <n v="184.4"/>
    <n v="112"/>
    <n v="142.80000000000001"/>
    <n v="121.6"/>
    <n v="136.9"/>
    <n v="138.19999999999999"/>
    <n v="125.5"/>
    <n v="115.5"/>
    <n v="123.2"/>
    <n v="120.6"/>
    <n v="112.3"/>
    <n v="119.9"/>
    <n v="129.30000000000001"/>
    <n v="118.8"/>
    <n v="119.6"/>
    <n v="128.1"/>
    <x v="168"/>
    <x v="81"/>
    <x v="130"/>
    <x v="159"/>
    <x v="152"/>
    <x v="164"/>
    <n v="119.19999999999999"/>
  </r>
  <r>
    <s v="Rural+Urban"/>
    <n v="2016"/>
    <x v="7"/>
    <n v="127.7"/>
    <n v="140.5"/>
    <n v="128.30000000000001"/>
    <n v="132.6"/>
    <n v="115.5"/>
    <n v="136.5"/>
    <n v="159.69999999999999"/>
    <n v="174.3"/>
    <n v="109.9"/>
    <n v="136.30000000000001"/>
    <n v="124.4"/>
    <n v="138.1"/>
    <n v="136.80000000000001"/>
    <n v="125.5"/>
    <n v="123.3"/>
    <n v="126.4"/>
    <n v="124.1"/>
    <n v="114.2"/>
    <n v="121.7"/>
    <n v="129.69999999999999"/>
    <n v="119.4"/>
    <n v="121.5"/>
    <n v="130.1"/>
    <x v="169"/>
    <x v="145"/>
    <x v="131"/>
    <x v="160"/>
    <x v="153"/>
    <x v="165"/>
    <n v="120.45"/>
  </r>
  <r>
    <s v="Rural"/>
    <n v="2016"/>
    <x v="7"/>
    <n v="128.6"/>
    <n v="138.6"/>
    <n v="126.6"/>
    <n v="133.6"/>
    <n v="118.6"/>
    <n v="137.4"/>
    <n v="152.5"/>
    <n v="169.2"/>
    <n v="108.8"/>
    <n v="133.1"/>
    <n v="126.4"/>
    <n v="139.19999999999999"/>
    <n v="136"/>
    <n v="125.5"/>
    <n v="128"/>
    <n v="129.30000000000001"/>
    <n v="126.2"/>
    <n v="116.3"/>
    <n v="124.1"/>
    <n v="130.19999999999999"/>
    <n v="119.9"/>
    <n v="123.3"/>
    <n v="131.9"/>
    <x v="170"/>
    <x v="146"/>
    <x v="132"/>
    <x v="161"/>
    <x v="154"/>
    <x v="166"/>
    <n v="121.6"/>
  </r>
  <r>
    <s v="Urban"/>
    <n v="2015"/>
    <x v="7"/>
    <n v="123.6"/>
    <n v="134.4"/>
    <n v="120.9"/>
    <n v="127.3"/>
    <n v="106"/>
    <n v="132.30000000000001"/>
    <n v="146.69999999999999"/>
    <n v="148.1"/>
    <n v="89.8"/>
    <n v="130.5"/>
    <n v="118"/>
    <n v="130.5"/>
    <n v="128.5"/>
    <n v="119"/>
    <n v="115.1"/>
    <n v="119.2"/>
    <n v="115.4"/>
    <n v="111.7"/>
    <n v="116.2"/>
    <n v="123.8"/>
    <n v="112.5"/>
    <n v="116"/>
    <n v="121.7"/>
    <x v="171"/>
    <x v="21"/>
    <x v="133"/>
    <x v="162"/>
    <x v="155"/>
    <x v="167"/>
    <n v="114.25"/>
  </r>
  <r>
    <s v="Rural+Urban"/>
    <n v="2015"/>
    <x v="7"/>
    <n v="123.9"/>
    <n v="131.80000000000001"/>
    <n v="121.6"/>
    <n v="128.19999999999999"/>
    <n v="111.1"/>
    <n v="132.80000000000001"/>
    <n v="139.1"/>
    <n v="137.4"/>
    <n v="94.1"/>
    <n v="125.5"/>
    <n v="119.8"/>
    <n v="130.9"/>
    <n v="127.3"/>
    <n v="119"/>
    <n v="119.8"/>
    <n v="121.1"/>
    <n v="118.5"/>
    <n v="112.9"/>
    <n v="116.9"/>
    <n v="123.1"/>
    <n v="112.8"/>
    <n v="117"/>
    <n v="123"/>
    <x v="172"/>
    <x v="147"/>
    <x v="134"/>
    <x v="163"/>
    <x v="156"/>
    <x v="167"/>
    <n v="114.9"/>
  </r>
  <r>
    <s v="Rural"/>
    <n v="2015"/>
    <x v="7"/>
    <n v="124.1"/>
    <n v="130.4"/>
    <n v="122.1"/>
    <n v="128.69999999999999"/>
    <n v="114.1"/>
    <n v="133.19999999999999"/>
    <n v="135.19999999999999"/>
    <n v="131.9"/>
    <n v="96.3"/>
    <n v="123"/>
    <n v="121.1"/>
    <n v="131.19999999999999"/>
    <n v="126.6"/>
    <n v="119"/>
    <n v="122.6"/>
    <n v="122.8"/>
    <n v="120.4"/>
    <n v="114.2"/>
    <n v="117.9"/>
    <n v="122"/>
    <n v="113"/>
    <n v="117.9"/>
    <n v="124.1"/>
    <x v="173"/>
    <x v="44"/>
    <x v="131"/>
    <x v="164"/>
    <x v="50"/>
    <x v="168"/>
    <n v="115.45"/>
  </r>
  <r>
    <s v="Rural"/>
    <n v="2014"/>
    <x v="7"/>
    <n v="120.7"/>
    <n v="121.6"/>
    <n v="116.1"/>
    <n v="119.3"/>
    <n v="110.3"/>
    <n v="125.8"/>
    <n v="129.30000000000001"/>
    <n v="112.2"/>
    <n v="103.6"/>
    <n v="112.3"/>
    <n v="114.9"/>
    <n v="120.1"/>
    <n v="119.5"/>
    <n v="113.9"/>
    <n v="114.4"/>
    <n v="114.9"/>
    <n v="112.8"/>
    <n v="112.2"/>
    <n v="111.4"/>
    <n v="114.3"/>
    <n v="108"/>
    <n v="112.3"/>
    <n v="117"/>
    <x v="174"/>
    <x v="132"/>
    <x v="135"/>
    <x v="165"/>
    <x v="157"/>
    <x v="169"/>
    <n v="110.15"/>
  </r>
  <r>
    <s v="Rural+Urban"/>
    <n v="2014"/>
    <x v="7"/>
    <n v="121.5"/>
    <n v="123.1"/>
    <n v="115.8"/>
    <n v="119.7"/>
    <n v="107.8"/>
    <n v="128.30000000000001"/>
    <n v="132.1"/>
    <n v="112.4"/>
    <n v="102.9"/>
    <n v="114.3"/>
    <n v="114.2"/>
    <n v="121.2"/>
    <n v="120.4"/>
    <n v="113.9"/>
    <n v="113.2"/>
    <n v="114.6"/>
    <n v="112.3"/>
    <n v="111.8"/>
    <n v="111.6"/>
    <n v="114.8"/>
    <n v="108.3"/>
    <n v="112.3"/>
    <n v="116.7"/>
    <x v="175"/>
    <x v="148"/>
    <x v="18"/>
    <x v="166"/>
    <x v="25"/>
    <x v="170"/>
    <n v="110.3"/>
  </r>
  <r>
    <s v="Urban"/>
    <n v="2014"/>
    <x v="7"/>
    <n v="123.1"/>
    <n v="125.9"/>
    <n v="115.4"/>
    <n v="120.4"/>
    <n v="103.4"/>
    <n v="131.19999999999999"/>
    <n v="137.5"/>
    <n v="112.8"/>
    <n v="101.4"/>
    <n v="118.3"/>
    <n v="113.2"/>
    <n v="122.4"/>
    <n v="122"/>
    <n v="113.9"/>
    <n v="111.2"/>
    <n v="114.3"/>
    <n v="111.4"/>
    <n v="111.5"/>
    <n v="111.8"/>
    <n v="115.1"/>
    <n v="108.7"/>
    <n v="112.2"/>
    <n v="116.4"/>
    <x v="176"/>
    <x v="149"/>
    <x v="68"/>
    <x v="167"/>
    <x v="136"/>
    <x v="171"/>
    <n v="110.45"/>
  </r>
  <r>
    <s v="Rural"/>
    <n v="2013"/>
    <x v="7"/>
    <n v="112.3"/>
    <n v="112.1"/>
    <n v="108.1"/>
    <n v="108.3"/>
    <n v="105.9"/>
    <n v="109.2"/>
    <n v="118"/>
    <n v="106.8"/>
    <n v="104.1"/>
    <n v="105.4"/>
    <n v="108.2"/>
    <n v="111"/>
    <n v="110.6"/>
    <n v="106.6"/>
    <n v="108.5"/>
    <n v="107.5"/>
    <n v="106.3"/>
    <n v="105"/>
    <n v="105.6"/>
    <n v="106.5"/>
    <n v="102.5"/>
    <n v="105.5"/>
    <n v="108.9"/>
    <x v="177"/>
    <x v="150"/>
    <x v="136"/>
    <x v="168"/>
    <x v="158"/>
    <x v="172"/>
    <n v="104"/>
  </r>
  <r>
    <s v="Rural+Urban"/>
    <n v="2013"/>
    <x v="7"/>
    <n v="113.8"/>
    <n v="114.9"/>
    <n v="109.8"/>
    <n v="107.9"/>
    <n v="104.2"/>
    <n v="110.7"/>
    <n v="126.7"/>
    <n v="106.3"/>
    <n v="103.2"/>
    <n v="105.7"/>
    <n v="109"/>
    <n v="111.6"/>
    <n v="112.2"/>
    <n v="106.6"/>
    <n v="108.3"/>
    <n v="107.6"/>
    <n v="106.4"/>
    <n v="105.1"/>
    <n v="105.4"/>
    <n v="107.4"/>
    <n v="102.8"/>
    <n v="105.8"/>
    <n v="109.3"/>
    <x v="178"/>
    <x v="151"/>
    <x v="116"/>
    <x v="169"/>
    <x v="159"/>
    <x v="173"/>
    <n v="104.3"/>
  </r>
  <r>
    <s v="Urban"/>
    <n v="2013"/>
    <x v="7"/>
    <n v="117"/>
    <n v="120.1"/>
    <n v="112.5"/>
    <n v="107.3"/>
    <n v="101.3"/>
    <n v="112.4"/>
    <n v="143.6"/>
    <n v="105.4"/>
    <n v="101.4"/>
    <n v="106.4"/>
    <n v="110"/>
    <n v="112.2"/>
    <n v="115"/>
    <n v="106.6"/>
    <n v="108"/>
    <n v="107.7"/>
    <n v="106.5"/>
    <n v="105.2"/>
    <n v="105.2"/>
    <n v="108.1"/>
    <n v="103.3"/>
    <n v="106.1"/>
    <n v="109.7"/>
    <x v="179"/>
    <x v="152"/>
    <x v="137"/>
    <x v="170"/>
    <x v="160"/>
    <x v="174"/>
    <n v="104.69999999999999"/>
  </r>
  <r>
    <s v="Rural"/>
    <n v="2022"/>
    <x v="6"/>
    <n v="155.19999999999999"/>
    <n v="210.8"/>
    <n v="174.3"/>
    <n v="166.3"/>
    <n v="202.2"/>
    <n v="169.6"/>
    <n v="168.6"/>
    <n v="164.4"/>
    <n v="119.2"/>
    <n v="191.8"/>
    <n v="174.5"/>
    <n v="183.1"/>
    <n v="172.5"/>
    <n v="167.8"/>
    <n v="179.6"/>
    <n v="171.3"/>
    <n v="178.8"/>
    <n v="166.3"/>
    <n v="168.6"/>
    <n v="174.7"/>
    <n v="169.7"/>
    <n v="171.8"/>
    <n v="174.3"/>
    <x v="180"/>
    <x v="153"/>
    <x v="138"/>
    <x v="171"/>
    <x v="161"/>
    <x v="175"/>
    <n v="170.75"/>
  </r>
  <r>
    <s v="Rural+Urban"/>
    <n v="2022"/>
    <x v="6"/>
    <n v="156.5"/>
    <n v="213"/>
    <n v="175.2"/>
    <n v="166.6"/>
    <n v="195.8"/>
    <n v="174.2"/>
    <n v="182.1"/>
    <n v="164.3"/>
    <n v="120"/>
    <n v="190"/>
    <n v="168.4"/>
    <n v="185.2"/>
    <n v="175"/>
    <n v="167.8"/>
    <n v="179.6"/>
    <n v="167.4"/>
    <n v="176.1"/>
    <n v="161.6"/>
    <n v="166.3"/>
    <n v="171.4"/>
    <n v="169.7"/>
    <n v="168.4"/>
    <n v="173.4"/>
    <x v="181"/>
    <x v="153"/>
    <x v="139"/>
    <x v="172"/>
    <x v="162"/>
    <x v="176"/>
    <n v="169.05"/>
  </r>
  <r>
    <s v="Urban"/>
    <n v="2022"/>
    <x v="6"/>
    <n v="159.30000000000001"/>
    <n v="217.1"/>
    <n v="176.6"/>
    <n v="167.1"/>
    <n v="184.8"/>
    <n v="179.5"/>
    <n v="208.5"/>
    <n v="164"/>
    <n v="121.5"/>
    <n v="186.3"/>
    <n v="159.80000000000001"/>
    <n v="187.7"/>
    <n v="179.4"/>
    <n v="167.8"/>
    <n v="179.5"/>
    <n v="163.1"/>
    <n v="171.7"/>
    <n v="157.4"/>
    <n v="164.6"/>
    <n v="169.1"/>
    <n v="169.8"/>
    <n v="164.7"/>
    <n v="172.3"/>
    <x v="182"/>
    <x v="1"/>
    <x v="140"/>
    <x v="173"/>
    <x v="163"/>
    <x v="177"/>
    <n v="167.25"/>
  </r>
  <r>
    <s v="Rural"/>
    <n v="2020"/>
    <x v="10"/>
    <n v="144.4"/>
    <n v="166.8"/>
    <n v="147.6"/>
    <n v="151.69999999999999"/>
    <n v="133.30000000000001"/>
    <n v="141.80000000000001"/>
    <n v="152.30000000000001"/>
    <n v="141.80000000000001"/>
    <n v="112.6"/>
    <n v="154"/>
    <n v="140.1"/>
    <n v="160"/>
    <n v="148.19999999999999"/>
    <n v="154.5"/>
    <n v="153.4"/>
    <n v="151.5"/>
    <n v="156.69999999999999"/>
    <n v="135.80000000000001"/>
    <n v="151.19999999999999"/>
    <n v="161.19999999999999"/>
    <n v="145.1"/>
    <n v="148.6"/>
    <n v="149.80000000000001"/>
    <x v="183"/>
    <x v="154"/>
    <x v="141"/>
    <x v="174"/>
    <x v="164"/>
    <x v="178"/>
    <n v="146.85"/>
  </r>
  <r>
    <s v="Rural+Urban"/>
    <n v="2020"/>
    <x v="10"/>
    <n v="145.1"/>
    <n v="167"/>
    <n v="148.1"/>
    <n v="151.5"/>
    <n v="131.19999999999999"/>
    <n v="142.5"/>
    <n v="157.30000000000001"/>
    <n v="141.1"/>
    <n v="113.2"/>
    <n v="153.19999999999999"/>
    <n v="136.69999999999999"/>
    <n v="159.6"/>
    <n v="148.9"/>
    <n v="154.5"/>
    <n v="148.9"/>
    <n v="146.4"/>
    <n v="152.30000000000001"/>
    <n v="129.9"/>
    <n v="143.69999999999999"/>
    <n v="156.1"/>
    <n v="145.19999999999999"/>
    <n v="143.80000000000001"/>
    <n v="148.6"/>
    <x v="184"/>
    <x v="155"/>
    <x v="14"/>
    <x v="175"/>
    <x v="165"/>
    <x v="179"/>
    <n v="144.5"/>
  </r>
  <r>
    <s v="Urban"/>
    <n v="2020"/>
    <x v="10"/>
    <n v="146.5"/>
    <n v="167.5"/>
    <n v="148.9"/>
    <n v="151.1"/>
    <n v="127.5"/>
    <n v="143.30000000000001"/>
    <n v="167"/>
    <n v="139.69999999999999"/>
    <n v="114.4"/>
    <n v="151.5"/>
    <n v="131.9"/>
    <n v="159.1"/>
    <n v="150.1"/>
    <n v="154.5"/>
    <n v="141.4"/>
    <n v="140.80000000000001"/>
    <n v="145"/>
    <n v="124.6"/>
    <n v="137.9"/>
    <n v="152.5"/>
    <n v="145.30000000000001"/>
    <n v="138.69999999999999"/>
    <n v="147.30000000000001"/>
    <x v="185"/>
    <x v="156"/>
    <x v="40"/>
    <x v="176"/>
    <x v="166"/>
    <x v="180"/>
    <n v="142"/>
  </r>
  <r>
    <s v="Rural"/>
    <n v="2020"/>
    <x v="11"/>
    <n v="139.35"/>
    <n v="157.6"/>
    <n v="137.15"/>
    <n v="142.5"/>
    <n v="120.3"/>
    <n v="148.1"/>
    <n v="152.30000000000001"/>
    <n v="124.7"/>
    <n v="110.6"/>
    <n v="140.44999999999999"/>
    <n v="131.5"/>
    <n v="155"/>
    <n v="142.4"/>
    <n v="150.1"/>
    <n v="145.35000000000002"/>
    <n v="147.63333333333335"/>
    <n v="153.93333333333331"/>
    <n v="135.33333333333334"/>
    <n v="146.53333333333333"/>
    <n v="157.73333333333332"/>
    <n v="151.1"/>
    <n v="147.15"/>
    <n v="153.43333333333331"/>
    <x v="186"/>
    <x v="157"/>
    <x v="142"/>
    <x v="177"/>
    <x v="167"/>
    <x v="181"/>
    <n v="149.125"/>
  </r>
  <r>
    <s v="Urban"/>
    <n v="2020"/>
    <x v="11"/>
    <n v="139.875"/>
    <n v="157.19999999999999"/>
    <n v="137.72499999999999"/>
    <n v="142.4"/>
    <n v="119.5"/>
    <n v="148.9"/>
    <n v="156.94999999999999"/>
    <n v="124.5"/>
    <n v="110.9"/>
    <n v="140.72499999999999"/>
    <n v="130.19999999999999"/>
    <n v="154.80000000000001"/>
    <n v="143.1"/>
    <n v="150.1"/>
    <n v="140.77500000000001"/>
    <n v="143.78888888888889"/>
    <n v="149.00555555555556"/>
    <n v="130.92222222222225"/>
    <n v="141.65555555555554"/>
    <n v="154.22222222222223"/>
    <n v="147.43333333333331"/>
    <n v="142.85833333333332"/>
    <n v="150.32222222222219"/>
    <x v="187"/>
    <x v="158"/>
    <x v="143"/>
    <x v="178"/>
    <x v="168"/>
    <x v="182"/>
    <n v="145.14583333333331"/>
  </r>
  <r>
    <s v="Rural+Urban"/>
    <n v="2020"/>
    <x v="11"/>
    <n v="139.61250000000001"/>
    <n v="157.4"/>
    <n v="137.4375"/>
    <n v="142.4"/>
    <n v="119.9"/>
    <n v="148.5"/>
    <n v="154.625"/>
    <n v="124.6"/>
    <n v="110.7"/>
    <n v="140.58750000000001"/>
    <n v="130.80000000000001"/>
    <n v="154.9"/>
    <n v="142.69999999999999"/>
    <n v="150.1"/>
    <n v="138.77083333333334"/>
    <n v="141.58703703703705"/>
    <n v="145.08981481481482"/>
    <n v="128.29259259259263"/>
    <n v="138.7648148148148"/>
    <n v="151.59259259259261"/>
    <n v="143.33888888888887"/>
    <n v="139.78472222222226"/>
    <n v="147.50925925925924"/>
    <x v="188"/>
    <x v="159"/>
    <x v="144"/>
    <x v="179"/>
    <x v="169"/>
    <x v="183"/>
    <n v="141.56180555555557"/>
  </r>
  <r>
    <s v="Rural"/>
    <n v="2020"/>
    <x v="9"/>
    <n v="145.4"/>
    <n v="188.6"/>
    <n v="171.6"/>
    <n v="153.80000000000001"/>
    <n v="145.4"/>
    <n v="146.5"/>
    <n v="222.2"/>
    <n v="155.9"/>
    <n v="114.9"/>
    <n v="162"/>
    <n v="150"/>
    <n v="162.69999999999999"/>
    <n v="163.4"/>
    <n v="153.5"/>
    <n v="147.5"/>
    <n v="152.80000000000001"/>
    <n v="160.4"/>
    <n v="146.1"/>
    <n v="153.6"/>
    <n v="161.6"/>
    <n v="156.19999999999999"/>
    <n v="154.5"/>
    <n v="159.80000000000001"/>
    <x v="189"/>
    <x v="160"/>
    <x v="145"/>
    <x v="180"/>
    <x v="170"/>
    <x v="184"/>
    <n v="155.35"/>
  </r>
  <r>
    <s v="Rural+Urban"/>
    <n v="2020"/>
    <x v="9"/>
    <n v="146.80000000000001"/>
    <n v="191"/>
    <n v="173.6"/>
    <n v="153.80000000000001"/>
    <n v="142.69999999999999"/>
    <n v="148.4"/>
    <n v="230"/>
    <n v="156.80000000000001"/>
    <n v="115.7"/>
    <n v="161.80000000000001"/>
    <n v="146.5"/>
    <n v="163.80000000000001"/>
    <n v="164.7"/>
    <n v="158"/>
    <n v="143.6"/>
    <n v="149.19999999999999"/>
    <n v="157.19999999999999"/>
    <n v="140.4"/>
    <n v="148.4"/>
    <n v="158.6"/>
    <n v="156.9"/>
    <n v="150.69999999999999"/>
    <n v="158.4"/>
    <x v="190"/>
    <x v="161"/>
    <x v="146"/>
    <x v="181"/>
    <x v="171"/>
    <x v="185"/>
    <n v="153.80000000000001"/>
  </r>
  <r>
    <s v="Urban"/>
    <n v="2020"/>
    <x v="9"/>
    <n v="149.69999999999999"/>
    <n v="195.5"/>
    <n v="176.9"/>
    <n v="153.9"/>
    <n v="138"/>
    <n v="150.5"/>
    <n v="245.3"/>
    <n v="158.69999999999999"/>
    <n v="117.2"/>
    <n v="161.4"/>
    <n v="141.5"/>
    <n v="165.1"/>
    <n v="167"/>
    <n v="158"/>
    <n v="137.30000000000001"/>
    <n v="145.1"/>
    <n v="152"/>
    <n v="135.19999999999999"/>
    <n v="144.4"/>
    <n v="156.4"/>
    <n v="157.9"/>
    <n v="146.6"/>
    <n v="156.69999999999999"/>
    <x v="191"/>
    <x v="162"/>
    <x v="147"/>
    <x v="182"/>
    <x v="172"/>
    <x v="186"/>
    <n v="152.25"/>
  </r>
  <r>
    <s v="Urban"/>
    <n v="2018"/>
    <x v="6"/>
    <n v="135.6"/>
    <n v="148.6"/>
    <n v="139.1"/>
    <n v="141"/>
    <n v="116.7"/>
    <n v="149.69999999999999"/>
    <n v="159.19999999999999"/>
    <n v="112.6"/>
    <n v="111.8"/>
    <n v="140.30000000000001"/>
    <n v="126.8"/>
    <n v="149.4"/>
    <n v="140.30000000000001"/>
    <n v="143.6"/>
    <n v="128.1"/>
    <n v="133.6"/>
    <n v="133.6"/>
    <n v="120.1"/>
    <n v="129"/>
    <n v="144"/>
    <n v="128.19999999999999"/>
    <n v="130.19999999999999"/>
    <n v="137.5"/>
    <x v="192"/>
    <x v="163"/>
    <x v="59"/>
    <x v="183"/>
    <x v="173"/>
    <x v="187"/>
    <n v="129.19999999999999"/>
  </r>
  <r>
    <s v="Rural+Urban"/>
    <n v="2018"/>
    <x v="6"/>
    <n v="137.5"/>
    <n v="149.1"/>
    <n v="139.19999999999999"/>
    <n v="142.5"/>
    <n v="121.4"/>
    <n v="151.6"/>
    <n v="155.9"/>
    <n v="121.7"/>
    <n v="113.5"/>
    <n v="138.9"/>
    <n v="130.30000000000001"/>
    <n v="152.30000000000001"/>
    <n v="141.4"/>
    <n v="143.6"/>
    <n v="139.69999999999999"/>
    <n v="138.6"/>
    <n v="137"/>
    <n v="123.6"/>
    <n v="133.1"/>
    <n v="144.69999999999999"/>
    <n v="130.1"/>
    <n v="133.19999999999999"/>
    <n v="139.80000000000001"/>
    <x v="193"/>
    <x v="63"/>
    <x v="81"/>
    <x v="184"/>
    <x v="174"/>
    <x v="138"/>
    <n v="131.64999999999998"/>
  </r>
  <r>
    <s v="Rural"/>
    <n v="2018"/>
    <x v="6"/>
    <n v="138.4"/>
    <n v="149.30000000000001"/>
    <n v="139.30000000000001"/>
    <n v="143.4"/>
    <n v="124.1"/>
    <n v="153.30000000000001"/>
    <n v="154.19999999999999"/>
    <n v="126.4"/>
    <n v="114.3"/>
    <n v="138.19999999999999"/>
    <n v="132.80000000000001"/>
    <n v="154.80000000000001"/>
    <n v="142"/>
    <n v="143.6"/>
    <n v="146.80000000000001"/>
    <n v="143.1"/>
    <n v="139"/>
    <n v="127.5"/>
    <n v="138.4"/>
    <n v="145.80000000000001"/>
    <n v="131.4"/>
    <n v="136"/>
    <n v="141.80000000000001"/>
    <x v="194"/>
    <x v="36"/>
    <x v="148"/>
    <x v="185"/>
    <x v="175"/>
    <x v="188"/>
    <n v="133.69999999999999"/>
  </r>
  <r>
    <s v="Urban"/>
    <n v="2017"/>
    <x v="6"/>
    <n v="132.80000000000001"/>
    <n v="148.4"/>
    <n v="129.4"/>
    <n v="137.69999999999999"/>
    <n v="113.4"/>
    <n v="139.4"/>
    <n v="175.1"/>
    <n v="124.7"/>
    <n v="121.5"/>
    <n v="137.80000000000001"/>
    <n v="124.4"/>
    <n v="143.69999999999999"/>
    <n v="139.80000000000001"/>
    <n v="132.6"/>
    <n v="119.7"/>
    <n v="127.2"/>
    <n v="125"/>
    <n v="113.2"/>
    <n v="123.5"/>
    <n v="135.5"/>
    <n v="122.4"/>
    <n v="123"/>
    <n v="131.80000000000001"/>
    <x v="195"/>
    <x v="164"/>
    <x v="149"/>
    <x v="186"/>
    <x v="176"/>
    <x v="189"/>
    <n v="122.7"/>
  </r>
  <r>
    <s v="Rural+Urban"/>
    <n v="2017"/>
    <x v="6"/>
    <n v="133.6"/>
    <n v="145.69999999999999"/>
    <n v="129.6"/>
    <n v="138.5"/>
    <n v="118.1"/>
    <n v="141.80000000000001"/>
    <n v="159.5"/>
    <n v="133.6"/>
    <n v="120.5"/>
    <n v="135.19999999999999"/>
    <n v="128.5"/>
    <n v="145.80000000000001"/>
    <n v="139"/>
    <n v="132.6"/>
    <n v="129.4"/>
    <n v="131.9"/>
    <n v="129.4"/>
    <n v="116"/>
    <n v="126.6"/>
    <n v="136.80000000000001"/>
    <n v="123.6"/>
    <n v="125.9"/>
    <n v="134.19999999999999"/>
    <x v="196"/>
    <x v="67"/>
    <x v="150"/>
    <x v="187"/>
    <x v="177"/>
    <x v="190"/>
    <n v="124.75"/>
  </r>
  <r>
    <s v="Rural"/>
    <n v="2017"/>
    <x v="6"/>
    <n v="134"/>
    <n v="144.19999999999999"/>
    <n v="129.80000000000001"/>
    <n v="139"/>
    <n v="120.9"/>
    <n v="143.9"/>
    <n v="151.5"/>
    <n v="138.1"/>
    <n v="120"/>
    <n v="133.9"/>
    <n v="131.4"/>
    <n v="147.69999999999999"/>
    <n v="138.5"/>
    <n v="132.6"/>
    <n v="135.30000000000001"/>
    <n v="136.1"/>
    <n v="132.1"/>
    <n v="119.1"/>
    <n v="130.6"/>
    <n v="138.6"/>
    <n v="124.4"/>
    <n v="128.6"/>
    <n v="136.19999999999999"/>
    <x v="197"/>
    <x v="73"/>
    <x v="151"/>
    <x v="188"/>
    <x v="178"/>
    <x v="191"/>
    <n v="126.5"/>
  </r>
  <r>
    <s v="Urban"/>
    <n v="2016"/>
    <x v="6"/>
    <n v="126.8"/>
    <n v="144.19999999999999"/>
    <n v="136.6"/>
    <n v="131.80000000000001"/>
    <n v="111"/>
    <n v="137"/>
    <n v="179.5"/>
    <n v="188.4"/>
    <n v="113.3"/>
    <n v="143.9"/>
    <n v="121.7"/>
    <n v="137.5"/>
    <n v="139.80000000000001"/>
    <n v="126.4"/>
    <n v="115.5"/>
    <n v="123.5"/>
    <n v="120.9"/>
    <n v="111.7"/>
    <n v="120.3"/>
    <n v="130.80000000000001"/>
    <n v="120"/>
    <n v="119.9"/>
    <n v="129"/>
    <x v="68"/>
    <x v="81"/>
    <x v="133"/>
    <x v="189"/>
    <x v="78"/>
    <x v="192"/>
    <n v="119.95"/>
  </r>
  <r>
    <s v="Rural+Urban"/>
    <n v="2016"/>
    <x v="6"/>
    <n v="128.5"/>
    <n v="141.19999999999999"/>
    <n v="132.30000000000001"/>
    <n v="133.5"/>
    <n v="116.4"/>
    <n v="137.80000000000001"/>
    <n v="165.4"/>
    <n v="177.4"/>
    <n v="111.3"/>
    <n v="137.5"/>
    <n v="125"/>
    <n v="138.80000000000001"/>
    <n v="138.4"/>
    <n v="126.4"/>
    <n v="123.4"/>
    <n v="126.9"/>
    <n v="124.5"/>
    <n v="113.9"/>
    <n v="122.4"/>
    <n v="130.80000000000001"/>
    <n v="120.5"/>
    <n v="121.9"/>
    <n v="131.1"/>
    <x v="198"/>
    <x v="165"/>
    <x v="128"/>
    <x v="190"/>
    <x v="179"/>
    <x v="193"/>
    <n v="121.2"/>
  </r>
  <r>
    <s v="Rural"/>
    <n v="2016"/>
    <x v="6"/>
    <n v="129.30000000000001"/>
    <n v="139.5"/>
    <n v="129.6"/>
    <n v="134.5"/>
    <n v="119.5"/>
    <n v="138.5"/>
    <n v="158.19999999999999"/>
    <n v="171.8"/>
    <n v="110.3"/>
    <n v="134.30000000000001"/>
    <n v="127.3"/>
    <n v="139.9"/>
    <n v="137.6"/>
    <n v="126.4"/>
    <n v="128.19999999999999"/>
    <n v="130"/>
    <n v="126.7"/>
    <n v="116.4"/>
    <n v="125.2"/>
    <n v="130.80000000000001"/>
    <n v="120.9"/>
    <n v="123.8"/>
    <n v="133"/>
    <x v="199"/>
    <x v="166"/>
    <x v="152"/>
    <x v="191"/>
    <x v="180"/>
    <x v="194"/>
    <n v="122.35"/>
  </r>
  <r>
    <s v="Urban"/>
    <n v="2015"/>
    <x v="6"/>
    <n v="123.2"/>
    <n v="134.30000000000001"/>
    <n v="119.5"/>
    <n v="127.7"/>
    <n v="106.3"/>
    <n v="132.80000000000001"/>
    <n v="153.5"/>
    <n v="149.5"/>
    <n v="85.7"/>
    <n v="131.5"/>
    <n v="118.3"/>
    <n v="131.1"/>
    <n v="129.5"/>
    <n v="119.9"/>
    <n v="115.3"/>
    <n v="119.5"/>
    <n v="116"/>
    <n v="111.5"/>
    <n v="116.6"/>
    <n v="125.4"/>
    <n v="111.7"/>
    <n v="116.3"/>
    <n v="122.4"/>
    <x v="200"/>
    <x v="167"/>
    <x v="68"/>
    <x v="192"/>
    <x v="181"/>
    <x v="195"/>
    <n v="114"/>
  </r>
  <r>
    <s v="Rural+Urban"/>
    <n v="2015"/>
    <x v="6"/>
    <n v="123.7"/>
    <n v="132.5"/>
    <n v="121"/>
    <n v="128.30000000000001"/>
    <n v="110.9"/>
    <n v="133.1"/>
    <n v="145.1"/>
    <n v="139.1"/>
    <n v="91.3"/>
    <n v="126.1"/>
    <n v="119.9"/>
    <n v="131.4"/>
    <n v="128.19999999999999"/>
    <n v="119.9"/>
    <n v="120.1"/>
    <n v="121.3"/>
    <n v="119"/>
    <n v="112.7"/>
    <n v="117.2"/>
    <n v="124.4"/>
    <n v="112.3"/>
    <n v="117.2"/>
    <n v="123.6"/>
    <x v="201"/>
    <x v="99"/>
    <x v="153"/>
    <x v="193"/>
    <x v="182"/>
    <x v="196"/>
    <n v="114.75"/>
  </r>
  <r>
    <s v="Rural"/>
    <n v="2015"/>
    <x v="6"/>
    <n v="124"/>
    <n v="131.5"/>
    <n v="122"/>
    <n v="128.69999999999999"/>
    <n v="113.5"/>
    <n v="133.30000000000001"/>
    <n v="140.80000000000001"/>
    <n v="133.80000000000001"/>
    <n v="94.1"/>
    <n v="123.4"/>
    <n v="121"/>
    <n v="131.69999999999999"/>
    <n v="127.5"/>
    <n v="119.9"/>
    <n v="123"/>
    <n v="123"/>
    <n v="120.8"/>
    <n v="114.1"/>
    <n v="118"/>
    <n v="122.9"/>
    <n v="112.7"/>
    <n v="118.1"/>
    <n v="124.7"/>
    <x v="202"/>
    <x v="168"/>
    <x v="154"/>
    <x v="194"/>
    <x v="183"/>
    <x v="197"/>
    <n v="115.4"/>
  </r>
  <r>
    <s v="Rural"/>
    <n v="2014"/>
    <x v="6"/>
    <n v="121.7"/>
    <n v="122.5"/>
    <n v="117.7"/>
    <n v="120.6"/>
    <n v="110.4"/>
    <n v="129.1"/>
    <n v="150.1"/>
    <n v="113.2"/>
    <n v="104.8"/>
    <n v="113.3"/>
    <n v="115.6"/>
    <n v="120.9"/>
    <n v="123.3"/>
    <n v="114.8"/>
    <n v="115.3"/>
    <n v="115.4"/>
    <n v="113.4"/>
    <n v="113.2"/>
    <n v="111.8"/>
    <n v="115.5"/>
    <n v="108.8"/>
    <n v="113.1"/>
    <n v="119.5"/>
    <x v="203"/>
    <x v="167"/>
    <x v="149"/>
    <x v="195"/>
    <x v="184"/>
    <x v="198"/>
    <n v="110.94999999999999"/>
  </r>
  <r>
    <s v="Rural+Urban"/>
    <n v="2014"/>
    <x v="6"/>
    <n v="122.4"/>
    <n v="123.9"/>
    <n v="117.8"/>
    <n v="121"/>
    <n v="107.9"/>
    <n v="131.19999999999999"/>
    <n v="157.69999999999999"/>
    <n v="113.2"/>
    <n v="104.1"/>
    <n v="115.5"/>
    <n v="114.8"/>
    <n v="122.1"/>
    <n v="124.7"/>
    <n v="114.8"/>
    <n v="113.9"/>
    <n v="115.2"/>
    <n v="112.7"/>
    <n v="113.1"/>
    <n v="112.1"/>
    <n v="116.8"/>
    <n v="109.2"/>
    <n v="113.3"/>
    <n v="119.2"/>
    <x v="204"/>
    <x v="169"/>
    <x v="155"/>
    <x v="196"/>
    <x v="185"/>
    <x v="199"/>
    <n v="111.25"/>
  </r>
  <r>
    <s v="Urban"/>
    <n v="2014"/>
    <x v="6"/>
    <n v="123.8"/>
    <n v="126.4"/>
    <n v="118"/>
    <n v="121.6"/>
    <n v="103.5"/>
    <n v="133.69999999999999"/>
    <n v="172.4"/>
    <n v="113.1"/>
    <n v="102.7"/>
    <n v="120"/>
    <n v="113.8"/>
    <n v="123.4"/>
    <n v="127.1"/>
    <n v="114.8"/>
    <n v="111.6"/>
    <n v="114.9"/>
    <n v="111.5"/>
    <n v="113"/>
    <n v="112.4"/>
    <n v="117.8"/>
    <n v="109.7"/>
    <n v="113.5"/>
    <n v="118.9"/>
    <x v="205"/>
    <x v="56"/>
    <x v="156"/>
    <x v="197"/>
    <x v="186"/>
    <x v="200"/>
    <n v="111.6"/>
  </r>
  <r>
    <s v="Rural"/>
    <n v="2013"/>
    <x v="6"/>
    <n v="113.4"/>
    <n v="114.9"/>
    <n v="110.5"/>
    <n v="109.3"/>
    <n v="106.2"/>
    <n v="110.3"/>
    <n v="129.19999999999999"/>
    <n v="107.1"/>
    <n v="104.3"/>
    <n v="106.4"/>
    <n v="109.1"/>
    <n v="112.1"/>
    <n v="113.1"/>
    <n v="107.7"/>
    <n v="109.5"/>
    <n v="108.3"/>
    <n v="106.9"/>
    <n v="106.8"/>
    <n v="106.4"/>
    <n v="107.8"/>
    <n v="102.5"/>
    <n v="106.5"/>
    <n v="110.7"/>
    <x v="206"/>
    <x v="29"/>
    <x v="157"/>
    <x v="198"/>
    <x v="187"/>
    <x v="201"/>
    <n v="104.5"/>
  </r>
  <r>
    <s v="Rural+Urban"/>
    <n v="2013"/>
    <x v="6"/>
    <n v="114.8"/>
    <n v="116.4"/>
    <n v="111.9"/>
    <n v="108.9"/>
    <n v="104.3"/>
    <n v="111.7"/>
    <n v="140"/>
    <n v="106.4"/>
    <n v="103.3"/>
    <n v="106.8"/>
    <n v="109.6"/>
    <n v="112.6"/>
    <n v="114.7"/>
    <n v="107.7"/>
    <n v="109.2"/>
    <n v="108.2"/>
    <n v="107"/>
    <n v="107.1"/>
    <n v="106.1"/>
    <n v="109.1"/>
    <n v="102.8"/>
    <n v="106.9"/>
    <n v="111"/>
    <x v="207"/>
    <x v="170"/>
    <x v="158"/>
    <x v="199"/>
    <x v="188"/>
    <x v="202"/>
    <n v="104.85"/>
  </r>
  <r>
    <s v="Urban"/>
    <n v="2013"/>
    <x v="6"/>
    <n v="117.8"/>
    <n v="119.2"/>
    <n v="114"/>
    <n v="108.3"/>
    <n v="101.1"/>
    <n v="113.2"/>
    <n v="160.9"/>
    <n v="105.1"/>
    <n v="101.3"/>
    <n v="107.5"/>
    <n v="110.4"/>
    <n v="113.1"/>
    <n v="117.5"/>
    <n v="107.7"/>
    <n v="108.6"/>
    <n v="108.1"/>
    <n v="107.1"/>
    <n v="107.3"/>
    <n v="105.9"/>
    <n v="110.1"/>
    <n v="103.2"/>
    <n v="107.3"/>
    <n v="111.4"/>
    <x v="208"/>
    <x v="171"/>
    <x v="159"/>
    <x v="200"/>
    <x v="189"/>
    <x v="203"/>
    <n v="105.25"/>
  </r>
  <r>
    <s v="Urban"/>
    <n v="2023"/>
    <x v="5"/>
    <n v="173.3"/>
    <n v="215.2"/>
    <n v="197"/>
    <n v="175.2"/>
    <n v="178"/>
    <n v="160.5"/>
    <n v="175.3"/>
    <n v="171.2"/>
    <n v="122.7"/>
    <n v="204.3"/>
    <n v="163.69999999999999"/>
    <n v="194.3"/>
    <n v="179.5"/>
    <n v="172.1"/>
    <n v="180.1"/>
    <n v="168"/>
    <n v="178.5"/>
    <n v="159.5"/>
    <n v="167.8"/>
    <n v="171.8"/>
    <n v="178.8"/>
    <n v="168.9"/>
    <n v="174.9"/>
    <x v="209"/>
    <x v="172"/>
    <x v="160"/>
    <x v="201"/>
    <x v="190"/>
    <x v="204"/>
    <n v="173.85000000000002"/>
  </r>
  <r>
    <s v="Rural+Urban"/>
    <n v="2023"/>
    <x v="5"/>
    <n v="173.8"/>
    <n v="210.7"/>
    <n v="194.5"/>
    <n v="174.6"/>
    <n v="187.2"/>
    <n v="158.30000000000001"/>
    <n v="153.9"/>
    <n v="170.9"/>
    <n v="121.1"/>
    <n v="208.4"/>
    <n v="171.4"/>
    <n v="191.2"/>
    <n v="176.7"/>
    <n v="172.1"/>
    <n v="182"/>
    <n v="172.9"/>
    <n v="182.3"/>
    <n v="163.6"/>
    <n v="169.5"/>
    <n v="174.3"/>
    <n v="178.6"/>
    <n v="172.8"/>
    <n v="176.5"/>
    <x v="210"/>
    <x v="173"/>
    <x v="161"/>
    <x v="202"/>
    <x v="59"/>
    <x v="205"/>
    <n v="175.7"/>
  </r>
  <r>
    <s v="Rural"/>
    <n v="2023"/>
    <x v="5"/>
    <n v="174"/>
    <n v="208.3"/>
    <n v="192.9"/>
    <n v="174.3"/>
    <n v="192.6"/>
    <n v="156.30000000000001"/>
    <n v="142.9"/>
    <n v="170.7"/>
    <n v="120.3"/>
    <n v="210.5"/>
    <n v="176.9"/>
    <n v="188.5"/>
    <n v="175"/>
    <n v="172.1"/>
    <n v="183.2"/>
    <n v="177.2"/>
    <n v="184.7"/>
    <n v="168.2"/>
    <n v="171.8"/>
    <n v="177.8"/>
    <n v="178.4"/>
    <n v="176.5"/>
    <n v="177.8"/>
    <x v="211"/>
    <x v="174"/>
    <x v="162"/>
    <x v="203"/>
    <x v="191"/>
    <x v="206"/>
    <n v="177.45"/>
  </r>
  <r>
    <s v="Rural"/>
    <n v="2022"/>
    <x v="5"/>
    <n v="148.30000000000001"/>
    <n v="196.9"/>
    <n v="178"/>
    <n v="160.5"/>
    <n v="192.6"/>
    <n v="151.19999999999999"/>
    <n v="159.19999999999999"/>
    <n v="164"/>
    <n v="119.3"/>
    <n v="173.3"/>
    <n v="169.8"/>
    <n v="175.8"/>
    <n v="164.1"/>
    <n v="164.5"/>
    <n v="165.8"/>
    <n v="164.9"/>
    <n v="174.7"/>
    <n v="160.80000000000001"/>
    <n v="164.9"/>
    <n v="169.9"/>
    <n v="163.19999999999999"/>
    <n v="166.6"/>
    <n v="166.4"/>
    <x v="212"/>
    <x v="175"/>
    <x v="163"/>
    <x v="204"/>
    <x v="31"/>
    <x v="152"/>
    <n v="164.89999999999998"/>
  </r>
  <r>
    <s v="Rural+Urban"/>
    <n v="2022"/>
    <x v="5"/>
    <n v="149.5"/>
    <n v="198.7"/>
    <n v="178.8"/>
    <n v="160.5"/>
    <n v="184.7"/>
    <n v="153.69999999999999"/>
    <n v="174.3"/>
    <n v="163.9"/>
    <n v="120"/>
    <n v="172.1"/>
    <n v="164.3"/>
    <n v="177.3"/>
    <n v="166.4"/>
    <n v="164.5"/>
    <n v="164.2"/>
    <n v="161.1"/>
    <n v="171.4"/>
    <n v="156.5"/>
    <n v="161.19999999999999"/>
    <n v="164.7"/>
    <n v="163"/>
    <n v="162.69999999999999"/>
    <n v="165.7"/>
    <x v="213"/>
    <x v="176"/>
    <x v="164"/>
    <x v="205"/>
    <x v="192"/>
    <x v="207"/>
    <n v="162.85"/>
  </r>
  <r>
    <s v="Urban"/>
    <n v="2022"/>
    <x v="5"/>
    <n v="152.19999999999999"/>
    <n v="202.1"/>
    <n v="180.1"/>
    <n v="160.4"/>
    <n v="171"/>
    <n v="156.5"/>
    <n v="203.6"/>
    <n v="163.80000000000001"/>
    <n v="121.3"/>
    <n v="169.8"/>
    <n v="156.6"/>
    <n v="179"/>
    <n v="170.3"/>
    <n v="164.5"/>
    <n v="161.6"/>
    <n v="156.80000000000001"/>
    <n v="166.1"/>
    <n v="152.69999999999999"/>
    <n v="158.4"/>
    <n v="161"/>
    <n v="162.80000000000001"/>
    <n v="158.6"/>
    <n v="165"/>
    <x v="214"/>
    <x v="177"/>
    <x v="165"/>
    <x v="206"/>
    <x v="193"/>
    <x v="208"/>
    <n v="160.69999999999999"/>
  </r>
  <r>
    <s v="Rural"/>
    <n v="2020"/>
    <x v="4"/>
    <n v="146"/>
    <n v="186.3"/>
    <n v="159.19999999999999"/>
    <n v="153.6"/>
    <n v="142.6"/>
    <n v="147.19999999999999"/>
    <n v="200.6"/>
    <n v="150.30000000000001"/>
    <n v="115.3"/>
    <n v="160.9"/>
    <n v="147.4"/>
    <n v="161.9"/>
    <n v="159.6"/>
    <n v="153"/>
    <n v="146.80000000000001"/>
    <n v="152"/>
    <n v="159.5"/>
    <n v="146.4"/>
    <n v="152.4"/>
    <n v="162.5"/>
    <n v="156.19999999999999"/>
    <n v="154.30000000000001"/>
    <n v="157.5"/>
    <x v="215"/>
    <x v="36"/>
    <x v="104"/>
    <x v="207"/>
    <x v="194"/>
    <x v="127"/>
    <n v="155.25"/>
  </r>
  <r>
    <s v="Rural+Urban"/>
    <n v="2020"/>
    <x v="4"/>
    <n v="147.5"/>
    <n v="188.9"/>
    <n v="161.4"/>
    <n v="153.6"/>
    <n v="140.1"/>
    <n v="151.19999999999999"/>
    <n v="209.2"/>
    <n v="150.9"/>
    <n v="116.2"/>
    <n v="161"/>
    <n v="144"/>
    <n v="163.19999999999999"/>
    <n v="161.4"/>
    <n v="156.5"/>
    <n v="143.1"/>
    <n v="148.69999999999999"/>
    <n v="156.30000000000001"/>
    <n v="140.6"/>
    <n v="146.5"/>
    <n v="158.5"/>
    <n v="157"/>
    <n v="150.4"/>
    <n v="156.4"/>
    <x v="216"/>
    <x v="178"/>
    <x v="166"/>
    <x v="208"/>
    <x v="195"/>
    <x v="209"/>
    <n v="153.69999999999999"/>
  </r>
  <r>
    <s v="Urban"/>
    <n v="2020"/>
    <x v="4"/>
    <n v="150.6"/>
    <n v="193.7"/>
    <n v="164.8"/>
    <n v="153.69999999999999"/>
    <n v="135.69999999999999"/>
    <n v="155.69999999999999"/>
    <n v="226"/>
    <n v="152.19999999999999"/>
    <n v="118.1"/>
    <n v="161.30000000000001"/>
    <n v="139.19999999999999"/>
    <n v="164.8"/>
    <n v="164.4"/>
    <n v="156.5"/>
    <n v="137.1"/>
    <n v="145.1"/>
    <n v="151"/>
    <n v="135.4"/>
    <n v="142"/>
    <n v="155.69999999999999"/>
    <n v="158.1"/>
    <n v="146.19999999999999"/>
    <n v="155.19999999999999"/>
    <x v="217"/>
    <x v="95"/>
    <x v="167"/>
    <x v="209"/>
    <x v="196"/>
    <x v="210"/>
    <n v="152.14999999999998"/>
  </r>
  <r>
    <s v="Rural"/>
    <n v="2020"/>
    <x v="0"/>
    <n v="146.9"/>
    <n v="183.9"/>
    <n v="149.5"/>
    <n v="153.4"/>
    <n v="140.4"/>
    <n v="147"/>
    <n v="178.8"/>
    <n v="149.30000000000001"/>
    <n v="115.1"/>
    <n v="160"/>
    <n v="145.4"/>
    <n v="161.6"/>
    <n v="156.1"/>
    <n v="152.19999999999999"/>
    <n v="146.4"/>
    <n v="151.6"/>
    <n v="159.1"/>
    <n v="144.6"/>
    <n v="152.80000000000001"/>
    <n v="161.1"/>
    <n v="157.4"/>
    <n v="153.69999999999999"/>
    <n v="155.4"/>
    <x v="218"/>
    <x v="3"/>
    <x v="168"/>
    <x v="210"/>
    <x v="197"/>
    <x v="211"/>
    <n v="155.55000000000001"/>
  </r>
  <r>
    <s v="Rural+Urban"/>
    <n v="2020"/>
    <x v="0"/>
    <n v="148.4"/>
    <n v="187.1"/>
    <n v="152.5"/>
    <n v="153.6"/>
    <n v="138.19999999999999"/>
    <n v="150.9"/>
    <n v="186.7"/>
    <n v="149.80000000000001"/>
    <n v="116.4"/>
    <n v="160.30000000000001"/>
    <n v="142.19999999999999"/>
    <n v="162.9"/>
    <n v="158"/>
    <n v="156.30000000000001"/>
    <n v="142.9"/>
    <n v="148.69999999999999"/>
    <n v="155.6"/>
    <n v="139.6"/>
    <n v="146.6"/>
    <n v="157.5"/>
    <n v="158.4"/>
    <n v="150"/>
    <n v="154.69999999999999"/>
    <x v="219"/>
    <x v="179"/>
    <x v="169"/>
    <x v="207"/>
    <x v="198"/>
    <x v="38"/>
    <n v="154.19999999999999"/>
  </r>
  <r>
    <s v="Urban"/>
    <n v="2020"/>
    <x v="0"/>
    <n v="151.5"/>
    <n v="193.1"/>
    <n v="157.30000000000001"/>
    <n v="153.9"/>
    <n v="134.4"/>
    <n v="155.4"/>
    <n v="202"/>
    <n v="150.80000000000001"/>
    <n v="118.9"/>
    <n v="160.9"/>
    <n v="137.69999999999999"/>
    <n v="164.4"/>
    <n v="161.30000000000001"/>
    <n v="156.30000000000001"/>
    <n v="137.19999999999999"/>
    <n v="145.4"/>
    <n v="150"/>
    <n v="135.1"/>
    <n v="141.80000000000001"/>
    <n v="154.9"/>
    <n v="159.80000000000001"/>
    <n v="146"/>
    <n v="154"/>
    <x v="220"/>
    <x v="180"/>
    <x v="170"/>
    <x v="211"/>
    <x v="199"/>
    <x v="212"/>
    <n v="152.9"/>
  </r>
  <r>
    <s v="Rural"/>
    <n v="2021"/>
    <x v="12"/>
    <n v="142.69999999999999"/>
    <n v="195.5"/>
    <n v="163.4"/>
    <n v="155"/>
    <n v="175.2"/>
    <n v="160.6"/>
    <n v="135.1"/>
    <n v="161.1"/>
    <n v="112.2"/>
    <n v="164.4"/>
    <n v="161.9"/>
    <n v="166.8"/>
    <n v="155.6"/>
    <n v="161.4"/>
    <n v="156"/>
    <n v="155.5"/>
    <n v="165.3"/>
    <n v="151.69999999999999"/>
    <n v="158.6"/>
    <n v="164.1"/>
    <n v="154.6"/>
    <n v="158"/>
    <n v="157.6"/>
    <x v="221"/>
    <x v="181"/>
    <x v="171"/>
    <x v="212"/>
    <x v="200"/>
    <x v="213"/>
    <n v="156.30000000000001"/>
  </r>
  <r>
    <s v="Rural+Urban"/>
    <n v="2021"/>
    <x v="12"/>
    <n v="144.30000000000001"/>
    <n v="198"/>
    <n v="164.6"/>
    <n v="155.4"/>
    <n v="170.1"/>
    <n v="164.4"/>
    <n v="144.1"/>
    <n v="161.69999999999999"/>
    <n v="113.1"/>
    <n v="163.9"/>
    <n v="157.6"/>
    <n v="168.9"/>
    <n v="158"/>
    <n v="161.4"/>
    <n v="155.6"/>
    <n v="151.80000000000001"/>
    <n v="162.30000000000001"/>
    <n v="146.6"/>
    <n v="153.19999999999999"/>
    <n v="160.30000000000001"/>
    <n v="155.4"/>
    <n v="154.4"/>
    <n v="157.80000000000001"/>
    <x v="222"/>
    <x v="182"/>
    <x v="172"/>
    <x v="213"/>
    <x v="201"/>
    <x v="214"/>
    <n v="154.9"/>
  </r>
  <r>
    <s v="Urban"/>
    <n v="2021"/>
    <x v="12"/>
    <n v="147.6"/>
    <n v="202.5"/>
    <n v="166.4"/>
    <n v="156"/>
    <n v="161.4"/>
    <n v="168.8"/>
    <n v="161.6"/>
    <n v="162.80000000000001"/>
    <n v="114.8"/>
    <n v="162.80000000000001"/>
    <n v="151.5"/>
    <n v="171.4"/>
    <n v="162"/>
    <n v="161.4"/>
    <n v="154.9"/>
    <n v="147.6"/>
    <n v="157.5"/>
    <n v="142.1"/>
    <n v="149.1"/>
    <n v="157.6"/>
    <n v="156.6"/>
    <n v="150.5"/>
    <n v="158"/>
    <x v="223"/>
    <x v="183"/>
    <x v="173"/>
    <x v="214"/>
    <x v="202"/>
    <x v="215"/>
    <n v="153.55000000000001"/>
  </r>
  <r>
    <s v="Urban"/>
    <n v="2018"/>
    <x v="5"/>
    <n v="134.6"/>
    <n v="143.69999999999999"/>
    <n v="143.6"/>
    <n v="139.6"/>
    <n v="116.4"/>
    <n v="133.80000000000001"/>
    <n v="150.5"/>
    <n v="118.4"/>
    <n v="117.3"/>
    <n v="140.5"/>
    <n v="125.9"/>
    <n v="146.80000000000001"/>
    <n v="137.19999999999999"/>
    <n v="140.4"/>
    <n v="127.3"/>
    <n v="129.5"/>
    <n v="129"/>
    <n v="116.3"/>
    <n v="126.2"/>
    <n v="137.1"/>
    <n v="125.5"/>
    <n v="125.8"/>
    <n v="134.1"/>
    <x v="224"/>
    <x v="184"/>
    <x v="132"/>
    <x v="215"/>
    <x v="203"/>
    <x v="216"/>
    <n v="125.65"/>
  </r>
  <r>
    <s v="Rural+Urban"/>
    <n v="2018"/>
    <x v="5"/>
    <n v="136"/>
    <n v="144.19999999999999"/>
    <n v="143.69999999999999"/>
    <n v="141.1"/>
    <n v="120.7"/>
    <n v="141.30000000000001"/>
    <n v="151.6"/>
    <n v="127.3"/>
    <n v="118.8"/>
    <n v="137.5"/>
    <n v="129"/>
    <n v="149.5"/>
    <n v="139.19999999999999"/>
    <n v="140.4"/>
    <n v="136.6"/>
    <n v="134.9"/>
    <n v="133.30000000000001"/>
    <n v="119.3"/>
    <n v="129.69999999999999"/>
    <n v="139"/>
    <n v="127.3"/>
    <n v="129.1"/>
    <n v="136.9"/>
    <x v="225"/>
    <x v="185"/>
    <x v="174"/>
    <x v="216"/>
    <x v="204"/>
    <x v="217"/>
    <n v="128.19999999999999"/>
  </r>
  <r>
    <s v="Rural"/>
    <n v="2018"/>
    <x v="5"/>
    <n v="136.6"/>
    <n v="144.4"/>
    <n v="143.80000000000001"/>
    <n v="142"/>
    <n v="123.2"/>
    <n v="147.9"/>
    <n v="152.1"/>
    <n v="131.80000000000001"/>
    <n v="119.5"/>
    <n v="136"/>
    <n v="131.19999999999999"/>
    <n v="151.80000000000001"/>
    <n v="140.4"/>
    <n v="140.4"/>
    <n v="142.30000000000001"/>
    <n v="139.80000000000001"/>
    <n v="136"/>
    <n v="122.7"/>
    <n v="134.30000000000001"/>
    <n v="141.6"/>
    <n v="128.6"/>
    <n v="132.30000000000001"/>
    <n v="139.30000000000001"/>
    <x v="226"/>
    <x v="13"/>
    <x v="175"/>
    <x v="11"/>
    <x v="98"/>
    <x v="218"/>
    <n v="130.44999999999999"/>
  </r>
  <r>
    <s v="Urban"/>
    <n v="2017"/>
    <x v="5"/>
    <n v="132.19999999999999"/>
    <n v="138.9"/>
    <n v="132.6"/>
    <n v="133.1"/>
    <n v="114"/>
    <n v="129.6"/>
    <n v="118.7"/>
    <n v="155.1"/>
    <n v="117.3"/>
    <n v="144.9"/>
    <n v="123.2"/>
    <n v="141.6"/>
    <n v="132"/>
    <n v="129.6"/>
    <n v="118"/>
    <n v="125.1"/>
    <n v="122.6"/>
    <n v="115.2"/>
    <n v="122"/>
    <n v="132.4"/>
    <n v="120.9"/>
    <n v="122.1"/>
    <n v="127.8"/>
    <x v="227"/>
    <x v="186"/>
    <x v="47"/>
    <x v="217"/>
    <x v="79"/>
    <x v="219"/>
    <n v="121.5"/>
  </r>
  <r>
    <s v="Rural+Urban"/>
    <n v="2017"/>
    <x v="5"/>
    <n v="132.80000000000001"/>
    <n v="138.19999999999999"/>
    <n v="132.19999999999999"/>
    <n v="135.4"/>
    <n v="119.1"/>
    <n v="133"/>
    <n v="119.4"/>
    <n v="159.5"/>
    <n v="115.6"/>
    <n v="139.6"/>
    <n v="126.6"/>
    <n v="142.80000000000001"/>
    <n v="133.1"/>
    <n v="129.6"/>
    <n v="126.8"/>
    <n v="129.4"/>
    <n v="127.1"/>
    <n v="117"/>
    <n v="124.2"/>
    <n v="133.30000000000001"/>
    <n v="121.7"/>
    <n v="124.4"/>
    <n v="130.30000000000001"/>
    <x v="228"/>
    <x v="187"/>
    <x v="20"/>
    <x v="19"/>
    <x v="205"/>
    <x v="220"/>
    <n v="123.05000000000001"/>
  </r>
  <r>
    <s v="Rural"/>
    <n v="2017"/>
    <x v="5"/>
    <n v="133.1"/>
    <n v="137.80000000000001"/>
    <n v="131.9"/>
    <n v="136.69999999999999"/>
    <n v="122"/>
    <n v="136"/>
    <n v="119.8"/>
    <n v="161.69999999999999"/>
    <n v="114.8"/>
    <n v="136.9"/>
    <n v="129"/>
    <n v="143.9"/>
    <n v="133.69999999999999"/>
    <n v="129.6"/>
    <n v="132.1"/>
    <n v="133.19999999999999"/>
    <n v="129.9"/>
    <n v="119.1"/>
    <n v="127"/>
    <n v="134.6"/>
    <n v="122.3"/>
    <n v="126.6"/>
    <n v="132.4"/>
    <x v="229"/>
    <x v="188"/>
    <x v="151"/>
    <x v="218"/>
    <x v="206"/>
    <x v="221"/>
    <n v="124.44999999999999"/>
  </r>
  <r>
    <s v="Urban"/>
    <n v="2016"/>
    <x v="5"/>
    <n v="124.7"/>
    <n v="135.9"/>
    <n v="132"/>
    <n v="129.19999999999999"/>
    <n v="109.7"/>
    <n v="119"/>
    <n v="144.1"/>
    <n v="184.2"/>
    <n v="96.7"/>
    <n v="139.5"/>
    <n v="120.5"/>
    <n v="134.69999999999999"/>
    <n v="131.19999999999999"/>
    <n v="123.4"/>
    <n v="116.9"/>
    <n v="121.6"/>
    <n v="119.1"/>
    <n v="108.9"/>
    <n v="118.5"/>
    <n v="126.4"/>
    <n v="114"/>
    <n v="116.8"/>
    <n v="124.2"/>
    <x v="230"/>
    <x v="189"/>
    <x v="176"/>
    <x v="219"/>
    <x v="207"/>
    <x v="222"/>
    <n v="115.4"/>
  </r>
  <r>
    <s v="Rural+Urban"/>
    <n v="2016"/>
    <x v="5"/>
    <n v="126.1"/>
    <n v="134.1"/>
    <n v="128.6"/>
    <n v="129.9"/>
    <n v="115.5"/>
    <n v="125.7"/>
    <n v="141.5"/>
    <n v="170.7"/>
    <n v="97.4"/>
    <n v="132.9"/>
    <n v="122.7"/>
    <n v="135.30000000000001"/>
    <n v="131.30000000000001"/>
    <n v="123.4"/>
    <n v="122.7"/>
    <n v="124.2"/>
    <n v="122"/>
    <n v="111.1"/>
    <n v="119.8"/>
    <n v="126.3"/>
    <n v="114.5"/>
    <n v="118.5"/>
    <n v="126.3"/>
    <x v="231"/>
    <x v="102"/>
    <x v="177"/>
    <x v="220"/>
    <x v="51"/>
    <x v="223"/>
    <n v="116.5"/>
  </r>
  <r>
    <s v="Rural"/>
    <n v="2016"/>
    <x v="5"/>
    <n v="126.8"/>
    <n v="133.19999999999999"/>
    <n v="126.5"/>
    <n v="130.30000000000001"/>
    <n v="118.9"/>
    <n v="131.6"/>
    <n v="140.1"/>
    <n v="163.80000000000001"/>
    <n v="97.7"/>
    <n v="129.6"/>
    <n v="124.3"/>
    <n v="135.9"/>
    <n v="131.4"/>
    <n v="123.4"/>
    <n v="126.2"/>
    <n v="126.6"/>
    <n v="123.7"/>
    <n v="113.6"/>
    <n v="121.4"/>
    <n v="126.2"/>
    <n v="114.9"/>
    <n v="120.1"/>
    <n v="128.1"/>
    <x v="232"/>
    <x v="190"/>
    <x v="112"/>
    <x v="135"/>
    <x v="103"/>
    <x v="224"/>
    <n v="117.5"/>
  </r>
  <r>
    <s v="Rural"/>
    <n v="2015"/>
    <x v="5"/>
    <n v="123.1"/>
    <n v="123.1"/>
    <n v="122.1"/>
    <n v="124.9"/>
    <n v="111"/>
    <n v="130.4"/>
    <n v="132.30000000000001"/>
    <n v="117.2"/>
    <n v="100.5"/>
    <n v="117.2"/>
    <n v="117.9"/>
    <n v="125.6"/>
    <n v="122.8"/>
    <n v="117.3"/>
    <n v="118.4"/>
    <n v="118.9"/>
    <n v="116.6"/>
    <n v="111"/>
    <n v="114"/>
    <n v="118.2"/>
    <n v="110.2"/>
    <n v="114.5"/>
    <n v="120.3"/>
    <x v="233"/>
    <x v="191"/>
    <x v="50"/>
    <x v="221"/>
    <x v="208"/>
    <x v="225"/>
    <n v="112.35"/>
  </r>
  <r>
    <s v="Rural+Urban"/>
    <n v="2015"/>
    <x v="5"/>
    <n v="123.4"/>
    <n v="123.9"/>
    <n v="123.8"/>
    <n v="125"/>
    <n v="108.5"/>
    <n v="126.2"/>
    <n v="133"/>
    <n v="119.1"/>
    <n v="99"/>
    <n v="120.3"/>
    <n v="117.3"/>
    <n v="126.7"/>
    <n v="123.1"/>
    <n v="117.3"/>
    <n v="116.5"/>
    <n v="118.1"/>
    <n v="115.5"/>
    <n v="109.4"/>
    <n v="114.3"/>
    <n v="119.7"/>
    <n v="110.7"/>
    <n v="114"/>
    <n v="119.5"/>
    <x v="234"/>
    <x v="192"/>
    <x v="178"/>
    <x v="222"/>
    <x v="209"/>
    <x v="226"/>
    <n v="112.35"/>
  </r>
  <r>
    <s v="Urban"/>
    <n v="2015"/>
    <x v="5"/>
    <n v="124"/>
    <n v="125.5"/>
    <n v="126.6"/>
    <n v="125.2"/>
    <n v="104.3"/>
    <n v="121.3"/>
    <n v="134.4"/>
    <n v="122.9"/>
    <n v="96.1"/>
    <n v="126.6"/>
    <n v="116.5"/>
    <n v="128"/>
    <n v="123.5"/>
    <n v="117.3"/>
    <n v="113.4"/>
    <n v="117.2"/>
    <n v="113.7"/>
    <n v="107.9"/>
    <n v="114.6"/>
    <n v="120.8"/>
    <n v="111.4"/>
    <n v="113.4"/>
    <n v="118.5"/>
    <x v="235"/>
    <x v="106"/>
    <x v="179"/>
    <x v="223"/>
    <x v="24"/>
    <x v="227"/>
    <n v="112.4"/>
  </r>
  <r>
    <s v="Rural"/>
    <n v="2014"/>
    <x v="5"/>
    <n v="118.9"/>
    <n v="117.1"/>
    <n v="120.5"/>
    <n v="114.4"/>
    <n v="109"/>
    <n v="115.5"/>
    <n v="123.9"/>
    <n v="109.6"/>
    <n v="101.8"/>
    <n v="110.2"/>
    <n v="112.4"/>
    <n v="117.3"/>
    <n v="116"/>
    <n v="111.6"/>
    <n v="113"/>
    <n v="112.6"/>
    <n v="110.6"/>
    <n v="110.5"/>
    <n v="109.6"/>
    <n v="111.8"/>
    <n v="108.3"/>
    <n v="110.6"/>
    <n v="114.2"/>
    <x v="236"/>
    <x v="193"/>
    <x v="180"/>
    <x v="224"/>
    <x v="210"/>
    <x v="228"/>
    <n v="109.44999999999999"/>
  </r>
  <r>
    <s v="Rural+Urban"/>
    <n v="2014"/>
    <x v="5"/>
    <n v="119.6"/>
    <n v="118.8"/>
    <n v="124.1"/>
    <n v="114.1"/>
    <n v="106.8"/>
    <n v="113.9"/>
    <n v="122.2"/>
    <n v="108.9"/>
    <n v="100.2"/>
    <n v="111"/>
    <n v="112.3"/>
    <n v="118.1"/>
    <n v="115.8"/>
    <n v="111.6"/>
    <n v="112.2"/>
    <n v="112.3"/>
    <n v="110.3"/>
    <n v="110.7"/>
    <n v="109.7"/>
    <n v="111.6"/>
    <n v="108.2"/>
    <n v="110.6"/>
    <n v="113.6"/>
    <x v="237"/>
    <x v="194"/>
    <x v="89"/>
    <x v="225"/>
    <x v="211"/>
    <x v="229"/>
    <n v="109.4"/>
  </r>
  <r>
    <s v="Urban"/>
    <n v="2014"/>
    <x v="5"/>
    <n v="121.2"/>
    <n v="122"/>
    <n v="129.9"/>
    <n v="113.6"/>
    <n v="102.9"/>
    <n v="112.1"/>
    <n v="118.9"/>
    <n v="107.5"/>
    <n v="96.9"/>
    <n v="112.7"/>
    <n v="112.1"/>
    <n v="119"/>
    <n v="115.5"/>
    <n v="111.6"/>
    <n v="111"/>
    <n v="111.9"/>
    <n v="109.7"/>
    <n v="110.8"/>
    <n v="109.8"/>
    <n v="111.5"/>
    <n v="108"/>
    <n v="110.5"/>
    <n v="112.9"/>
    <x v="238"/>
    <x v="195"/>
    <x v="70"/>
    <x v="226"/>
    <x v="58"/>
    <x v="229"/>
    <n v="109.25"/>
  </r>
  <r>
    <s v="Rural"/>
    <n v="2013"/>
    <x v="5"/>
    <n v="107.5"/>
    <n v="106.3"/>
    <n v="108.1"/>
    <n v="104.9"/>
    <n v="106.1"/>
    <n v="103.9"/>
    <n v="101.9"/>
    <n v="106.1"/>
    <n v="106.8"/>
    <n v="103.1"/>
    <n v="104.8"/>
    <n v="106.7"/>
    <n v="105.5"/>
    <n v="100.3"/>
    <n v="105.5"/>
    <n v="104.8"/>
    <n v="104"/>
    <n v="103.3"/>
    <n v="103.4"/>
    <n v="103.8"/>
    <n v="104.7"/>
    <n v="104"/>
    <n v="105.1"/>
    <x v="239"/>
    <x v="196"/>
    <x v="181"/>
    <x v="227"/>
    <x v="212"/>
    <x v="230"/>
    <n v="104.35"/>
  </r>
  <r>
    <s v="Rural+Urban"/>
    <n v="2013"/>
    <x v="5"/>
    <n v="108.4"/>
    <n v="107.3"/>
    <n v="110"/>
    <n v="104.4"/>
    <n v="105.1"/>
    <n v="103.2"/>
    <n v="102.2"/>
    <n v="106"/>
    <n v="106.2"/>
    <n v="102.7"/>
    <n v="104.9"/>
    <n v="107.3"/>
    <n v="105.6"/>
    <n v="100.3"/>
    <n v="105.5"/>
    <n v="104.8"/>
    <n v="104"/>
    <n v="103.2"/>
    <n v="103.1"/>
    <n v="103.6"/>
    <n v="104.5"/>
    <n v="103.9"/>
    <n v="104.6"/>
    <x v="240"/>
    <x v="196"/>
    <x v="182"/>
    <x v="227"/>
    <x v="212"/>
    <x v="231"/>
    <n v="104.2"/>
  </r>
  <r>
    <s v="Urban"/>
    <n v="2013"/>
    <x v="5"/>
    <n v="110.5"/>
    <n v="109.1"/>
    <n v="113"/>
    <n v="103.6"/>
    <n v="103.4"/>
    <n v="102.3"/>
    <n v="102.9"/>
    <n v="105.8"/>
    <n v="105.1"/>
    <n v="101.8"/>
    <n v="105.1"/>
    <n v="107.9"/>
    <n v="105.9"/>
    <n v="100.3"/>
    <n v="105.4"/>
    <n v="104.8"/>
    <n v="104.1"/>
    <n v="103.2"/>
    <n v="102.9"/>
    <n v="103.5"/>
    <n v="104.3"/>
    <n v="103.7"/>
    <n v="104"/>
    <x v="241"/>
    <x v="197"/>
    <x v="182"/>
    <x v="227"/>
    <x v="213"/>
    <x v="232"/>
    <n v="104"/>
  </r>
  <r>
    <s v="Rural"/>
    <n v="2023"/>
    <x v="3"/>
    <n v="174.2"/>
    <n v="205.2"/>
    <n v="173.9"/>
    <n v="177"/>
    <n v="183.4"/>
    <n v="167.2"/>
    <n v="140.9"/>
    <n v="170.4"/>
    <n v="119.1"/>
    <n v="212.1"/>
    <n v="177.6"/>
    <n v="189.9"/>
    <n v="174.8"/>
    <n v="173.5"/>
    <n v="181.6"/>
    <n v="178.6"/>
    <n v="186.6"/>
    <n v="169"/>
    <n v="172.8"/>
    <n v="178.5"/>
    <n v="180.7"/>
    <n v="177.9"/>
    <n v="178"/>
    <x v="242"/>
    <x v="198"/>
    <x v="95"/>
    <x v="115"/>
    <x v="113"/>
    <x v="121"/>
    <n v="179.3"/>
  </r>
  <r>
    <s v="Rural+Urban"/>
    <n v="2023"/>
    <x v="3"/>
    <n v="174.4"/>
    <n v="207.7"/>
    <n v="175.2"/>
    <n v="177.3"/>
    <n v="179.3"/>
    <n v="169.5"/>
    <n v="152.69999999999999"/>
    <n v="171"/>
    <n v="120"/>
    <n v="209.7"/>
    <n v="172.3"/>
    <n v="193"/>
    <n v="177"/>
    <n v="173.5"/>
    <n v="182.1"/>
    <n v="174.2"/>
    <n v="184.4"/>
    <n v="164.2"/>
    <n v="170.3"/>
    <n v="175"/>
    <n v="181"/>
    <n v="174.1"/>
    <n v="177.2"/>
    <x v="243"/>
    <x v="199"/>
    <x v="96"/>
    <x v="116"/>
    <x v="114"/>
    <x v="122"/>
    <n v="177.55"/>
  </r>
  <r>
    <s v="Urban"/>
    <n v="2023"/>
    <x v="3"/>
    <n v="174.7"/>
    <n v="212.2"/>
    <n v="177.2"/>
    <n v="177.9"/>
    <n v="172.2"/>
    <n v="172.1"/>
    <n v="175.8"/>
    <n v="172.2"/>
    <n v="121.9"/>
    <n v="204.8"/>
    <n v="164.9"/>
    <n v="196.6"/>
    <n v="180.7"/>
    <n v="173.5"/>
    <n v="182.8"/>
    <n v="169.2"/>
    <n v="180.8"/>
    <n v="159.80000000000001"/>
    <n v="168.4"/>
    <n v="172.5"/>
    <n v="181.4"/>
    <n v="170"/>
    <n v="176.3"/>
    <x v="244"/>
    <x v="84"/>
    <x v="97"/>
    <x v="117"/>
    <x v="115"/>
    <x v="123"/>
    <n v="175.7"/>
  </r>
  <r>
    <s v="Rural"/>
    <n v="2022"/>
    <x v="3"/>
    <n v="148.80000000000001"/>
    <n v="198.1"/>
    <n v="175.5"/>
    <n v="160.69999999999999"/>
    <n v="192.6"/>
    <n v="151.4"/>
    <n v="155.19999999999999"/>
    <n v="163.9"/>
    <n v="118.1"/>
    <n v="175.4"/>
    <n v="170.5"/>
    <n v="176.3"/>
    <n v="163.9"/>
    <n v="165.5"/>
    <n v="167.4"/>
    <n v="165.7"/>
    <n v="175.3"/>
    <n v="161.19999999999999"/>
    <n v="165.5"/>
    <n v="170.3"/>
    <n v="164.5"/>
    <n v="167.3"/>
    <n v="166.7"/>
    <x v="245"/>
    <x v="200"/>
    <x v="183"/>
    <x v="228"/>
    <x v="214"/>
    <x v="233"/>
    <n v="165.9"/>
  </r>
  <r>
    <s v="Rural+Urban"/>
    <n v="2022"/>
    <x v="3"/>
    <n v="150"/>
    <n v="200.6"/>
    <n v="175.8"/>
    <n v="160.69999999999999"/>
    <n v="184.9"/>
    <n v="153.69999999999999"/>
    <n v="169.7"/>
    <n v="163.69999999999999"/>
    <n v="118.9"/>
    <n v="174.3"/>
    <n v="164.7"/>
    <n v="178"/>
    <n v="166.2"/>
    <n v="165.5"/>
    <n v="165.7"/>
    <n v="161.80000000000001"/>
    <n v="172.2"/>
    <n v="156.9"/>
    <n v="162.1"/>
    <n v="165.4"/>
    <n v="164.4"/>
    <n v="163.5"/>
    <n v="166.1"/>
    <x v="246"/>
    <x v="201"/>
    <x v="184"/>
    <x v="229"/>
    <x v="215"/>
    <x v="234"/>
    <n v="163.95"/>
  </r>
  <r>
    <s v="Urban"/>
    <n v="2022"/>
    <x v="3"/>
    <n v="152.5"/>
    <n v="205.2"/>
    <n v="176.4"/>
    <n v="160.6"/>
    <n v="171.5"/>
    <n v="156.4"/>
    <n v="198"/>
    <n v="163.19999999999999"/>
    <n v="120.6"/>
    <n v="172.2"/>
    <n v="156.69999999999999"/>
    <n v="180"/>
    <n v="170.2"/>
    <n v="165.5"/>
    <n v="163"/>
    <n v="157.4"/>
    <n v="167.2"/>
    <n v="153.1"/>
    <n v="159.5"/>
    <n v="162"/>
    <n v="164.2"/>
    <n v="159.4"/>
    <n v="165.5"/>
    <x v="247"/>
    <x v="202"/>
    <x v="185"/>
    <x v="230"/>
    <x v="216"/>
    <x v="235"/>
    <n v="161.80000000000001"/>
  </r>
  <r>
    <s v="Rural"/>
    <n v="2021"/>
    <x v="1"/>
    <n v="144.9"/>
    <n v="202.3"/>
    <n v="176.5"/>
    <n v="157.5"/>
    <n v="190.9"/>
    <n v="155.69999999999999"/>
    <n v="153.9"/>
    <n v="162.80000000000001"/>
    <n v="115.2"/>
    <n v="169.8"/>
    <n v="167.6"/>
    <n v="171.9"/>
    <n v="161.80000000000001"/>
    <n v="162.1"/>
    <n v="163.1"/>
    <n v="160.9"/>
    <n v="171.1"/>
    <n v="157.69999999999999"/>
    <n v="161.1"/>
    <n v="167.5"/>
    <n v="160.30000000000001"/>
    <n v="163.30000000000001"/>
    <n v="163.6"/>
    <x v="248"/>
    <x v="203"/>
    <x v="186"/>
    <x v="231"/>
    <x v="217"/>
    <x v="236"/>
    <n v="161.80000000000001"/>
  </r>
  <r>
    <s v="Rural+Urban"/>
    <n v="2021"/>
    <x v="1"/>
    <n v="146.6"/>
    <n v="204"/>
    <n v="172.8"/>
    <n v="158.4"/>
    <n v="188"/>
    <n v="156.80000000000001"/>
    <n v="162.19999999999999"/>
    <n v="164.1"/>
    <n v="119.7"/>
    <n v="168.8"/>
    <n v="162.69999999999999"/>
    <n v="173.9"/>
    <n v="164"/>
    <n v="162.1"/>
    <n v="162.6"/>
    <n v="157.5"/>
    <n v="168.4"/>
    <n v="154"/>
    <n v="157.6"/>
    <n v="163.80000000000001"/>
    <n v="160"/>
    <n v="160"/>
    <n v="163.19999999999999"/>
    <x v="249"/>
    <x v="204"/>
    <x v="187"/>
    <x v="232"/>
    <x v="218"/>
    <x v="237"/>
    <n v="160"/>
  </r>
  <r>
    <s v="Urban"/>
    <n v="2021"/>
    <x v="1"/>
    <n v="149.30000000000001"/>
    <n v="207.4"/>
    <n v="174.1"/>
    <n v="159.19999999999999"/>
    <n v="175"/>
    <n v="161.30000000000001"/>
    <n v="183.3"/>
    <n v="164.5"/>
    <n v="120.4"/>
    <n v="166.2"/>
    <n v="154.80000000000001"/>
    <n v="175.1"/>
    <n v="167.3"/>
    <n v="162.1"/>
    <n v="160.69999999999999"/>
    <n v="153.19999999999999"/>
    <n v="162.80000000000001"/>
    <n v="150.4"/>
    <n v="153.69999999999999"/>
    <n v="160.4"/>
    <n v="159.6"/>
    <n v="156"/>
    <n v="162.30000000000001"/>
    <x v="250"/>
    <x v="205"/>
    <x v="188"/>
    <x v="233"/>
    <x v="219"/>
    <x v="238"/>
    <n v="157.80000000000001"/>
  </r>
  <r>
    <s v="Rural"/>
    <n v="2021"/>
    <x v="2"/>
    <n v="147.4"/>
    <n v="197"/>
    <n v="176.5"/>
    <n v="159.80000000000001"/>
    <n v="195.8"/>
    <n v="152"/>
    <n v="172.3"/>
    <n v="164.5"/>
    <n v="120.6"/>
    <n v="171.7"/>
    <n v="169.7"/>
    <n v="175.1"/>
    <n v="165.8"/>
    <n v="163.4"/>
    <n v="165.6"/>
    <n v="163.9"/>
    <n v="174"/>
    <n v="160.1"/>
    <n v="164.5"/>
    <n v="169.7"/>
    <n v="162.80000000000001"/>
    <n v="166"/>
    <n v="167"/>
    <x v="251"/>
    <x v="206"/>
    <x v="189"/>
    <x v="229"/>
    <x v="220"/>
    <x v="239"/>
    <n v="164.4"/>
  </r>
  <r>
    <s v="Rural+Urban"/>
    <n v="2021"/>
    <x v="2"/>
    <n v="148.69999999999999"/>
    <n v="198.8"/>
    <n v="177.9"/>
    <n v="159.9"/>
    <n v="187.6"/>
    <n v="154.9"/>
    <n v="188.3"/>
    <n v="164.4"/>
    <n v="121"/>
    <n v="170.5"/>
    <n v="164.2"/>
    <n v="176.5"/>
    <n v="168.2"/>
    <n v="163.4"/>
    <n v="164.1"/>
    <n v="160.19999999999999"/>
    <n v="170.6"/>
    <n v="155.69999999999999"/>
    <n v="160.6"/>
    <n v="164.4"/>
    <n v="162.6"/>
    <n v="162"/>
    <n v="166.2"/>
    <x v="252"/>
    <x v="207"/>
    <x v="190"/>
    <x v="234"/>
    <x v="221"/>
    <x v="240"/>
    <n v="162.30000000000001"/>
  </r>
  <r>
    <s v="Urban"/>
    <n v="2021"/>
    <x v="2"/>
    <n v="151.6"/>
    <n v="202.2"/>
    <n v="180"/>
    <n v="160"/>
    <n v="173.5"/>
    <n v="158.30000000000001"/>
    <n v="219.5"/>
    <n v="164.2"/>
    <n v="121.9"/>
    <n v="168.2"/>
    <n v="156.5"/>
    <n v="178.2"/>
    <n v="172.2"/>
    <n v="163.4"/>
    <n v="161.69999999999999"/>
    <n v="156"/>
    <n v="165.1"/>
    <n v="151.80000000000001"/>
    <n v="157.6"/>
    <n v="160.6"/>
    <n v="162.4"/>
    <n v="157.80000000000001"/>
    <n v="165.2"/>
    <x v="253"/>
    <x v="208"/>
    <x v="191"/>
    <x v="235"/>
    <x v="222"/>
    <x v="241"/>
    <n v="160.10000000000002"/>
  </r>
  <r>
    <s v="Rural"/>
    <n v="2021"/>
    <x v="3"/>
    <n v="142.80000000000001"/>
    <n v="184"/>
    <n v="168"/>
    <n v="154.4"/>
    <n v="163"/>
    <n v="147.80000000000001"/>
    <n v="149.69999999999999"/>
    <n v="158.30000000000001"/>
    <n v="111.8"/>
    <n v="165"/>
    <n v="160"/>
    <n v="165.8"/>
    <n v="154.69999999999999"/>
    <n v="159.80000000000001"/>
    <n v="154.4"/>
    <n v="154.80000000000001"/>
    <n v="164.3"/>
    <n v="150.19999999999999"/>
    <n v="157"/>
    <n v="163.6"/>
    <n v="155.19999999999999"/>
    <n v="157.19999999999999"/>
    <n v="156.69999999999999"/>
    <x v="254"/>
    <x v="209"/>
    <x v="192"/>
    <x v="236"/>
    <x v="223"/>
    <x v="242"/>
    <n v="156.19999999999999"/>
  </r>
  <r>
    <s v="Rural+Urban"/>
    <n v="2021"/>
    <x v="3"/>
    <n v="144.30000000000001"/>
    <n v="186.5"/>
    <n v="168.7"/>
    <n v="154.69999999999999"/>
    <n v="158.69999999999999"/>
    <n v="150.69999999999999"/>
    <n v="160"/>
    <n v="158.80000000000001"/>
    <n v="112.8"/>
    <n v="164.2"/>
    <n v="155.5"/>
    <n v="167.5"/>
    <n v="156.9"/>
    <n v="159.80000000000001"/>
    <n v="152.4"/>
    <n v="150.9"/>
    <n v="161.30000000000001"/>
    <n v="145.1"/>
    <n v="151.5"/>
    <n v="159.5"/>
    <n v="155.80000000000001"/>
    <n v="153.4"/>
    <n v="156.6"/>
    <x v="255"/>
    <x v="210"/>
    <x v="193"/>
    <x v="237"/>
    <x v="224"/>
    <x v="243"/>
    <n v="154.60000000000002"/>
  </r>
  <r>
    <s v="Urban"/>
    <n v="2021"/>
    <x v="3"/>
    <n v="147.6"/>
    <n v="191.2"/>
    <n v="169.9"/>
    <n v="155.1"/>
    <n v="151.4"/>
    <n v="154"/>
    <n v="180.2"/>
    <n v="159.80000000000001"/>
    <n v="114.9"/>
    <n v="162.5"/>
    <n v="149.19999999999999"/>
    <n v="169.4"/>
    <n v="160.80000000000001"/>
    <n v="159.80000000000001"/>
    <n v="149.1"/>
    <n v="146.5"/>
    <n v="156.30000000000001"/>
    <n v="140.5"/>
    <n v="147.30000000000001"/>
    <n v="156.6"/>
    <n v="156.69999999999999"/>
    <n v="149.30000000000001"/>
    <n v="156.5"/>
    <x v="256"/>
    <x v="211"/>
    <x v="194"/>
    <x v="180"/>
    <x v="195"/>
    <x v="244"/>
    <n v="153"/>
  </r>
  <r>
    <s v="Urban"/>
    <n v="2018"/>
    <x v="3"/>
    <n v="134.80000000000001"/>
    <n v="143"/>
    <n v="139.9"/>
    <n v="139.9"/>
    <n v="116.2"/>
    <n v="135.5"/>
    <n v="136.9"/>
    <n v="117"/>
    <n v="115.4"/>
    <n v="140.69999999999999"/>
    <n v="125.9"/>
    <n v="147.1"/>
    <n v="135.6"/>
    <n v="141.30000000000001"/>
    <n v="127.3"/>
    <n v="129.9"/>
    <n v="129.80000000000001"/>
    <n v="117.4"/>
    <n v="126.5"/>
    <n v="137.19999999999999"/>
    <n v="126.2"/>
    <n v="126.5"/>
    <n v="134"/>
    <x v="257"/>
    <x v="184"/>
    <x v="195"/>
    <x v="238"/>
    <x v="225"/>
    <x v="245"/>
    <n v="126.35"/>
  </r>
  <r>
    <s v="Rural+Urban"/>
    <n v="2018"/>
    <x v="3"/>
    <n v="135.9"/>
    <n v="143.5"/>
    <n v="140.30000000000001"/>
    <n v="140.9"/>
    <n v="120.4"/>
    <n v="142.9"/>
    <n v="140.5"/>
    <n v="125.8"/>
    <n v="117.1"/>
    <n v="137.30000000000001"/>
    <n v="128.6"/>
    <n v="149.6"/>
    <n v="137.6"/>
    <n v="141.30000000000001"/>
    <n v="136.69999999999999"/>
    <n v="135.19999999999999"/>
    <n v="133.80000000000001"/>
    <n v="120.2"/>
    <n v="129.9"/>
    <n v="139"/>
    <n v="127.7"/>
    <n v="129.6"/>
    <n v="136.4"/>
    <x v="258"/>
    <x v="71"/>
    <x v="196"/>
    <x v="239"/>
    <x v="226"/>
    <x v="246"/>
    <n v="128.65"/>
  </r>
  <r>
    <s v="Rural"/>
    <n v="2018"/>
    <x v="3"/>
    <n v="136.4"/>
    <n v="143.69999999999999"/>
    <n v="140.6"/>
    <n v="141.5"/>
    <n v="122.9"/>
    <n v="149.4"/>
    <n v="142.4"/>
    <n v="130.19999999999999"/>
    <n v="117.9"/>
    <n v="135.6"/>
    <n v="130.5"/>
    <n v="151.69999999999999"/>
    <n v="138.69999999999999"/>
    <n v="141.30000000000001"/>
    <n v="142.4"/>
    <n v="139.9"/>
    <n v="136.19999999999999"/>
    <n v="123.3"/>
    <n v="134.30000000000001"/>
    <n v="141.5"/>
    <n v="128.80000000000001"/>
    <n v="132.5"/>
    <n v="138.5"/>
    <x v="259"/>
    <x v="212"/>
    <x v="34"/>
    <x v="240"/>
    <x v="42"/>
    <x v="247"/>
    <n v="130.65"/>
  </r>
  <r>
    <s v="Urban"/>
    <n v="2017"/>
    <x v="3"/>
    <n v="132.80000000000001"/>
    <n v="139.80000000000001"/>
    <n v="129.30000000000001"/>
    <n v="133.5"/>
    <n v="114.3"/>
    <n v="131.4"/>
    <n v="120.2"/>
    <n v="143.1"/>
    <n v="119.5"/>
    <n v="144"/>
    <n v="123.4"/>
    <n v="141.9"/>
    <n v="132.1"/>
    <n v="130.5"/>
    <n v="119.2"/>
    <n v="125.3"/>
    <n v="122.9"/>
    <n v="115.5"/>
    <n v="122.2"/>
    <n v="132.4"/>
    <n v="121.7"/>
    <n v="122.4"/>
    <n v="128.19999999999999"/>
    <x v="260"/>
    <x v="105"/>
    <x v="197"/>
    <x v="18"/>
    <x v="132"/>
    <x v="248"/>
    <n v="122.05000000000001"/>
  </r>
  <r>
    <s v="Rural+Urban"/>
    <n v="2017"/>
    <x v="3"/>
    <n v="133.1"/>
    <n v="138.80000000000001"/>
    <n v="129.30000000000001"/>
    <n v="135.80000000000001"/>
    <n v="119.2"/>
    <n v="135.30000000000001"/>
    <n v="119.5"/>
    <n v="152.19999999999999"/>
    <n v="117.3"/>
    <n v="138.69999999999999"/>
    <n v="126.9"/>
    <n v="143.19999999999999"/>
    <n v="133"/>
    <n v="130.5"/>
    <n v="127.9"/>
    <n v="129.69999999999999"/>
    <n v="127.4"/>
    <n v="117.4"/>
    <n v="124.6"/>
    <n v="133.4"/>
    <n v="122.6"/>
    <n v="124.8"/>
    <n v="130.6"/>
    <x v="261"/>
    <x v="213"/>
    <x v="195"/>
    <x v="241"/>
    <x v="71"/>
    <x v="249"/>
    <n v="123.69999999999999"/>
  </r>
  <r>
    <s v="Rural"/>
    <n v="2017"/>
    <x v="3"/>
    <n v="133.30000000000001"/>
    <n v="138.30000000000001"/>
    <n v="129.30000000000001"/>
    <n v="137.19999999999999"/>
    <n v="122.1"/>
    <n v="138.69999999999999"/>
    <n v="119.1"/>
    <n v="156.9"/>
    <n v="116.2"/>
    <n v="136"/>
    <n v="129.4"/>
    <n v="144.4"/>
    <n v="133.6"/>
    <n v="130.5"/>
    <n v="133.19999999999999"/>
    <n v="133.6"/>
    <n v="130.1"/>
    <n v="119.5"/>
    <n v="127.7"/>
    <n v="134.9"/>
    <n v="123.2"/>
    <n v="127"/>
    <n v="132.6"/>
    <x v="262"/>
    <x v="214"/>
    <x v="198"/>
    <x v="242"/>
    <x v="227"/>
    <x v="250"/>
    <n v="125.1"/>
  </r>
  <r>
    <s v="Urban"/>
    <n v="2016"/>
    <x v="3"/>
    <n v="124.8"/>
    <n v="135.1"/>
    <n v="130.30000000000001"/>
    <n v="129.6"/>
    <n v="108.4"/>
    <n v="118.6"/>
    <n v="129.19999999999999"/>
    <n v="176.4"/>
    <n v="99.1"/>
    <n v="139.69999999999999"/>
    <n v="120.6"/>
    <n v="135.19999999999999"/>
    <n v="129.1"/>
    <n v="124.4"/>
    <n v="116"/>
    <n v="121.8"/>
    <n v="119.5"/>
    <n v="109.1"/>
    <n v="118.8"/>
    <n v="126.3"/>
    <n v="116.2"/>
    <n v="117.2"/>
    <n v="123.8"/>
    <x v="263"/>
    <x v="215"/>
    <x v="21"/>
    <x v="243"/>
    <x v="228"/>
    <x v="251"/>
    <n v="116.7"/>
  </r>
  <r>
    <s v="Rural+Urban"/>
    <n v="2016"/>
    <x v="3"/>
    <n v="126.4"/>
    <n v="134.19999999999999"/>
    <n v="128.69999999999999"/>
    <n v="130.30000000000001"/>
    <n v="114.8"/>
    <n v="124.9"/>
    <n v="130.30000000000001"/>
    <n v="167.4"/>
    <n v="98.8"/>
    <n v="133.6"/>
    <n v="123"/>
    <n v="135.80000000000001"/>
    <n v="129.9"/>
    <n v="124.4"/>
    <n v="123.1"/>
    <n v="124.6"/>
    <n v="122.5"/>
    <n v="111.4"/>
    <n v="120.3"/>
    <n v="126.6"/>
    <n v="116.6"/>
    <n v="119.1"/>
    <n v="126"/>
    <x v="264"/>
    <x v="216"/>
    <x v="48"/>
    <x v="244"/>
    <x v="229"/>
    <x v="252"/>
    <n v="117.85"/>
  </r>
  <r>
    <s v="Rural"/>
    <n v="2016"/>
    <x v="3"/>
    <n v="127.1"/>
    <n v="133.69999999999999"/>
    <n v="127.7"/>
    <n v="130.69999999999999"/>
    <n v="118.5"/>
    <n v="130.4"/>
    <n v="130.9"/>
    <n v="162.80000000000001"/>
    <n v="98.7"/>
    <n v="130.6"/>
    <n v="124.8"/>
    <n v="136.4"/>
    <n v="130.30000000000001"/>
    <n v="124.4"/>
    <n v="127.5"/>
    <n v="127.1"/>
    <n v="124.3"/>
    <n v="113.9"/>
    <n v="122.3"/>
    <n v="127.1"/>
    <n v="116.8"/>
    <n v="120.9"/>
    <n v="127.9"/>
    <x v="265"/>
    <x v="217"/>
    <x v="128"/>
    <x v="245"/>
    <x v="230"/>
    <x v="253"/>
    <n v="118.85"/>
  </r>
  <r>
    <s v="Rural"/>
    <n v="2015"/>
    <x v="3"/>
    <n v="123.4"/>
    <n v="124.4"/>
    <n v="122.1"/>
    <n v="125.8"/>
    <n v="111.5"/>
    <n v="129.4"/>
    <n v="128.19999999999999"/>
    <n v="118.8"/>
    <n v="100"/>
    <n v="118.6"/>
    <n v="118.8"/>
    <n v="126.8"/>
    <n v="122.8"/>
    <n v="118.1"/>
    <n v="120"/>
    <n v="119.6"/>
    <n v="117.7"/>
    <n v="110.9"/>
    <n v="114.8"/>
    <n v="118.7"/>
    <n v="110.8"/>
    <n v="115"/>
    <n v="120.6"/>
    <x v="266"/>
    <x v="218"/>
    <x v="111"/>
    <x v="246"/>
    <x v="49"/>
    <x v="254"/>
    <n v="112.9"/>
  </r>
  <r>
    <s v="Rural+Urban"/>
    <n v="2015"/>
    <x v="3"/>
    <n v="123.7"/>
    <n v="125.1"/>
    <n v="121.1"/>
    <n v="125.7"/>
    <n v="109.1"/>
    <n v="125.8"/>
    <n v="129.4"/>
    <n v="120.9"/>
    <n v="98.3"/>
    <n v="121.6"/>
    <n v="118"/>
    <n v="127.6"/>
    <n v="123.1"/>
    <n v="118.1"/>
    <n v="117.7"/>
    <n v="118.7"/>
    <n v="116.3"/>
    <n v="108.7"/>
    <n v="114.9"/>
    <n v="119.7"/>
    <n v="111.2"/>
    <n v="114.1"/>
    <n v="119.7"/>
    <x v="267"/>
    <x v="219"/>
    <x v="199"/>
    <x v="247"/>
    <x v="231"/>
    <x v="255"/>
    <n v="112.65"/>
  </r>
  <r>
    <s v="Urban"/>
    <n v="2015"/>
    <x v="3"/>
    <n v="124.3"/>
    <n v="126.5"/>
    <n v="119.5"/>
    <n v="125.6"/>
    <n v="104.9"/>
    <n v="121.6"/>
    <n v="131.80000000000001"/>
    <n v="125.1"/>
    <n v="95"/>
    <n v="127.7"/>
    <n v="116.8"/>
    <n v="128.6"/>
    <n v="123.7"/>
    <n v="118.1"/>
    <n v="114"/>
    <n v="117.7"/>
    <n v="114.1"/>
    <n v="106.8"/>
    <n v="114.9"/>
    <n v="120.4"/>
    <n v="111.7"/>
    <n v="113.2"/>
    <n v="118.7"/>
    <x v="268"/>
    <x v="220"/>
    <x v="157"/>
    <x v="107"/>
    <x v="232"/>
    <x v="256"/>
    <n v="112.45"/>
  </r>
  <r>
    <s v="Rural"/>
    <n v="2014"/>
    <x v="3"/>
    <n v="119.4"/>
    <n v="117.7"/>
    <n v="121.2"/>
    <n v="115"/>
    <n v="109"/>
    <n v="116.6"/>
    <n v="116"/>
    <n v="109.8"/>
    <n v="101.1"/>
    <n v="110.4"/>
    <n v="112.9"/>
    <n v="117.8"/>
    <n v="115.3"/>
    <n v="112.5"/>
    <n v="113.2"/>
    <n v="112.9"/>
    <n v="110.9"/>
    <n v="110.8"/>
    <n v="109.9"/>
    <n v="112"/>
    <n v="108.7"/>
    <n v="110.9"/>
    <n v="114"/>
    <x v="269"/>
    <x v="148"/>
    <x v="70"/>
    <x v="248"/>
    <x v="233"/>
    <x v="257"/>
    <n v="109.80000000000001"/>
  </r>
  <r>
    <s v="Rural+Urban"/>
    <n v="2014"/>
    <x v="3"/>
    <n v="120.2"/>
    <n v="119.2"/>
    <n v="122.5"/>
    <n v="115.1"/>
    <n v="106.6"/>
    <n v="115.4"/>
    <n v="114.5"/>
    <n v="109.3"/>
    <n v="99.2"/>
    <n v="111.4"/>
    <n v="112.6"/>
    <n v="118.8"/>
    <n v="115.3"/>
    <n v="112.5"/>
    <n v="112.4"/>
    <n v="112.8"/>
    <n v="110.7"/>
    <n v="111.1"/>
    <n v="110.1"/>
    <n v="111.8"/>
    <n v="108.7"/>
    <n v="110.9"/>
    <n v="113.6"/>
    <x v="270"/>
    <x v="221"/>
    <x v="177"/>
    <x v="249"/>
    <x v="234"/>
    <x v="258"/>
    <n v="109.80000000000001"/>
  </r>
  <r>
    <s v="Urban"/>
    <n v="2014"/>
    <x v="3"/>
    <n v="121.9"/>
    <n v="122"/>
    <n v="124.5"/>
    <n v="115.2"/>
    <n v="102.5"/>
    <n v="114.1"/>
    <n v="111.5"/>
    <n v="108.2"/>
    <n v="95.4"/>
    <n v="113.5"/>
    <n v="112.1"/>
    <n v="119.9"/>
    <n v="115.2"/>
    <n v="112.5"/>
    <n v="111.1"/>
    <n v="112.6"/>
    <n v="110.4"/>
    <n v="111.3"/>
    <n v="110.3"/>
    <n v="111.6"/>
    <n v="108.7"/>
    <n v="111"/>
    <n v="113.1"/>
    <x v="271"/>
    <x v="27"/>
    <x v="22"/>
    <x v="250"/>
    <x v="235"/>
    <x v="258"/>
    <n v="109.85"/>
  </r>
  <r>
    <s v="Rural"/>
    <n v="2013"/>
    <x v="3"/>
    <n v="109.2"/>
    <n v="108.7"/>
    <n v="110.2"/>
    <n v="105.4"/>
    <n v="106.7"/>
    <n v="104"/>
    <n v="102.4"/>
    <n v="105.9"/>
    <n v="105.7"/>
    <n v="103.1"/>
    <n v="105.1"/>
    <n v="107.7"/>
    <n v="106.3"/>
    <n v="100.4"/>
    <n v="106.2"/>
    <n v="105.2"/>
    <n v="104.4"/>
    <n v="103.9"/>
    <n v="104"/>
    <n v="104.1"/>
    <n v="104.6"/>
    <n v="104.4"/>
    <n v="105.8"/>
    <x v="272"/>
    <x v="222"/>
    <x v="94"/>
    <x v="251"/>
    <x v="236"/>
    <x v="259"/>
    <n v="104.5"/>
  </r>
  <r>
    <s v="Rural+Urban"/>
    <n v="2013"/>
    <x v="3"/>
    <n v="110.4"/>
    <n v="110.2"/>
    <n v="112.8"/>
    <n v="104.9"/>
    <n v="105.5"/>
    <n v="103.6"/>
    <n v="103.2"/>
    <n v="105.3"/>
    <n v="105.1"/>
    <n v="102.8"/>
    <n v="105.5"/>
    <n v="108.3"/>
    <n v="106.6"/>
    <n v="100.4"/>
    <n v="106"/>
    <n v="105.2"/>
    <n v="104.5"/>
    <n v="104.2"/>
    <n v="103.6"/>
    <n v="103.9"/>
    <n v="104.5"/>
    <n v="104.4"/>
    <n v="105.3"/>
    <x v="273"/>
    <x v="134"/>
    <x v="200"/>
    <x v="251"/>
    <x v="237"/>
    <x v="260"/>
    <n v="104.45"/>
  </r>
  <r>
    <s v="Urban"/>
    <n v="2013"/>
    <x v="3"/>
    <n v="112.9"/>
    <n v="112.9"/>
    <n v="116.9"/>
    <n v="104"/>
    <n v="103.5"/>
    <n v="103.1"/>
    <n v="104.9"/>
    <n v="104.1"/>
    <n v="103.8"/>
    <n v="102.3"/>
    <n v="106"/>
    <n v="109"/>
    <n v="107.2"/>
    <n v="100.4"/>
    <n v="105.7"/>
    <n v="105.2"/>
    <n v="104.7"/>
    <n v="104.4"/>
    <n v="103.3"/>
    <n v="103.7"/>
    <n v="104.3"/>
    <n v="104.3"/>
    <n v="104.7"/>
    <x v="274"/>
    <x v="223"/>
    <x v="201"/>
    <x v="251"/>
    <x v="138"/>
    <x v="261"/>
    <n v="104.3"/>
  </r>
  <r>
    <s v="Rural"/>
    <n v="2022"/>
    <x v="2"/>
    <n v="168.8"/>
    <n v="206.9"/>
    <n v="189.1"/>
    <n v="173.4"/>
    <n v="193.9"/>
    <n v="156.69999999999999"/>
    <n v="150.19999999999999"/>
    <n v="170.5"/>
    <n v="121.2"/>
    <n v="207.5"/>
    <n v="176.8"/>
    <n v="187.7"/>
    <n v="174.4"/>
    <n v="170.7"/>
    <n v="182.8"/>
    <n v="176.4"/>
    <n v="183.5"/>
    <n v="167.8"/>
    <n v="171.2"/>
    <n v="177.3"/>
    <n v="175.7"/>
    <n v="175.5"/>
    <n v="177.1"/>
    <x v="275"/>
    <x v="84"/>
    <x v="202"/>
    <x v="252"/>
    <x v="238"/>
    <x v="262"/>
    <n v="175.6"/>
  </r>
  <r>
    <s v="Rural+Urban"/>
    <n v="2022"/>
    <x v="2"/>
    <n v="169.2"/>
    <n v="209"/>
    <n v="190.2"/>
    <n v="173.6"/>
    <n v="188.5"/>
    <n v="158"/>
    <n v="159.9"/>
    <n v="170.8"/>
    <n v="121.8"/>
    <n v="205.2"/>
    <n v="171"/>
    <n v="190.3"/>
    <n v="175.9"/>
    <n v="170.7"/>
    <n v="182"/>
    <n v="172.1"/>
    <n v="181.1"/>
    <n v="163.4"/>
    <n v="168.9"/>
    <n v="174.1"/>
    <n v="175.8"/>
    <n v="172"/>
    <n v="175.7"/>
    <x v="276"/>
    <x v="173"/>
    <x v="203"/>
    <x v="253"/>
    <x v="239"/>
    <x v="263"/>
    <n v="173.9"/>
  </r>
  <r>
    <s v="Urban"/>
    <n v="2022"/>
    <x v="2"/>
    <n v="170.2"/>
    <n v="212.9"/>
    <n v="191.9"/>
    <n v="173.9"/>
    <n v="179.1"/>
    <n v="159.5"/>
    <n v="178.7"/>
    <n v="171.3"/>
    <n v="123.1"/>
    <n v="200.5"/>
    <n v="162.80000000000001"/>
    <n v="193.3"/>
    <n v="178.6"/>
    <n v="170.7"/>
    <n v="180.6"/>
    <n v="167.3"/>
    <n v="177.2"/>
    <n v="159.4"/>
    <n v="167.1"/>
    <n v="171.8"/>
    <n v="176"/>
    <n v="168.2"/>
    <n v="174.1"/>
    <x v="277"/>
    <x v="224"/>
    <x v="75"/>
    <x v="27"/>
    <x v="240"/>
    <x v="264"/>
    <n v="172.1"/>
  </r>
  <r>
    <s v="Rural"/>
    <n v="2021"/>
    <x v="5"/>
    <n v="143.4"/>
    <n v="187.5"/>
    <n v="173.4"/>
    <n v="154"/>
    <n v="154.80000000000001"/>
    <n v="147"/>
    <n v="187.8"/>
    <n v="159.5"/>
    <n v="113.8"/>
    <n v="164.5"/>
    <n v="156.1"/>
    <n v="164.3"/>
    <n v="159.6"/>
    <n v="157.69999999999999"/>
    <n v="150.9"/>
    <n v="153.9"/>
    <n v="162.5"/>
    <n v="147.5"/>
    <n v="155.1"/>
    <n v="163.5"/>
    <n v="156.19999999999999"/>
    <n v="155.9"/>
    <n v="158.5"/>
    <x v="278"/>
    <x v="225"/>
    <x v="204"/>
    <x v="254"/>
    <x v="241"/>
    <x v="265"/>
    <n v="156.05000000000001"/>
  </r>
  <r>
    <s v="Rural+Urban"/>
    <n v="2021"/>
    <x v="5"/>
    <n v="144.9"/>
    <n v="190.1"/>
    <n v="175.3"/>
    <n v="154.1"/>
    <n v="150.9"/>
    <n v="149.6"/>
    <n v="194.2"/>
    <n v="160.4"/>
    <n v="114.6"/>
    <n v="164"/>
    <n v="151.80000000000001"/>
    <n v="165.6"/>
    <n v="161"/>
    <n v="157.69999999999999"/>
    <n v="147.9"/>
    <n v="150"/>
    <n v="159.30000000000001"/>
    <n v="141.9"/>
    <n v="149.6"/>
    <n v="159.19999999999999"/>
    <n v="156.80000000000001"/>
    <n v="151.9"/>
    <n v="157.30000000000001"/>
    <x v="279"/>
    <x v="226"/>
    <x v="205"/>
    <x v="255"/>
    <x v="242"/>
    <x v="266"/>
    <n v="154.35000000000002"/>
  </r>
  <r>
    <s v="Urban"/>
    <n v="2021"/>
    <x v="5"/>
    <n v="148"/>
    <n v="194.8"/>
    <n v="178.4"/>
    <n v="154.4"/>
    <n v="144.1"/>
    <n v="152.6"/>
    <n v="206.8"/>
    <n v="162.1"/>
    <n v="116.3"/>
    <n v="163"/>
    <n v="145.9"/>
    <n v="167.2"/>
    <n v="163.4"/>
    <n v="157.69999999999999"/>
    <n v="142.9"/>
    <n v="145.69999999999999"/>
    <n v="154.1"/>
    <n v="136.9"/>
    <n v="145.4"/>
    <n v="156.1"/>
    <n v="157.69999999999999"/>
    <n v="147.6"/>
    <n v="156"/>
    <x v="280"/>
    <x v="179"/>
    <x v="206"/>
    <x v="256"/>
    <x v="243"/>
    <x v="267"/>
    <n v="152.64999999999998"/>
  </r>
  <r>
    <s v="Rural"/>
    <n v="2021"/>
    <x v="6"/>
    <n v="145.1"/>
    <n v="204.5"/>
    <n v="180.4"/>
    <n v="157.1"/>
    <n v="188.7"/>
    <n v="157.69999999999999"/>
    <n v="152.80000000000001"/>
    <n v="163.6"/>
    <n v="113.9"/>
    <n v="169.7"/>
    <n v="166.2"/>
    <n v="171"/>
    <n v="161.69999999999999"/>
    <n v="161.5"/>
    <n v="162.5"/>
    <n v="160.30000000000001"/>
    <n v="170.4"/>
    <n v="157.1"/>
    <n v="160.69999999999999"/>
    <n v="167.2"/>
    <n v="160.4"/>
    <n v="162.80000000000001"/>
    <n v="163.19999999999999"/>
    <x v="281"/>
    <x v="227"/>
    <x v="207"/>
    <x v="257"/>
    <x v="244"/>
    <x v="268"/>
    <n v="161.60000000000002"/>
  </r>
  <r>
    <s v="Rural+Urban"/>
    <n v="2021"/>
    <x v="6"/>
    <n v="146.4"/>
    <n v="206.8"/>
    <n v="182.2"/>
    <n v="157.5"/>
    <n v="182.1"/>
    <n v="163.9"/>
    <n v="164.2"/>
    <n v="164"/>
    <n v="114.5"/>
    <n v="168.3"/>
    <n v="160.9"/>
    <n v="172.2"/>
    <n v="164"/>
    <n v="161.5"/>
    <n v="160.69999999999999"/>
    <n v="155.80000000000001"/>
    <n v="167"/>
    <n v="153.1"/>
    <n v="155.30000000000001"/>
    <n v="163.19999999999999"/>
    <n v="160.1"/>
    <n v="159"/>
    <n v="162.5"/>
    <x v="282"/>
    <x v="205"/>
    <x v="185"/>
    <x v="258"/>
    <x v="245"/>
    <x v="269"/>
    <n v="159.55000000000001"/>
  </r>
  <r>
    <s v="Urban"/>
    <n v="2021"/>
    <x v="6"/>
    <n v="149.1"/>
    <n v="210.9"/>
    <n v="185"/>
    <n v="158.19999999999999"/>
    <n v="170.6"/>
    <n v="170.9"/>
    <n v="186.4"/>
    <n v="164.7"/>
    <n v="115.7"/>
    <n v="165.5"/>
    <n v="153.4"/>
    <n v="173.5"/>
    <n v="167.9"/>
    <n v="161.5"/>
    <n v="157.69999999999999"/>
    <n v="150.69999999999999"/>
    <n v="161.5"/>
    <n v="149.5"/>
    <n v="151.19999999999999"/>
    <n v="160.30000000000001"/>
    <n v="159.6"/>
    <n v="155"/>
    <n v="161.80000000000001"/>
    <x v="283"/>
    <x v="228"/>
    <x v="208"/>
    <x v="259"/>
    <x v="246"/>
    <x v="270"/>
    <n v="157.30000000000001"/>
  </r>
  <r>
    <s v="Rural"/>
    <n v="2021"/>
    <x v="7"/>
    <n v="145.6"/>
    <n v="200.1"/>
    <n v="179.3"/>
    <n v="156.1"/>
    <n v="190.4"/>
    <n v="158.6"/>
    <n v="144.69999999999999"/>
    <n v="165.5"/>
    <n v="114.6"/>
    <n v="170"/>
    <n v="165.5"/>
    <n v="171.7"/>
    <n v="160.5"/>
    <n v="160.5"/>
    <n v="162.1"/>
    <n v="159.19999999999999"/>
    <n v="169.7"/>
    <n v="154.19999999999999"/>
    <n v="160.4"/>
    <n v="166.8"/>
    <n v="159.4"/>
    <n v="161.5"/>
    <n v="162.1"/>
    <x v="284"/>
    <x v="229"/>
    <x v="100"/>
    <x v="260"/>
    <x v="247"/>
    <x v="271"/>
    <n v="160.44999999999999"/>
  </r>
  <r>
    <s v="Rural+Urban"/>
    <n v="2021"/>
    <x v="7"/>
    <n v="146.69999999999999"/>
    <n v="202"/>
    <n v="180.7"/>
    <n v="156.19999999999999"/>
    <n v="183.7"/>
    <n v="164.6"/>
    <n v="155.4"/>
    <n v="166"/>
    <n v="115.1"/>
    <n v="168.5"/>
    <n v="160"/>
    <n v="172.4"/>
    <n v="162.6"/>
    <n v="160.5"/>
    <n v="159.80000000000001"/>
    <n v="154.80000000000001"/>
    <n v="166.3"/>
    <n v="150.69999999999999"/>
    <n v="154.9"/>
    <n v="161.69999999999999"/>
    <n v="158.80000000000001"/>
    <n v="157.6"/>
    <n v="161.30000000000001"/>
    <x v="285"/>
    <x v="230"/>
    <x v="209"/>
    <x v="261"/>
    <x v="248"/>
    <x v="272"/>
    <n v="158.19999999999999"/>
  </r>
  <r>
    <s v="Urban"/>
    <n v="2021"/>
    <x v="7"/>
    <n v="149.19999999999999"/>
    <n v="205.5"/>
    <n v="182.8"/>
    <n v="156.5"/>
    <n v="172.2"/>
    <n v="171.5"/>
    <n v="176.2"/>
    <n v="166.9"/>
    <n v="116.1"/>
    <n v="165.5"/>
    <n v="152.30000000000001"/>
    <n v="173.3"/>
    <n v="166.2"/>
    <n v="160.5"/>
    <n v="156.1"/>
    <n v="149.80000000000001"/>
    <n v="160.80000000000001"/>
    <n v="147.5"/>
    <n v="150.69999999999999"/>
    <n v="158.1"/>
    <n v="158"/>
    <n v="153.4"/>
    <n v="160.4"/>
    <x v="286"/>
    <x v="231"/>
    <x v="204"/>
    <x v="262"/>
    <x v="249"/>
    <x v="266"/>
    <n v="155.69999999999999"/>
  </r>
  <r>
    <s v="Rural"/>
    <n v="2018"/>
    <x v="2"/>
    <n v="137.1"/>
    <n v="151.9"/>
    <n v="137.4"/>
    <n v="142.4"/>
    <n v="124.2"/>
    <n v="140.19999999999999"/>
    <n v="136.6"/>
    <n v="120.9"/>
    <n v="109.9"/>
    <n v="140.19999999999999"/>
    <n v="137.80000000000001"/>
    <n v="156"/>
    <n v="138.5"/>
    <n v="146.5"/>
    <n v="149"/>
    <n v="149.5"/>
    <n v="149.6"/>
    <n v="128.9"/>
    <n v="143.30000000000001"/>
    <n v="155.1"/>
    <n v="133.19999999999999"/>
    <n v="141.6"/>
    <n v="141.9"/>
    <x v="287"/>
    <x v="14"/>
    <x v="210"/>
    <x v="263"/>
    <x v="32"/>
    <x v="273"/>
    <n v="137.39999999999998"/>
  </r>
  <r>
    <s v="Rural+Urban"/>
    <n v="2018"/>
    <x v="2"/>
    <n v="137.5"/>
    <n v="150.5"/>
    <n v="138.80000000000001"/>
    <n v="142.1"/>
    <n v="122"/>
    <n v="139.4"/>
    <n v="135.19999999999999"/>
    <n v="119.8"/>
    <n v="110.3"/>
    <n v="140.6"/>
    <n v="133.80000000000001"/>
    <n v="154.6"/>
    <n v="138.19999999999999"/>
    <n v="146.5"/>
    <n v="142.69999999999999"/>
    <n v="143.19999999999999"/>
    <n v="144.9"/>
    <n v="123.6"/>
    <n v="136.80000000000001"/>
    <n v="150.1"/>
    <n v="132.19999999999999"/>
    <n v="136.80000000000001"/>
    <n v="140.1"/>
    <x v="288"/>
    <x v="232"/>
    <x v="81"/>
    <x v="5"/>
    <x v="250"/>
    <x v="5"/>
    <n v="134.5"/>
  </r>
  <r>
    <s v="Urban"/>
    <n v="2018"/>
    <x v="2"/>
    <n v="138.5"/>
    <n v="147.80000000000001"/>
    <n v="141.1"/>
    <n v="141.6"/>
    <n v="118.1"/>
    <n v="138.5"/>
    <n v="132.4"/>
    <n v="117.5"/>
    <n v="111"/>
    <n v="141.5"/>
    <n v="128.1"/>
    <n v="152.9"/>
    <n v="137.6"/>
    <n v="146.5"/>
    <n v="132.4"/>
    <n v="136.19999999999999"/>
    <n v="137.30000000000001"/>
    <n v="118.8"/>
    <n v="131.69999999999999"/>
    <n v="146.5"/>
    <n v="130.80000000000001"/>
    <n v="131.69999999999999"/>
    <n v="138"/>
    <x v="289"/>
    <x v="233"/>
    <x v="211"/>
    <x v="264"/>
    <x v="251"/>
    <x v="274"/>
    <n v="131.25"/>
  </r>
  <r>
    <s v="Urban"/>
    <n v="2017"/>
    <x v="2"/>
    <n v="134.4"/>
    <n v="142.6"/>
    <n v="145.9"/>
    <n v="139.5"/>
    <n v="115.9"/>
    <n v="135"/>
    <n v="163.19999999999999"/>
    <n v="119.8"/>
    <n v="120.7"/>
    <n v="139.69999999999999"/>
    <n v="125.7"/>
    <n v="146.30000000000001"/>
    <n v="138.80000000000001"/>
    <n v="139.1"/>
    <n v="126.8"/>
    <n v="129.30000000000001"/>
    <n v="128.19999999999999"/>
    <n v="115.3"/>
    <n v="125.6"/>
    <n v="136.69999999999999"/>
    <n v="124.6"/>
    <n v="125.1"/>
    <n v="134.1"/>
    <x v="290"/>
    <x v="187"/>
    <x v="64"/>
    <x v="265"/>
    <x v="252"/>
    <x v="275"/>
    <n v="124.85"/>
  </r>
  <r>
    <s v="Rural+Urban"/>
    <n v="2017"/>
    <x v="2"/>
    <n v="135.80000000000001"/>
    <n v="143.30000000000001"/>
    <n v="145.19999999999999"/>
    <n v="141"/>
    <n v="120.5"/>
    <n v="141.5"/>
    <n v="161.69999999999999"/>
    <n v="129.1"/>
    <n v="121.5"/>
    <n v="137.1"/>
    <n v="128.80000000000001"/>
    <n v="149"/>
    <n v="140.5"/>
    <n v="139.1"/>
    <n v="136.6"/>
    <n v="134.69999999999999"/>
    <n v="133.1"/>
    <n v="118.5"/>
    <n v="129"/>
    <n v="138.5"/>
    <n v="126.5"/>
    <n v="128.6"/>
    <n v="137.19999999999999"/>
    <x v="291"/>
    <x v="185"/>
    <x v="212"/>
    <x v="266"/>
    <x v="253"/>
    <x v="75"/>
    <n v="127.55"/>
  </r>
  <r>
    <s v="Rural"/>
    <n v="2017"/>
    <x v="2"/>
    <n v="136.4"/>
    <n v="143.69999999999999"/>
    <n v="144.80000000000001"/>
    <n v="141.9"/>
    <n v="123.1"/>
    <n v="147.19999999999999"/>
    <n v="161"/>
    <n v="133.80000000000001"/>
    <n v="121.9"/>
    <n v="135.80000000000001"/>
    <n v="131.1"/>
    <n v="151.4"/>
    <n v="141.5"/>
    <n v="139.1"/>
    <n v="142.6"/>
    <n v="139.5"/>
    <n v="136.1"/>
    <n v="122"/>
    <n v="133.4"/>
    <n v="141.1"/>
    <n v="127.8"/>
    <n v="131.9"/>
    <n v="139.80000000000001"/>
    <x v="292"/>
    <x v="127"/>
    <x v="213"/>
    <x v="112"/>
    <x v="254"/>
    <x v="276"/>
    <n v="129.85"/>
  </r>
  <r>
    <s v="Urban"/>
    <n v="2016"/>
    <x v="2"/>
    <n v="131.6"/>
    <n v="138.19999999999999"/>
    <n v="134.9"/>
    <n v="133.1"/>
    <n v="113.5"/>
    <n v="129.30000000000001"/>
    <n v="121.1"/>
    <n v="170.3"/>
    <n v="115.5"/>
    <n v="145.5"/>
    <n v="123.1"/>
    <n v="140.9"/>
    <n v="132.80000000000001"/>
    <n v="128.5"/>
    <n v="117.8"/>
    <n v="125"/>
    <n v="122.3"/>
    <n v="113.7"/>
    <n v="121.8"/>
    <n v="132.30000000000001"/>
    <n v="119.9"/>
    <n v="121.4"/>
    <n v="127.6"/>
    <x v="293"/>
    <x v="234"/>
    <x v="214"/>
    <x v="267"/>
    <x v="255"/>
    <x v="277"/>
    <n v="120.65"/>
  </r>
  <r>
    <s v="Rural+Urban"/>
    <n v="2016"/>
    <x v="2"/>
    <n v="132.30000000000001"/>
    <n v="137.6"/>
    <n v="132.9"/>
    <n v="135.1"/>
    <n v="118.6"/>
    <n v="132.69999999999999"/>
    <n v="125.3"/>
    <n v="168.7"/>
    <n v="114.4"/>
    <n v="140.19999999999999"/>
    <n v="126.6"/>
    <n v="142.30000000000001"/>
    <n v="134"/>
    <n v="128.5"/>
    <n v="126.6"/>
    <n v="129.19999999999999"/>
    <n v="126.9"/>
    <n v="116"/>
    <n v="124.2"/>
    <n v="133.1"/>
    <n v="121.1"/>
    <n v="123.9"/>
    <n v="130.4"/>
    <x v="294"/>
    <x v="93"/>
    <x v="150"/>
    <x v="74"/>
    <x v="256"/>
    <x v="278"/>
    <n v="122.5"/>
  </r>
  <r>
    <s v="Rural"/>
    <n v="2016"/>
    <x v="2"/>
    <n v="132.6"/>
    <n v="137.30000000000001"/>
    <n v="131.6"/>
    <n v="136.30000000000001"/>
    <n v="121.6"/>
    <n v="135.6"/>
    <n v="127.5"/>
    <n v="167.9"/>
    <n v="113.8"/>
    <n v="137.5"/>
    <n v="129.1"/>
    <n v="143.6"/>
    <n v="134.69999999999999"/>
    <n v="128.5"/>
    <n v="132"/>
    <n v="132.9"/>
    <n v="129.69999999999999"/>
    <n v="118.6"/>
    <n v="127.3"/>
    <n v="134.19999999999999"/>
    <n v="121.9"/>
    <n v="126.3"/>
    <n v="132.80000000000001"/>
    <x v="295"/>
    <x v="235"/>
    <x v="35"/>
    <x v="268"/>
    <x v="257"/>
    <x v="279"/>
    <n v="124.1"/>
  </r>
  <r>
    <s v="Urban"/>
    <n v="2015"/>
    <x v="2"/>
    <n v="124.3"/>
    <n v="131.69999999999999"/>
    <n v="127.1"/>
    <n v="128.6"/>
    <n v="110"/>
    <n v="120.8"/>
    <n v="149"/>
    <n v="190.1"/>
    <n v="92.7"/>
    <n v="138.6"/>
    <n v="120.2"/>
    <n v="134.19999999999999"/>
    <n v="131.5"/>
    <n v="122.4"/>
    <n v="116"/>
    <n v="121"/>
    <n v="118.6"/>
    <n v="109.3"/>
    <n v="118.1"/>
    <n v="126.6"/>
    <n v="113.2"/>
    <n v="116.7"/>
    <n v="124"/>
    <x v="296"/>
    <x v="215"/>
    <x v="27"/>
    <x v="269"/>
    <x v="258"/>
    <x v="280"/>
    <n v="114.95"/>
  </r>
  <r>
    <s v="Rural+Urban"/>
    <n v="2015"/>
    <x v="2"/>
    <n v="125.7"/>
    <n v="131.4"/>
    <n v="124.8"/>
    <n v="129.4"/>
    <n v="115.3"/>
    <n v="126.6"/>
    <n v="146.69999999999999"/>
    <n v="171.5"/>
    <n v="94.5"/>
    <n v="132.1"/>
    <n v="122"/>
    <n v="134.69999999999999"/>
    <n v="131.4"/>
    <n v="122.4"/>
    <n v="122"/>
    <n v="123.6"/>
    <n v="121.4"/>
    <n v="111.5"/>
    <n v="119.6"/>
    <n v="126.2"/>
    <n v="113.7"/>
    <n v="118.3"/>
    <n v="126.1"/>
    <x v="297"/>
    <x v="236"/>
    <x v="68"/>
    <x v="270"/>
    <x v="18"/>
    <x v="281"/>
    <n v="116"/>
  </r>
  <r>
    <s v="Rural"/>
    <n v="2015"/>
    <x v="2"/>
    <n v="126.3"/>
    <n v="131.30000000000001"/>
    <n v="123.3"/>
    <n v="129.80000000000001"/>
    <n v="118.3"/>
    <n v="131.6"/>
    <n v="145.5"/>
    <n v="162.1"/>
    <n v="95.4"/>
    <n v="128.9"/>
    <n v="123.3"/>
    <n v="135.1"/>
    <n v="131.4"/>
    <n v="122.4"/>
    <n v="125.7"/>
    <n v="126"/>
    <n v="123.1"/>
    <n v="114"/>
    <n v="121.6"/>
    <n v="125.6"/>
    <n v="114.1"/>
    <n v="119.8"/>
    <n v="127.9"/>
    <x v="298"/>
    <x v="72"/>
    <x v="69"/>
    <x v="271"/>
    <x v="130"/>
    <x v="282"/>
    <n v="116.94999999999999"/>
  </r>
  <r>
    <s v="Rural"/>
    <n v="2014"/>
    <x v="2"/>
    <n v="122.4"/>
    <n v="122.4"/>
    <n v="121.8"/>
    <n v="124.2"/>
    <n v="110.2"/>
    <n v="128.6"/>
    <n v="140.30000000000001"/>
    <n v="116.3"/>
    <n v="102"/>
    <n v="116"/>
    <n v="117.3"/>
    <n v="124.8"/>
    <n v="123.3"/>
    <n v="116.5"/>
    <n v="117.4"/>
    <n v="118.2"/>
    <n v="116.2"/>
    <n v="111.5"/>
    <n v="113.3"/>
    <n v="117.7"/>
    <n v="109.4"/>
    <n v="114.2"/>
    <n v="120.3"/>
    <x v="299"/>
    <x v="237"/>
    <x v="68"/>
    <x v="272"/>
    <x v="259"/>
    <x v="283"/>
    <n v="111.80000000000001"/>
  </r>
  <r>
    <s v="Rural+Urban"/>
    <n v="2014"/>
    <x v="2"/>
    <n v="122.9"/>
    <n v="123.2"/>
    <n v="123.5"/>
    <n v="124.5"/>
    <n v="107.6"/>
    <n v="125.7"/>
    <n v="140.5"/>
    <n v="117.6"/>
    <n v="100.6"/>
    <n v="119.1"/>
    <n v="116.8"/>
    <n v="126.1"/>
    <n v="123.6"/>
    <n v="116.5"/>
    <n v="115.7"/>
    <n v="117.5"/>
    <n v="115.1"/>
    <n v="110.1"/>
    <n v="113.9"/>
    <n v="119.5"/>
    <n v="109.8"/>
    <n v="113.8"/>
    <n v="119.4"/>
    <x v="300"/>
    <x v="238"/>
    <x v="215"/>
    <x v="273"/>
    <x v="260"/>
    <x v="26"/>
    <n v="111.8"/>
  </r>
  <r>
    <s v="Urban"/>
    <n v="2014"/>
    <x v="2"/>
    <n v="124"/>
    <n v="124.7"/>
    <n v="126.3"/>
    <n v="124.9"/>
    <n v="103"/>
    <n v="122.3"/>
    <n v="141"/>
    <n v="120.1"/>
    <n v="97.8"/>
    <n v="125.4"/>
    <n v="116.1"/>
    <n v="127.6"/>
    <n v="124"/>
    <n v="116.5"/>
    <n v="113"/>
    <n v="116.8"/>
    <n v="113.2"/>
    <n v="108.8"/>
    <n v="114.3"/>
    <n v="120.7"/>
    <n v="110.4"/>
    <n v="113.4"/>
    <n v="118.4"/>
    <x v="301"/>
    <x v="193"/>
    <x v="216"/>
    <x v="274"/>
    <x v="261"/>
    <x v="284"/>
    <n v="111.9"/>
  </r>
  <r>
    <s v="Rural"/>
    <n v="2013"/>
    <x v="2"/>
    <n v="118.4"/>
    <n v="115.9"/>
    <n v="120.4"/>
    <n v="113.8"/>
    <n v="109.5"/>
    <n v="115.5"/>
    <n v="145.69999999999999"/>
    <n v="109.5"/>
    <n v="102.9"/>
    <n v="109.8"/>
    <n v="112.1"/>
    <n v="116.8"/>
    <n v="118.7"/>
    <n v="110.7"/>
    <n v="112.8"/>
    <n v="112.1"/>
    <n v="110.1"/>
    <n v="109.9"/>
    <n v="109.2"/>
    <n v="111.6"/>
    <n v="108.1"/>
    <n v="110.1"/>
    <n v="115.5"/>
    <x v="302"/>
    <x v="239"/>
    <x v="28"/>
    <x v="275"/>
    <x v="262"/>
    <x v="285"/>
    <n v="109.1"/>
  </r>
  <r>
    <s v="Rural+Urban"/>
    <n v="2013"/>
    <x v="2"/>
    <n v="119.1"/>
    <n v="116.7"/>
    <n v="123.5"/>
    <n v="113.4"/>
    <n v="107.3"/>
    <n v="113.3"/>
    <n v="145.4"/>
    <n v="108.7"/>
    <n v="101.5"/>
    <n v="110.5"/>
    <n v="112.1"/>
    <n v="117.4"/>
    <n v="118.4"/>
    <n v="110.7"/>
    <n v="111.9"/>
    <n v="111.7"/>
    <n v="109.7"/>
    <n v="109.8"/>
    <n v="109"/>
    <n v="111.5"/>
    <n v="107.9"/>
    <n v="110"/>
    <n v="114.5"/>
    <x v="303"/>
    <x v="240"/>
    <x v="217"/>
    <x v="276"/>
    <x v="58"/>
    <x v="286"/>
    <n v="108.95"/>
  </r>
  <r>
    <s v="Urban"/>
    <n v="2013"/>
    <x v="2"/>
    <n v="120.5"/>
    <n v="118.1"/>
    <n v="128.5"/>
    <n v="112.8"/>
    <n v="103.4"/>
    <n v="110.7"/>
    <n v="144.80000000000001"/>
    <n v="107.1"/>
    <n v="98.6"/>
    <n v="111.9"/>
    <n v="112.1"/>
    <n v="118.1"/>
    <n v="117.8"/>
    <n v="110.7"/>
    <n v="110.4"/>
    <n v="111.3"/>
    <n v="109"/>
    <n v="109.7"/>
    <n v="108.9"/>
    <n v="111.4"/>
    <n v="107.7"/>
    <n v="109.8"/>
    <n v="113.3"/>
    <x v="304"/>
    <x v="241"/>
    <x v="52"/>
    <x v="83"/>
    <x v="263"/>
    <x v="287"/>
    <n v="108.75"/>
  </r>
  <r>
    <s v="Rural"/>
    <n v="2022"/>
    <x v="1"/>
    <n v="159.5"/>
    <n v="204.1"/>
    <n v="168.3"/>
    <n v="167.9"/>
    <n v="198.1"/>
    <n v="169.2"/>
    <n v="173.1"/>
    <n v="167.1"/>
    <n v="120.2"/>
    <n v="195.6"/>
    <n v="174.8"/>
    <n v="184"/>
    <n v="173.9"/>
    <n v="169"/>
    <n v="179.1"/>
    <n v="172.3"/>
    <n v="179.4"/>
    <n v="166.6"/>
    <n v="169.3"/>
    <n v="175.7"/>
    <n v="171.1"/>
    <n v="172.6"/>
    <n v="175.3"/>
    <x v="305"/>
    <x v="242"/>
    <x v="218"/>
    <x v="277"/>
    <x v="264"/>
    <x v="288"/>
    <n v="171.85"/>
  </r>
  <r>
    <s v="Rural+Urban"/>
    <n v="2022"/>
    <x v="1"/>
    <n v="160.30000000000001"/>
    <n v="206.5"/>
    <n v="169.2"/>
    <n v="168.1"/>
    <n v="192.4"/>
    <n v="172.9"/>
    <n v="186.7"/>
    <n v="167.2"/>
    <n v="120.9"/>
    <n v="193.6"/>
    <n v="168.8"/>
    <n v="186.3"/>
    <n v="176.3"/>
    <n v="169"/>
    <n v="178.8"/>
    <n v="168.5"/>
    <n v="176.8"/>
    <n v="161.9"/>
    <n v="166.9"/>
    <n v="172.3"/>
    <n v="171.2"/>
    <n v="169.1"/>
    <n v="174.3"/>
    <x v="306"/>
    <x v="243"/>
    <x v="219"/>
    <x v="278"/>
    <x v="265"/>
    <x v="289"/>
    <n v="170.14999999999998"/>
  </r>
  <r>
    <s v="Urban"/>
    <n v="2022"/>
    <x v="1"/>
    <n v="162.1"/>
    <n v="210.9"/>
    <n v="170.6"/>
    <n v="168.4"/>
    <n v="182.5"/>
    <n v="177.1"/>
    <n v="213.1"/>
    <n v="167.3"/>
    <n v="122.2"/>
    <n v="189.7"/>
    <n v="160.5"/>
    <n v="188.9"/>
    <n v="180.4"/>
    <n v="169"/>
    <n v="178.4"/>
    <n v="164.2"/>
    <n v="172.6"/>
    <n v="157.69999999999999"/>
    <n v="165.1"/>
    <n v="169.9"/>
    <n v="171.4"/>
    <n v="165.4"/>
    <n v="173.1"/>
    <x v="307"/>
    <x v="244"/>
    <x v="186"/>
    <x v="279"/>
    <x v="266"/>
    <x v="290"/>
    <n v="168.4"/>
  </r>
  <r>
    <s v="Rural"/>
    <n v="2021"/>
    <x v="10"/>
    <n v="142.5"/>
    <n v="189.4"/>
    <n v="163.19999999999999"/>
    <n v="154.5"/>
    <n v="168.2"/>
    <n v="150.5"/>
    <n v="141"/>
    <n v="159.19999999999999"/>
    <n v="111.7"/>
    <n v="164"/>
    <n v="160.6"/>
    <n v="166.4"/>
    <n v="154.5"/>
    <n v="159.9"/>
    <n v="156"/>
    <n v="154.80000000000001"/>
    <n v="164.6"/>
    <n v="151.30000000000001"/>
    <n v="157.80000000000001"/>
    <n v="163.80000000000001"/>
    <n v="153.1"/>
    <n v="157.30000000000001"/>
    <n v="156.69999999999999"/>
    <x v="308"/>
    <x v="181"/>
    <x v="220"/>
    <x v="280"/>
    <x v="267"/>
    <x v="291"/>
    <n v="155.19999999999999"/>
  </r>
  <r>
    <s v="Rural+Urban"/>
    <n v="2021"/>
    <x v="10"/>
    <n v="144.1"/>
    <n v="192.2"/>
    <n v="163.80000000000001"/>
    <n v="154.9"/>
    <n v="163.9"/>
    <n v="153.69999999999999"/>
    <n v="149.5"/>
    <n v="159.80000000000001"/>
    <n v="112.6"/>
    <n v="163.5"/>
    <n v="156.5"/>
    <n v="168.2"/>
    <n v="156.69999999999999"/>
    <n v="159.9"/>
    <n v="155.5"/>
    <n v="151.19999999999999"/>
    <n v="161.69999999999999"/>
    <n v="146.19999999999999"/>
    <n v="152.6"/>
    <n v="160.19999999999999"/>
    <n v="153.80000000000001"/>
    <n v="153.80000000000001"/>
    <n v="156.80000000000001"/>
    <x v="309"/>
    <x v="245"/>
    <x v="221"/>
    <x v="281"/>
    <x v="268"/>
    <x v="292"/>
    <n v="153.80000000000001"/>
  </r>
  <r>
    <s v="Urban"/>
    <n v="2021"/>
    <x v="10"/>
    <n v="147.5"/>
    <n v="197.5"/>
    <n v="164.7"/>
    <n v="155.6"/>
    <n v="156.4"/>
    <n v="157.30000000000001"/>
    <n v="166.1"/>
    <n v="161.1"/>
    <n v="114.3"/>
    <n v="162.6"/>
    <n v="150.69999999999999"/>
    <n v="170.3"/>
    <n v="160.4"/>
    <n v="159.9"/>
    <n v="154.80000000000001"/>
    <n v="147.19999999999999"/>
    <n v="156.9"/>
    <n v="141.69999999999999"/>
    <n v="148.6"/>
    <n v="157.6"/>
    <n v="154.9"/>
    <n v="150"/>
    <n v="156.9"/>
    <x v="310"/>
    <x v="246"/>
    <x v="222"/>
    <x v="282"/>
    <x v="269"/>
    <x v="293"/>
    <n v="152.44999999999999"/>
  </r>
  <r>
    <s v="Rural"/>
    <n v="2021"/>
    <x v="11"/>
    <n v="145.1"/>
    <n v="198.5"/>
    <n v="168.6"/>
    <n v="155.80000000000001"/>
    <n v="184.4"/>
    <n v="162.30000000000001"/>
    <n v="138.4"/>
    <n v="165.1"/>
    <n v="114.3"/>
    <n v="169.7"/>
    <n v="164.6"/>
    <n v="169.8"/>
    <n v="158.69999999999999"/>
    <n v="150.1"/>
    <n v="161.69999999999999"/>
    <n v="158.80000000000001"/>
    <n v="169.1"/>
    <n v="153.19999999999999"/>
    <n v="160"/>
    <n v="167.6"/>
    <n v="159.30000000000001"/>
    <n v="161.1"/>
    <n v="161.1"/>
    <x v="311"/>
    <x v="208"/>
    <x v="223"/>
    <x v="283"/>
    <x v="270"/>
    <x v="294"/>
    <n v="160.19999999999999"/>
  </r>
  <r>
    <s v="Rural+Urban"/>
    <n v="2021"/>
    <x v="11"/>
    <n v="146.30000000000001"/>
    <n v="200.5"/>
    <n v="170.3"/>
    <n v="156.1"/>
    <n v="178.7"/>
    <n v="167.1"/>
    <n v="147.9"/>
    <n v="165.4"/>
    <n v="114.8"/>
    <n v="168.2"/>
    <n v="159.30000000000001"/>
    <n v="170.4"/>
    <n v="160.69999999999999"/>
    <n v="161.6"/>
    <n v="159.4"/>
    <n v="154.69999999999999"/>
    <n v="165.8"/>
    <n v="148.9"/>
    <n v="155.80000000000001"/>
    <n v="161.19999999999999"/>
    <n v="158.6"/>
    <n v="156.80000000000001"/>
    <n v="160.4"/>
    <x v="312"/>
    <x v="247"/>
    <x v="224"/>
    <x v="284"/>
    <x v="271"/>
    <x v="295"/>
    <n v="157.69999999999999"/>
  </r>
  <r>
    <s v="Urban"/>
    <n v="2021"/>
    <x v="11"/>
    <n v="148.80000000000001"/>
    <n v="204.3"/>
    <n v="173"/>
    <n v="156.5"/>
    <n v="168.8"/>
    <n v="172.5"/>
    <n v="166.5"/>
    <n v="165.9"/>
    <n v="115.9"/>
    <n v="165.2"/>
    <n v="152"/>
    <n v="171.1"/>
    <n v="164.2"/>
    <n v="161.6"/>
    <n v="155.5"/>
    <n v="150.1"/>
    <n v="160.4"/>
    <n v="145"/>
    <n v="152.6"/>
    <n v="156.6"/>
    <n v="157.5"/>
    <n v="152.30000000000001"/>
    <n v="159.5"/>
    <x v="313"/>
    <x v="245"/>
    <x v="225"/>
    <x v="285"/>
    <x v="170"/>
    <x v="296"/>
    <n v="154.9"/>
  </r>
  <r>
    <s v="Rural"/>
    <n v="2021"/>
    <x v="9"/>
    <n v="146.9"/>
    <n v="199.8"/>
    <n v="171.5"/>
    <n v="159.1"/>
    <n v="198.4"/>
    <n v="153.19999999999999"/>
    <n v="183.9"/>
    <n v="165.4"/>
    <n v="122.1"/>
    <n v="170.8"/>
    <n v="169.1"/>
    <n v="174.3"/>
    <n v="167.5"/>
    <n v="158"/>
    <n v="165.3"/>
    <n v="162.9"/>
    <n v="173.4"/>
    <n v="158.9"/>
    <n v="163.80000000000001"/>
    <n v="169.3"/>
    <n v="162.4"/>
    <n v="165.2"/>
    <n v="167.6"/>
    <x v="314"/>
    <x v="248"/>
    <x v="56"/>
    <x v="286"/>
    <x v="272"/>
    <x v="297"/>
    <n v="163.80000000000001"/>
  </r>
  <r>
    <s v="Rural+Urban"/>
    <n v="2021"/>
    <x v="9"/>
    <n v="148.19999999999999"/>
    <n v="201.6"/>
    <n v="173"/>
    <n v="159.30000000000001"/>
    <n v="190.1"/>
    <n v="156.5"/>
    <n v="199.2"/>
    <n v="165.3"/>
    <n v="122.4"/>
    <n v="169.6"/>
    <n v="163.69999999999999"/>
    <n v="175.5"/>
    <n v="169.7"/>
    <n v="164.2"/>
    <n v="163.9"/>
    <n v="159.30000000000001"/>
    <n v="169.9"/>
    <n v="154.80000000000001"/>
    <n v="159.80000000000001"/>
    <n v="164.3"/>
    <n v="162.19999999999999"/>
    <n v="161.4"/>
    <n v="166.7"/>
    <x v="315"/>
    <x v="249"/>
    <x v="226"/>
    <x v="287"/>
    <x v="273"/>
    <x v="298"/>
    <n v="161.80000000000001"/>
  </r>
  <r>
    <s v="Urban"/>
    <n v="2021"/>
    <x v="9"/>
    <n v="151"/>
    <n v="204.9"/>
    <n v="175.4"/>
    <n v="159.6"/>
    <n v="175.8"/>
    <n v="160.30000000000001"/>
    <n v="229.1"/>
    <n v="165.1"/>
    <n v="123.1"/>
    <n v="167.2"/>
    <n v="156.1"/>
    <n v="176.8"/>
    <n v="173.5"/>
    <n v="164.2"/>
    <n v="161.6"/>
    <n v="155.19999999999999"/>
    <n v="164.2"/>
    <n v="151.19999999999999"/>
    <n v="156.69999999999999"/>
    <n v="160.80000000000001"/>
    <n v="161.80000000000001"/>
    <n v="157.30000000000001"/>
    <n v="165.6"/>
    <x v="316"/>
    <x v="177"/>
    <x v="227"/>
    <x v="235"/>
    <x v="274"/>
    <x v="299"/>
    <n v="159.55000000000001"/>
  </r>
  <r>
    <s v="Urban"/>
    <n v="2018"/>
    <x v="1"/>
    <n v="136.5"/>
    <n v="146.4"/>
    <n v="136.6"/>
    <n v="141.19999999999999"/>
    <n v="117.4"/>
    <n v="146.30000000000001"/>
    <n v="157.30000000000001"/>
    <n v="113.6"/>
    <n v="113.3"/>
    <n v="141.1"/>
    <n v="127.4"/>
    <n v="150.4"/>
    <n v="140.1"/>
    <n v="144.6"/>
    <n v="129.80000000000001"/>
    <n v="134.4"/>
    <n v="134.9"/>
    <n v="120.7"/>
    <n v="129.80000000000001"/>
    <n v="145.30000000000001"/>
    <n v="128.30000000000001"/>
    <n v="131"/>
    <n v="138"/>
    <x v="317"/>
    <x v="49"/>
    <x v="228"/>
    <x v="288"/>
    <x v="275"/>
    <x v="300"/>
    <n v="129.65"/>
  </r>
  <r>
    <s v="Rural+Urban"/>
    <n v="2018"/>
    <x v="1"/>
    <n v="138.30000000000001"/>
    <n v="148"/>
    <n v="138.1"/>
    <n v="142.6"/>
    <n v="122.2"/>
    <n v="150.6"/>
    <n v="156.6"/>
    <n v="122.4"/>
    <n v="114.7"/>
    <n v="139.4"/>
    <n v="131.1"/>
    <n v="153"/>
    <n v="141.69999999999999"/>
    <n v="144.6"/>
    <n v="140.9"/>
    <n v="139.4"/>
    <n v="137.69999999999999"/>
    <n v="124.3"/>
    <n v="133.6"/>
    <n v="146"/>
    <n v="130.1"/>
    <n v="133.9"/>
    <n v="140.4"/>
    <x v="318"/>
    <x v="250"/>
    <x v="229"/>
    <x v="32"/>
    <x v="276"/>
    <x v="301"/>
    <n v="132"/>
  </r>
  <r>
    <s v="Rural"/>
    <n v="2018"/>
    <x v="1"/>
    <n v="139.19999999999999"/>
    <n v="148.80000000000001"/>
    <n v="139.1"/>
    <n v="143.5"/>
    <n v="125"/>
    <n v="154.4"/>
    <n v="156.30000000000001"/>
    <n v="126.8"/>
    <n v="115.4"/>
    <n v="138.6"/>
    <n v="133.80000000000001"/>
    <n v="155.19999999999999"/>
    <n v="142.69999999999999"/>
    <n v="144.6"/>
    <n v="147.69999999999999"/>
    <n v="143.80000000000001"/>
    <n v="139.4"/>
    <n v="128.30000000000001"/>
    <n v="138.6"/>
    <n v="146.9"/>
    <n v="131.30000000000001"/>
    <n v="136.6"/>
    <n v="142.5"/>
    <x v="319"/>
    <x v="89"/>
    <x v="230"/>
    <x v="289"/>
    <x v="277"/>
    <x v="302"/>
    <n v="133.94999999999999"/>
  </r>
  <r>
    <s v="Urban"/>
    <n v="2017"/>
    <x v="1"/>
    <n v="133.19999999999999"/>
    <n v="143.9"/>
    <n v="128.30000000000001"/>
    <n v="138.30000000000001"/>
    <n v="114.1"/>
    <n v="142.69999999999999"/>
    <n v="179.8"/>
    <n v="123.5"/>
    <n v="122.1"/>
    <n v="137.5"/>
    <n v="124.6"/>
    <n v="144.5"/>
    <n v="140.5"/>
    <n v="134.4"/>
    <n v="118.9"/>
    <n v="127.7"/>
    <n v="125.7"/>
    <n v="114.6"/>
    <n v="124.1"/>
    <n v="135.69999999999999"/>
    <n v="123.3"/>
    <n v="123.8"/>
    <n v="132.69999999999999"/>
    <x v="320"/>
    <x v="251"/>
    <x v="231"/>
    <x v="290"/>
    <x v="278"/>
    <x v="303"/>
    <n v="123.55"/>
  </r>
  <r>
    <s v="Rural+Urban"/>
    <n v="2017"/>
    <x v="1"/>
    <n v="134.30000000000001"/>
    <n v="143.4"/>
    <n v="129.30000000000001"/>
    <n v="139"/>
    <n v="118.1"/>
    <n v="145.5"/>
    <n v="168.6"/>
    <n v="132.69999999999999"/>
    <n v="121.2"/>
    <n v="135.6"/>
    <n v="128.69999999999999"/>
    <n v="146.80000000000001"/>
    <n v="140.6"/>
    <n v="134.4"/>
    <n v="129.80000000000001"/>
    <n v="132.80000000000001"/>
    <n v="130.19999999999999"/>
    <n v="117.3"/>
    <n v="127.3"/>
    <n v="137.6"/>
    <n v="124.5"/>
    <n v="126.8"/>
    <n v="135.4"/>
    <x v="321"/>
    <x v="49"/>
    <x v="232"/>
    <x v="291"/>
    <x v="279"/>
    <x v="304"/>
    <n v="125.65"/>
  </r>
  <r>
    <s v="Rural"/>
    <n v="2017"/>
    <x v="1"/>
    <n v="134.80000000000001"/>
    <n v="143.1"/>
    <n v="130"/>
    <n v="139.4"/>
    <n v="120.5"/>
    <n v="148"/>
    <n v="162.9"/>
    <n v="137.4"/>
    <n v="120.8"/>
    <n v="134.69999999999999"/>
    <n v="131.6"/>
    <n v="148.69999999999999"/>
    <n v="140.6"/>
    <n v="134.4"/>
    <n v="136.4"/>
    <n v="137.30000000000001"/>
    <n v="133"/>
    <n v="120.3"/>
    <n v="131.5"/>
    <n v="140.19999999999999"/>
    <n v="125.4"/>
    <n v="129.69999999999999"/>
    <n v="137.80000000000001"/>
    <x v="322"/>
    <x v="252"/>
    <x v="233"/>
    <x v="292"/>
    <x v="280"/>
    <x v="305"/>
    <n v="127.55"/>
  </r>
  <r>
    <s v="Urban"/>
    <n v="2016"/>
    <x v="1"/>
    <n v="127.6"/>
    <n v="140.30000000000001"/>
    <n v="133.69999999999999"/>
    <n v="132.19999999999999"/>
    <n v="111.8"/>
    <n v="135.80000000000001"/>
    <n v="163.5"/>
    <n v="182.3"/>
    <n v="114.6"/>
    <n v="144.6"/>
    <n v="121.9"/>
    <n v="138.1"/>
    <n v="137.6"/>
    <n v="127.3"/>
    <n v="114.7"/>
    <n v="123.9"/>
    <n v="121.2"/>
    <n v="110.4"/>
    <n v="120.6"/>
    <n v="131.5"/>
    <n v="120.9"/>
    <n v="119.9"/>
    <n v="128.4"/>
    <x v="323"/>
    <x v="54"/>
    <x v="29"/>
    <x v="293"/>
    <x v="281"/>
    <x v="306"/>
    <n v="120.4"/>
  </r>
  <r>
    <s v="Rural+Urban"/>
    <n v="2016"/>
    <x v="1"/>
    <n v="129.30000000000001"/>
    <n v="139.30000000000001"/>
    <n v="131.6"/>
    <n v="134.1"/>
    <n v="116.9"/>
    <n v="138.1"/>
    <n v="159.1"/>
    <n v="175.6"/>
    <n v="112.9"/>
    <n v="138.1"/>
    <n v="125.5"/>
    <n v="139.5"/>
    <n v="137.9"/>
    <n v="127.3"/>
    <n v="123.6"/>
    <n v="127.4"/>
    <n v="124.8"/>
    <n v="113.1"/>
    <n v="122.7"/>
    <n v="131.69999999999999"/>
    <n v="121.5"/>
    <n v="122.1"/>
    <n v="131.1"/>
    <x v="324"/>
    <x v="253"/>
    <x v="155"/>
    <x v="217"/>
    <x v="133"/>
    <x v="307"/>
    <n v="121.8"/>
  </r>
  <r>
    <s v="Rural"/>
    <n v="2016"/>
    <x v="1"/>
    <n v="130.1"/>
    <n v="138.80000000000001"/>
    <n v="130.30000000000001"/>
    <n v="135.30000000000001"/>
    <n v="119.9"/>
    <n v="140.19999999999999"/>
    <n v="156.9"/>
    <n v="172.2"/>
    <n v="112.1"/>
    <n v="134.9"/>
    <n v="128.1"/>
    <n v="140.69999999999999"/>
    <n v="138"/>
    <n v="127.3"/>
    <n v="129.1"/>
    <n v="130.6"/>
    <n v="127"/>
    <n v="116"/>
    <n v="125.5"/>
    <n v="131.9"/>
    <n v="122"/>
    <n v="124.2"/>
    <n v="133.5"/>
    <x v="325"/>
    <x v="128"/>
    <x v="150"/>
    <x v="294"/>
    <x v="282"/>
    <x v="308"/>
    <n v="123.1"/>
  </r>
  <r>
    <s v="Urban"/>
    <n v="2015"/>
    <x v="1"/>
    <n v="123.1"/>
    <n v="131.69999999999999"/>
    <n v="118.1"/>
    <n v="128"/>
    <n v="106.8"/>
    <n v="130.1"/>
    <n v="165.5"/>
    <n v="156"/>
    <n v="85.3"/>
    <n v="132.69999999999999"/>
    <n v="118.8"/>
    <n v="131.69999999999999"/>
    <n v="131.1"/>
    <n v="120.9"/>
    <n v="115.3"/>
    <n v="120"/>
    <n v="116.6"/>
    <n v="109.9"/>
    <n v="117.2"/>
    <n v="126.2"/>
    <n v="112"/>
    <n v="116.2"/>
    <n v="123.2"/>
    <x v="326"/>
    <x v="167"/>
    <x v="28"/>
    <x v="295"/>
    <x v="208"/>
    <x v="309"/>
    <n v="114.1"/>
  </r>
  <r>
    <s v="Rural+Urban"/>
    <n v="2015"/>
    <x v="1"/>
    <n v="124.2"/>
    <n v="131.4"/>
    <n v="120.1"/>
    <n v="128.5"/>
    <n v="111.4"/>
    <n v="132.30000000000001"/>
    <n v="157.6"/>
    <n v="144"/>
    <n v="90.5"/>
    <n v="126.8"/>
    <n v="120.4"/>
    <n v="132.1"/>
    <n v="130.30000000000001"/>
    <n v="120.9"/>
    <n v="120.6"/>
    <n v="122"/>
    <n v="119.4"/>
    <n v="111.7"/>
    <n v="117.8"/>
    <n v="125.1"/>
    <n v="112.3"/>
    <n v="117.2"/>
    <n v="124.8"/>
    <x v="327"/>
    <x v="15"/>
    <x v="133"/>
    <x v="194"/>
    <x v="105"/>
    <x v="310"/>
    <n v="114.75"/>
  </r>
  <r>
    <s v="Rural"/>
    <n v="2015"/>
    <x v="1"/>
    <n v="124.7"/>
    <n v="131.30000000000001"/>
    <n v="121.3"/>
    <n v="128.80000000000001"/>
    <n v="114"/>
    <n v="134.19999999999999"/>
    <n v="153.6"/>
    <n v="137.9"/>
    <n v="93.1"/>
    <n v="123.9"/>
    <n v="121.5"/>
    <n v="132.5"/>
    <n v="129.80000000000001"/>
    <n v="120.9"/>
    <n v="123.8"/>
    <n v="123.7"/>
    <n v="121.1"/>
    <n v="113.6"/>
    <n v="118.5"/>
    <n v="123.6"/>
    <n v="112.5"/>
    <n v="118.2"/>
    <n v="126.1"/>
    <x v="328"/>
    <x v="254"/>
    <x v="112"/>
    <x v="296"/>
    <x v="283"/>
    <x v="311"/>
    <n v="115.35"/>
  </r>
  <r>
    <s v="Rural"/>
    <n v="2014"/>
    <x v="1"/>
    <n v="121.8"/>
    <n v="122.8"/>
    <n v="117.8"/>
    <n v="121.9"/>
    <n v="110.6"/>
    <n v="129.69999999999999"/>
    <n v="161.1"/>
    <n v="114.1"/>
    <n v="105.1"/>
    <n v="114.6"/>
    <n v="115.8"/>
    <n v="121.7"/>
    <n v="125.3"/>
    <n v="115.5"/>
    <n v="115.4"/>
    <n v="115.9"/>
    <n v="114"/>
    <n v="113.2"/>
    <n v="112.2"/>
    <n v="116.2"/>
    <n v="109.4"/>
    <n v="113.5"/>
    <n v="120.7"/>
    <x v="329"/>
    <x v="255"/>
    <x v="149"/>
    <x v="297"/>
    <x v="284"/>
    <x v="312"/>
    <n v="111.45"/>
  </r>
  <r>
    <s v="Rural+Urban"/>
    <n v="2014"/>
    <x v="1"/>
    <n v="122.7"/>
    <n v="124.4"/>
    <n v="117.3"/>
    <n v="122"/>
    <n v="108"/>
    <n v="131.1"/>
    <n v="168.2"/>
    <n v="114.5"/>
    <n v="104.3"/>
    <n v="117.1"/>
    <n v="115.2"/>
    <n v="123.1"/>
    <n v="126.6"/>
    <n v="115.5"/>
    <n v="114"/>
    <n v="115.6"/>
    <n v="113.3"/>
    <n v="112.8"/>
    <n v="112.6"/>
    <n v="118"/>
    <n v="109.9"/>
    <n v="113.7"/>
    <n v="120.3"/>
    <x v="330"/>
    <x v="220"/>
    <x v="24"/>
    <x v="298"/>
    <x v="285"/>
    <x v="313"/>
    <n v="111.80000000000001"/>
  </r>
  <r>
    <s v="Urban"/>
    <n v="2014"/>
    <x v="1"/>
    <n v="124.8"/>
    <n v="127.3"/>
    <n v="116.5"/>
    <n v="122.2"/>
    <n v="103.6"/>
    <n v="132.69999999999999"/>
    <n v="181.9"/>
    <n v="115.2"/>
    <n v="102.7"/>
    <n v="122.1"/>
    <n v="114.4"/>
    <n v="124.7"/>
    <n v="128.9"/>
    <n v="115.5"/>
    <n v="111.8"/>
    <n v="115.3"/>
    <n v="112.2"/>
    <n v="112.5"/>
    <n v="112.9"/>
    <n v="119.2"/>
    <n v="110.5"/>
    <n v="113.9"/>
    <n v="119.9"/>
    <x v="331"/>
    <x v="26"/>
    <x v="234"/>
    <x v="299"/>
    <x v="286"/>
    <x v="314"/>
    <n v="112.2"/>
  </r>
  <r>
    <s v="Rural"/>
    <n v="2013"/>
    <x v="1"/>
    <n v="114.3"/>
    <n v="115.4"/>
    <n v="111.1"/>
    <n v="110"/>
    <n v="106.4"/>
    <n v="110.8"/>
    <n v="138.9"/>
    <n v="107.4"/>
    <n v="104.1"/>
    <n v="106.9"/>
    <n v="109.7"/>
    <n v="112.6"/>
    <n v="114.9"/>
    <n v="108.9"/>
    <n v="109.9"/>
    <n v="108.7"/>
    <n v="107.5"/>
    <n v="107.8"/>
    <n v="106.8"/>
    <n v="108.7"/>
    <n v="105"/>
    <n v="107.5"/>
    <n v="112.1"/>
    <x v="332"/>
    <x v="256"/>
    <x v="235"/>
    <x v="300"/>
    <x v="287"/>
    <x v="315"/>
    <n v="106.25"/>
  </r>
  <r>
    <s v="Rural+Urban"/>
    <n v="2013"/>
    <x v="1"/>
    <n v="115.6"/>
    <n v="117.2"/>
    <n v="111.7"/>
    <n v="109.6"/>
    <n v="104.5"/>
    <n v="109.8"/>
    <n v="151.80000000000001"/>
    <n v="106.5"/>
    <n v="103.1"/>
    <n v="107.4"/>
    <n v="110.2"/>
    <n v="113.4"/>
    <n v="116.6"/>
    <n v="108.9"/>
    <n v="109.7"/>
    <n v="108.7"/>
    <n v="107.5"/>
    <n v="108"/>
    <n v="106.6"/>
    <n v="109.9"/>
    <n v="105.4"/>
    <n v="107.9"/>
    <n v="112.4"/>
    <x v="333"/>
    <x v="58"/>
    <x v="236"/>
    <x v="300"/>
    <x v="287"/>
    <x v="316"/>
    <n v="106.65"/>
  </r>
  <r>
    <s v="Urban"/>
    <n v="2013"/>
    <x v="1"/>
    <n v="118.3"/>
    <n v="120.4"/>
    <n v="112.7"/>
    <n v="108.9"/>
    <n v="101.1"/>
    <n v="108.7"/>
    <n v="177"/>
    <n v="104.7"/>
    <n v="101"/>
    <n v="108.5"/>
    <n v="110.9"/>
    <n v="114.3"/>
    <n v="119.6"/>
    <n v="108.9"/>
    <n v="109.3"/>
    <n v="108.7"/>
    <n v="107.6"/>
    <n v="108.1"/>
    <n v="106.5"/>
    <n v="110.8"/>
    <n v="106"/>
    <n v="108.3"/>
    <n v="112.7"/>
    <x v="334"/>
    <x v="257"/>
    <x v="237"/>
    <x v="300"/>
    <x v="288"/>
    <x v="317"/>
    <n v="107.15"/>
  </r>
  <r>
    <s v="Rural"/>
    <n v="2023"/>
    <x v="12"/>
    <n v="173.3"/>
    <n v="206.9"/>
    <n v="167.9"/>
    <n v="178.2"/>
    <n v="178.5"/>
    <n v="173.7"/>
    <n v="142.80000000000001"/>
    <n v="172.8"/>
    <n v="120.4"/>
    <n v="215.5"/>
    <n v="178.2"/>
    <n v="190.5"/>
    <n v="175.5"/>
    <n v="175.2"/>
    <n v="181.5"/>
    <n v="179.1"/>
    <n v="187.2"/>
    <n v="169.4"/>
    <n v="173.2"/>
    <n v="179.4"/>
    <n v="183.8"/>
    <n v="178.9"/>
    <n v="178.8"/>
    <x v="335"/>
    <x v="258"/>
    <x v="238"/>
    <x v="301"/>
    <x v="289"/>
    <x v="318"/>
    <n v="181.35000000000002"/>
  </r>
  <r>
    <s v="Rural+Urban"/>
    <n v="2023"/>
    <x v="12"/>
    <n v="173.8"/>
    <n v="209.3"/>
    <n v="169.6"/>
    <n v="178.4"/>
    <n v="174.9"/>
    <n v="176.3"/>
    <n v="155.4"/>
    <n v="173.4"/>
    <n v="121.3"/>
    <n v="212.9"/>
    <n v="172.9"/>
    <n v="193.5"/>
    <n v="177.9"/>
    <n v="175.2"/>
    <n v="181.7"/>
    <n v="174.6"/>
    <n v="185"/>
    <n v="164.5"/>
    <n v="170.7"/>
    <n v="176.4"/>
    <n v="184"/>
    <n v="175"/>
    <n v="178.1"/>
    <x v="336"/>
    <x v="259"/>
    <x v="239"/>
    <x v="302"/>
    <x v="290"/>
    <x v="30"/>
    <n v="179.5"/>
  </r>
  <r>
    <s v="Urban"/>
    <n v="2023"/>
    <x v="12"/>
    <n v="174.8"/>
    <n v="213.7"/>
    <n v="172.4"/>
    <n v="178.8"/>
    <n v="168.7"/>
    <n v="179.2"/>
    <n v="179.9"/>
    <n v="174.7"/>
    <n v="123.1"/>
    <n v="207.8"/>
    <n v="165.5"/>
    <n v="197"/>
    <n v="182.1"/>
    <n v="175.2"/>
    <n v="182.1"/>
    <n v="169.6"/>
    <n v="181.5"/>
    <n v="160.1"/>
    <n v="168.8"/>
    <n v="174.2"/>
    <n v="184.4"/>
    <n v="170.9"/>
    <n v="177.4"/>
    <x v="337"/>
    <x v="199"/>
    <x v="189"/>
    <x v="303"/>
    <x v="291"/>
    <x v="263"/>
    <n v="177.65"/>
  </r>
  <r>
    <s v="Rural"/>
    <n v="2022"/>
    <x v="12"/>
    <n v="151.80000000000001"/>
    <n v="209.7"/>
    <n v="164.5"/>
    <n v="163.80000000000001"/>
    <n v="207.4"/>
    <n v="169.7"/>
    <n v="153.6"/>
    <n v="165.1"/>
    <n v="118.2"/>
    <n v="182.9"/>
    <n v="172.4"/>
    <n v="178.9"/>
    <n v="168.6"/>
    <n v="167"/>
    <n v="173.3"/>
    <n v="167.7"/>
    <n v="177"/>
    <n v="166.2"/>
    <n v="167.2"/>
    <n v="170.9"/>
    <n v="169"/>
    <n v="170.2"/>
    <n v="170.8"/>
    <x v="338"/>
    <x v="260"/>
    <x v="240"/>
    <x v="304"/>
    <x v="292"/>
    <x v="319"/>
    <n v="169.6"/>
  </r>
  <r>
    <s v="Rural+Urban"/>
    <n v="2022"/>
    <x v="12"/>
    <n v="152.9"/>
    <n v="211.8"/>
    <n v="164.5"/>
    <n v="163.9"/>
    <n v="199.5"/>
    <n v="172.6"/>
    <n v="166.2"/>
    <n v="164.7"/>
    <n v="119"/>
    <n v="181.3"/>
    <n v="166.2"/>
    <n v="180.9"/>
    <n v="170.8"/>
    <n v="167"/>
    <n v="172.2"/>
    <n v="164"/>
    <n v="174"/>
    <n v="162.6"/>
    <n v="164.4"/>
    <n v="166.9"/>
    <n v="168.8"/>
    <n v="166.8"/>
    <n v="170.1"/>
    <x v="339"/>
    <x v="261"/>
    <x v="241"/>
    <x v="305"/>
    <x v="220"/>
    <x v="320"/>
    <n v="167.8"/>
  </r>
  <r>
    <s v="Urban"/>
    <n v="2022"/>
    <x v="12"/>
    <n v="155.4"/>
    <n v="215.8"/>
    <n v="164.6"/>
    <n v="164.2"/>
    <n v="186"/>
    <n v="175.9"/>
    <n v="190.7"/>
    <n v="164"/>
    <n v="120.5"/>
    <n v="178"/>
    <n v="157.5"/>
    <n v="183.3"/>
    <n v="174.5"/>
    <n v="167"/>
    <n v="170.5"/>
    <n v="159.80000000000001"/>
    <n v="169"/>
    <n v="159.30000000000001"/>
    <n v="162.19999999999999"/>
    <n v="164"/>
    <n v="168.4"/>
    <n v="163.1"/>
    <n v="169.2"/>
    <x v="340"/>
    <x v="262"/>
    <x v="242"/>
    <x v="306"/>
    <x v="293"/>
    <x v="321"/>
    <n v="165.75"/>
  </r>
  <r>
    <s v="Rural"/>
    <n v="2021"/>
    <x v="4"/>
    <n v="146.1"/>
    <n v="202.5"/>
    <n v="170.1"/>
    <n v="158.4"/>
    <n v="198.8"/>
    <n v="152.6"/>
    <n v="170.4"/>
    <n v="165.2"/>
    <n v="121.6"/>
    <n v="170.6"/>
    <n v="168.8"/>
    <n v="173.6"/>
    <n v="165.5"/>
    <n v="156.5"/>
    <n v="165.5"/>
    <n v="162"/>
    <n v="172.5"/>
    <n v="159.5"/>
    <n v="163.19999999999999"/>
    <n v="169"/>
    <n v="161.1"/>
    <n v="164.7"/>
    <n v="166.3"/>
    <x v="213"/>
    <x v="263"/>
    <x v="160"/>
    <x v="307"/>
    <x v="294"/>
    <x v="322"/>
    <n v="162.89999999999998"/>
  </r>
  <r>
    <s v="Rural+Urban"/>
    <n v="2021"/>
    <x v="4"/>
    <n v="147.4"/>
    <n v="204.6"/>
    <n v="171.2"/>
    <n v="158.69999999999999"/>
    <n v="190.6"/>
    <n v="155.69999999999999"/>
    <n v="185.3"/>
    <n v="165.2"/>
    <n v="121.9"/>
    <n v="169.3"/>
    <n v="163.19999999999999"/>
    <n v="174.7"/>
    <n v="167.7"/>
    <n v="163.6"/>
    <n v="164.2"/>
    <n v="158.4"/>
    <n v="169.1"/>
    <n v="155.69999999999999"/>
    <n v="158.6"/>
    <n v="163.9"/>
    <n v="160.80000000000001"/>
    <n v="161"/>
    <n v="165.5"/>
    <x v="341"/>
    <x v="176"/>
    <x v="190"/>
    <x v="308"/>
    <x v="270"/>
    <x v="323"/>
    <n v="160.9"/>
  </r>
  <r>
    <s v="Urban"/>
    <n v="2021"/>
    <x v="4"/>
    <n v="150.1"/>
    <n v="208.4"/>
    <n v="173"/>
    <n v="159.19999999999999"/>
    <n v="176.6"/>
    <n v="159.30000000000001"/>
    <n v="214.4"/>
    <n v="165.3"/>
    <n v="122.5"/>
    <n v="166.8"/>
    <n v="155.4"/>
    <n v="175.9"/>
    <n v="171.5"/>
    <n v="163.6"/>
    <n v="162.19999999999999"/>
    <n v="154.30000000000001"/>
    <n v="163.5"/>
    <n v="152.19999999999999"/>
    <n v="155.1"/>
    <n v="160.30000000000001"/>
    <n v="160.30000000000001"/>
    <n v="157"/>
    <n v="164.6"/>
    <x v="342"/>
    <x v="264"/>
    <x v="243"/>
    <x v="309"/>
    <x v="295"/>
    <x v="324"/>
    <n v="158.65"/>
  </r>
  <r>
    <s v="Rural"/>
    <n v="2021"/>
    <x v="0"/>
    <n v="145.4"/>
    <n v="202.1"/>
    <n v="172"/>
    <n v="158"/>
    <n v="195.5"/>
    <n v="152.69999999999999"/>
    <n v="151.4"/>
    <n v="163.9"/>
    <n v="119.3"/>
    <n v="170.1"/>
    <n v="168.3"/>
    <n v="172.8"/>
    <n v="162.1"/>
    <n v="156.30000000000001"/>
    <n v="163.69999999999999"/>
    <n v="161.30000000000001"/>
    <n v="171.9"/>
    <n v="157.80000000000001"/>
    <n v="162.69999999999999"/>
    <n v="168.5"/>
    <n v="160.19999999999999"/>
    <n v="163.80000000000001"/>
    <n v="164"/>
    <x v="343"/>
    <x v="265"/>
    <x v="244"/>
    <x v="310"/>
    <x v="296"/>
    <x v="325"/>
    <n v="162"/>
  </r>
  <r>
    <s v="Rural+Urban"/>
    <n v="2021"/>
    <x v="0"/>
    <n v="146.6"/>
    <n v="204"/>
    <n v="172.8"/>
    <n v="158.4"/>
    <n v="188"/>
    <n v="156.69999999999999"/>
    <n v="162.30000000000001"/>
    <n v="164.1"/>
    <n v="119.7"/>
    <n v="168.8"/>
    <n v="162.69999999999999"/>
    <n v="173.9"/>
    <n v="164"/>
    <n v="162.1"/>
    <n v="162.6"/>
    <n v="157.5"/>
    <n v="168.4"/>
    <n v="154"/>
    <n v="157.69999999999999"/>
    <n v="163.69999999999999"/>
    <n v="160"/>
    <n v="160"/>
    <n v="163.19999999999999"/>
    <x v="249"/>
    <x v="204"/>
    <x v="187"/>
    <x v="232"/>
    <x v="218"/>
    <x v="237"/>
    <n v="160"/>
  </r>
  <r>
    <s v="Urban"/>
    <n v="2021"/>
    <x v="0"/>
    <n v="149.30000000000001"/>
    <n v="207.4"/>
    <n v="174.1"/>
    <n v="159.1"/>
    <n v="175"/>
    <n v="161.19999999999999"/>
    <n v="183.5"/>
    <n v="164.5"/>
    <n v="120.4"/>
    <n v="166.2"/>
    <n v="154.80000000000001"/>
    <n v="175.1"/>
    <n v="167.3"/>
    <n v="162.1"/>
    <n v="160.80000000000001"/>
    <n v="153.30000000000001"/>
    <n v="162.80000000000001"/>
    <n v="150.5"/>
    <n v="153.9"/>
    <n v="160.30000000000001"/>
    <n v="159.6"/>
    <n v="156"/>
    <n v="162.30000000000001"/>
    <x v="250"/>
    <x v="266"/>
    <x v="245"/>
    <x v="311"/>
    <x v="219"/>
    <x v="326"/>
    <n v="157.80000000000001"/>
  </r>
  <r>
    <s v="Urban"/>
    <n v="2018"/>
    <x v="12"/>
    <n v="135"/>
    <n v="144.30000000000001"/>
    <n v="130.80000000000001"/>
    <n v="140.30000000000001"/>
    <n v="116.6"/>
    <n v="150.1"/>
    <n v="127.6"/>
    <n v="114"/>
    <n v="110.6"/>
    <n v="140.19999999999999"/>
    <n v="126.5"/>
    <n v="148.30000000000001"/>
    <n v="135.69999999999999"/>
    <n v="142.9"/>
    <n v="124.6"/>
    <n v="131.80000000000001"/>
    <n v="131.30000000000001"/>
    <n v="118.9"/>
    <n v="127.6"/>
    <n v="139.69999999999999"/>
    <n v="127.6"/>
    <n v="128.19999999999999"/>
    <n v="134.80000000000001"/>
    <x v="344"/>
    <x v="267"/>
    <x v="246"/>
    <x v="312"/>
    <x v="45"/>
    <x v="327"/>
    <n v="127.89999999999999"/>
  </r>
  <r>
    <s v="Rural+Urban"/>
    <n v="2018"/>
    <x v="12"/>
    <n v="136.4"/>
    <n v="144.4"/>
    <n v="133.9"/>
    <n v="141.6"/>
    <n v="121"/>
    <n v="153.5"/>
    <n v="132.6"/>
    <n v="123.5"/>
    <n v="113.7"/>
    <n v="138.19999999999999"/>
    <n v="129.6"/>
    <n v="151.19999999999999"/>
    <n v="137.5"/>
    <n v="142.9"/>
    <n v="136.5"/>
    <n v="136.6"/>
    <n v="135.19999999999999"/>
    <n v="121.9"/>
    <n v="131.30000000000001"/>
    <n v="141.4"/>
    <n v="129.19999999999999"/>
    <n v="131.30000000000001"/>
    <n v="137.1"/>
    <x v="345"/>
    <x v="126"/>
    <x v="247"/>
    <x v="313"/>
    <x v="297"/>
    <x v="328"/>
    <n v="130.25"/>
  </r>
  <r>
    <s v="Rural"/>
    <n v="2018"/>
    <x v="12"/>
    <n v="137.1"/>
    <n v="144.5"/>
    <n v="135.9"/>
    <n v="142.4"/>
    <n v="123.5"/>
    <n v="156.4"/>
    <n v="135.1"/>
    <n v="128.4"/>
    <n v="115.2"/>
    <n v="137.19999999999999"/>
    <n v="131.9"/>
    <n v="153.80000000000001"/>
    <n v="138.6"/>
    <n v="142.9"/>
    <n v="143.80000000000001"/>
    <n v="140.9"/>
    <n v="137.6"/>
    <n v="125.3"/>
    <n v="136"/>
    <n v="143.69999999999999"/>
    <n v="130.4"/>
    <n v="134.19999999999999"/>
    <n v="139.1"/>
    <x v="346"/>
    <x v="268"/>
    <x v="248"/>
    <x v="314"/>
    <x v="298"/>
    <x v="65"/>
    <n v="132.30000000000001"/>
  </r>
  <r>
    <s v="Urban"/>
    <n v="2017"/>
    <x v="12"/>
    <n v="132.69999999999999"/>
    <n v="140.6"/>
    <n v="124.5"/>
    <n v="136.30000000000001"/>
    <n v="113.5"/>
    <n v="137.69999999999999"/>
    <n v="127.1"/>
    <n v="133.80000000000001"/>
    <n v="120.8"/>
    <n v="141.30000000000001"/>
    <n v="123.8"/>
    <n v="142.6"/>
    <n v="133.4"/>
    <n v="131.69999999999999"/>
    <n v="121.4"/>
    <n v="126"/>
    <n v="123.4"/>
    <n v="114.3"/>
    <n v="122.6"/>
    <n v="133.6"/>
    <n v="122.2"/>
    <n v="122.5"/>
    <n v="129.1"/>
    <x v="347"/>
    <x v="269"/>
    <x v="19"/>
    <x v="74"/>
    <x v="299"/>
    <x v="329"/>
    <n v="122.35"/>
  </r>
  <r>
    <s v="Rural+Urban"/>
    <n v="2017"/>
    <x v="12"/>
    <n v="133"/>
    <n v="139.4"/>
    <n v="126.1"/>
    <n v="137.19999999999999"/>
    <n v="118.4"/>
    <n v="139.9"/>
    <n v="123.4"/>
    <n v="140.9"/>
    <n v="118.5"/>
    <n v="136.5"/>
    <n v="127.4"/>
    <n v="144.19999999999999"/>
    <n v="133.5"/>
    <n v="131.69999999999999"/>
    <n v="129.80000000000001"/>
    <n v="130.4"/>
    <n v="128.1"/>
    <n v="116.6"/>
    <n v="125.1"/>
    <n v="134.5"/>
    <n v="123.1"/>
    <n v="125.1"/>
    <n v="131.1"/>
    <x v="348"/>
    <x v="49"/>
    <x v="249"/>
    <x v="290"/>
    <x v="300"/>
    <x v="330"/>
    <n v="124.1"/>
  </r>
  <r>
    <s v="Rural"/>
    <n v="2017"/>
    <x v="12"/>
    <n v="133.19999999999999"/>
    <n v="138.69999999999999"/>
    <n v="127.1"/>
    <n v="137.69999999999999"/>
    <n v="121.3"/>
    <n v="141.80000000000001"/>
    <n v="121.5"/>
    <n v="144.5"/>
    <n v="117.4"/>
    <n v="134.1"/>
    <n v="130"/>
    <n v="145.5"/>
    <n v="133.5"/>
    <n v="131.69999999999999"/>
    <n v="135"/>
    <n v="134.30000000000001"/>
    <n v="131"/>
    <n v="119.2"/>
    <n v="128.30000000000001"/>
    <n v="135.69999999999999"/>
    <n v="123.7"/>
    <n v="127.5"/>
    <n v="132.9"/>
    <x v="349"/>
    <x v="100"/>
    <x v="11"/>
    <x v="315"/>
    <x v="301"/>
    <x v="331"/>
    <n v="125.6"/>
  </r>
  <r>
    <s v="Urban"/>
    <n v="2016"/>
    <x v="12"/>
    <n v="124.9"/>
    <n v="139.30000000000001"/>
    <n v="119.9"/>
    <n v="130.19999999999999"/>
    <n v="108.9"/>
    <n v="131.1"/>
    <n v="136.80000000000001"/>
    <n v="176.9"/>
    <n v="109.1"/>
    <n v="140.4"/>
    <n v="121.1"/>
    <n v="135.9"/>
    <n v="131.80000000000001"/>
    <n v="125.6"/>
    <n v="114.6"/>
    <n v="122.8"/>
    <n v="120"/>
    <n v="110"/>
    <n v="119.5"/>
    <n v="127.6"/>
    <n v="117.6"/>
    <n v="118.2"/>
    <n v="125.3"/>
    <x v="350"/>
    <x v="270"/>
    <x v="250"/>
    <x v="316"/>
    <x v="302"/>
    <x v="332"/>
    <n v="117.9"/>
  </r>
  <r>
    <s v="Rural+Urban"/>
    <n v="2016"/>
    <x v="12"/>
    <n v="126.6"/>
    <n v="136.80000000000001"/>
    <n v="122"/>
    <n v="130.9"/>
    <n v="114.8"/>
    <n v="134.80000000000001"/>
    <n v="135"/>
    <n v="167.5"/>
    <n v="106.4"/>
    <n v="134.4"/>
    <n v="123.6"/>
    <n v="136.69999999999999"/>
    <n v="131.80000000000001"/>
    <n v="125.6"/>
    <n v="122.3"/>
    <n v="125.5"/>
    <n v="123.2"/>
    <n v="112.1"/>
    <n v="121.1"/>
    <n v="127.7"/>
    <n v="118.1"/>
    <n v="120"/>
    <n v="127.3"/>
    <x v="351"/>
    <x v="271"/>
    <x v="251"/>
    <x v="317"/>
    <x v="303"/>
    <x v="333"/>
    <n v="119.05"/>
  </r>
  <r>
    <s v="Rural"/>
    <n v="2016"/>
    <x v="12"/>
    <n v="127.4"/>
    <n v="135.4"/>
    <n v="123.4"/>
    <n v="131.30000000000001"/>
    <n v="118.2"/>
    <n v="138.1"/>
    <n v="134.1"/>
    <n v="162.69999999999999"/>
    <n v="105"/>
    <n v="131.4"/>
    <n v="125.4"/>
    <n v="137.4"/>
    <n v="131.80000000000001"/>
    <n v="125.6"/>
    <n v="127"/>
    <n v="128"/>
    <n v="125.2"/>
    <n v="114.4"/>
    <n v="123.2"/>
    <n v="127.9"/>
    <n v="118.4"/>
    <n v="121.7"/>
    <n v="129"/>
    <x v="352"/>
    <x v="38"/>
    <x v="252"/>
    <x v="318"/>
    <x v="304"/>
    <x v="192"/>
    <n v="120.05000000000001"/>
  </r>
  <r>
    <s v="Rural"/>
    <n v="2015"/>
    <x v="12"/>
    <n v="123.3"/>
    <n v="125.5"/>
    <n v="117.2"/>
    <n v="126.8"/>
    <n v="111.9"/>
    <n v="134.19999999999999"/>
    <n v="127.5"/>
    <n v="121.5"/>
    <n v="97.8"/>
    <n v="119.8"/>
    <n v="119.4"/>
    <n v="128.69999999999999"/>
    <n v="123.6"/>
    <n v="119.2"/>
    <n v="121.2"/>
    <n v="120.9"/>
    <n v="118.6"/>
    <n v="111.9"/>
    <n v="116.2"/>
    <n v="119.9"/>
    <n v="111.6"/>
    <n v="116"/>
    <n v="121.5"/>
    <x v="353"/>
    <x v="272"/>
    <x v="253"/>
    <x v="319"/>
    <x v="258"/>
    <x v="334"/>
    <n v="113.8"/>
  </r>
  <r>
    <s v="Rural+Urban"/>
    <n v="2015"/>
    <x v="12"/>
    <n v="123.5"/>
    <n v="126.4"/>
    <n v="114.4"/>
    <n v="126.6"/>
    <n v="109.2"/>
    <n v="132.5"/>
    <n v="128.6"/>
    <n v="124.8"/>
    <n v="95.7"/>
    <n v="122.4"/>
    <n v="118.5"/>
    <n v="129.1"/>
    <n v="124"/>
    <n v="119.2"/>
    <n v="118.7"/>
    <n v="119.7"/>
    <n v="117.1"/>
    <n v="110.1"/>
    <n v="115.9"/>
    <n v="121"/>
    <n v="111.7"/>
    <n v="115.1"/>
    <n v="120.7"/>
    <x v="354"/>
    <x v="273"/>
    <x v="215"/>
    <x v="320"/>
    <x v="21"/>
    <x v="335"/>
    <n v="113.4"/>
  </r>
  <r>
    <s v="Urban"/>
    <n v="2015"/>
    <x v="12"/>
    <n v="123.8"/>
    <n v="128.19999999999999"/>
    <n v="110"/>
    <n v="126.3"/>
    <n v="104.5"/>
    <n v="130.6"/>
    <n v="130.80000000000001"/>
    <n v="131.30000000000001"/>
    <n v="91.6"/>
    <n v="127.7"/>
    <n v="117.2"/>
    <n v="129.5"/>
    <n v="124.6"/>
    <n v="119.2"/>
    <n v="114.7"/>
    <n v="118.4"/>
    <n v="114.6"/>
    <n v="108.4"/>
    <n v="115.6"/>
    <n v="121.7"/>
    <n v="111.8"/>
    <n v="114.2"/>
    <n v="119.7"/>
    <x v="355"/>
    <x v="54"/>
    <x v="114"/>
    <x v="321"/>
    <x v="305"/>
    <x v="336"/>
    <n v="113"/>
  </r>
  <r>
    <s v="Rural"/>
    <n v="2014"/>
    <x v="12"/>
    <n v="120.2"/>
    <n v="118.9"/>
    <n v="118.1"/>
    <n v="117"/>
    <n v="109.7"/>
    <n v="125.5"/>
    <n v="120.5"/>
    <n v="111"/>
    <n v="102.6"/>
    <n v="111.2"/>
    <n v="113.5"/>
    <n v="118.7"/>
    <n v="117.2"/>
    <n v="113.9"/>
    <n v="113.4"/>
    <n v="113.7"/>
    <n v="111.8"/>
    <n v="111.2"/>
    <n v="110.5"/>
    <n v="113"/>
    <n v="108.9"/>
    <n v="111.5"/>
    <n v="115.4"/>
    <x v="356"/>
    <x v="106"/>
    <x v="26"/>
    <x v="322"/>
    <x v="108"/>
    <x v="337"/>
    <n v="110.2"/>
  </r>
  <r>
    <s v="Rural+Urban"/>
    <n v="2014"/>
    <x v="12"/>
    <n v="120.9"/>
    <n v="119.9"/>
    <n v="116.2"/>
    <n v="117"/>
    <n v="107.3"/>
    <n v="126.1"/>
    <n v="120.7"/>
    <n v="111"/>
    <n v="101.8"/>
    <n v="112.6"/>
    <n v="113.2"/>
    <n v="119.8"/>
    <n v="117.6"/>
    <n v="113.9"/>
    <n v="112.5"/>
    <n v="113.6"/>
    <n v="111.5"/>
    <n v="111.2"/>
    <n v="110.9"/>
    <n v="112.7"/>
    <n v="109"/>
    <n v="111.5"/>
    <n v="115.1"/>
    <x v="357"/>
    <x v="107"/>
    <x v="26"/>
    <x v="323"/>
    <x v="186"/>
    <x v="338"/>
    <n v="110.25"/>
  </r>
  <r>
    <s v="Urban"/>
    <n v="2014"/>
    <x v="12"/>
    <n v="122.5"/>
    <n v="121.7"/>
    <n v="113.3"/>
    <n v="117"/>
    <n v="103.1"/>
    <n v="126.7"/>
    <n v="121.2"/>
    <n v="111"/>
    <n v="100.3"/>
    <n v="115.3"/>
    <n v="112.7"/>
    <n v="121"/>
    <n v="118.2"/>
    <n v="113.9"/>
    <n v="110.9"/>
    <n v="113.4"/>
    <n v="111"/>
    <n v="111.2"/>
    <n v="111.2"/>
    <n v="112.5"/>
    <n v="109.1"/>
    <n v="111.4"/>
    <n v="114.7"/>
    <x v="358"/>
    <x v="57"/>
    <x v="26"/>
    <x v="324"/>
    <x v="306"/>
    <x v="339"/>
    <n v="110.25"/>
  </r>
  <r>
    <s v="Rural"/>
    <n v="2013"/>
    <x v="12"/>
    <n v="110.2"/>
    <n v="109.5"/>
    <n v="106.9"/>
    <n v="106.3"/>
    <n v="105.7"/>
    <n v="108.3"/>
    <n v="103.4"/>
    <n v="105.7"/>
    <n v="104.2"/>
    <n v="103.2"/>
    <n v="106.5"/>
    <n v="108.8"/>
    <n v="107.1"/>
    <n v="100.5"/>
    <n v="106.5"/>
    <n v="106.1"/>
    <n v="105.1"/>
    <n v="104.4"/>
    <n v="104.5"/>
    <n v="104.8"/>
    <n v="102.7"/>
    <n v="104.6"/>
    <n v="106.4"/>
    <x v="359"/>
    <x v="274"/>
    <x v="201"/>
    <x v="325"/>
    <x v="307"/>
    <x v="340"/>
    <n v="103.65"/>
  </r>
  <r>
    <s v="Rural+Urban"/>
    <n v="2013"/>
    <x v="12"/>
    <n v="111.6"/>
    <n v="110.9"/>
    <n v="106.6"/>
    <n v="105.7"/>
    <n v="104.4"/>
    <n v="108.9"/>
    <n v="105.5"/>
    <n v="105.3"/>
    <n v="103.5"/>
    <n v="103.3"/>
    <n v="107.2"/>
    <n v="109.6"/>
    <n v="107.7"/>
    <n v="100.5"/>
    <n v="106.5"/>
    <n v="106.3"/>
    <n v="105.3"/>
    <n v="104.7"/>
    <n v="104.2"/>
    <n v="105"/>
    <n v="102.9"/>
    <n v="104.8"/>
    <n v="106.1"/>
    <x v="360"/>
    <x v="274"/>
    <x v="254"/>
    <x v="326"/>
    <x v="308"/>
    <x v="341"/>
    <n v="103.85"/>
  </r>
  <r>
    <s v="Urban"/>
    <n v="2013"/>
    <x v="12"/>
    <n v="114.6"/>
    <n v="113.4"/>
    <n v="106"/>
    <n v="104.7"/>
    <n v="102.1"/>
    <n v="109.5"/>
    <n v="109.7"/>
    <n v="104.6"/>
    <n v="102"/>
    <n v="103.5"/>
    <n v="108.2"/>
    <n v="110.6"/>
    <n v="108.8"/>
    <n v="100.5"/>
    <n v="106.4"/>
    <n v="106.5"/>
    <n v="105.7"/>
    <n v="105"/>
    <n v="104"/>
    <n v="105.2"/>
    <n v="103.2"/>
    <n v="105.1"/>
    <n v="105.7"/>
    <x v="361"/>
    <x v="275"/>
    <x v="136"/>
    <x v="327"/>
    <x v="110"/>
    <x v="341"/>
    <n v="104.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0"/>
  </r>
  <r>
    <x v="1"/>
    <x v="1"/>
  </r>
  <r>
    <x v="2"/>
    <x v="2"/>
  </r>
  <r>
    <x v="3"/>
    <x v="3"/>
  </r>
  <r>
    <x v="0"/>
    <x v="0"/>
  </r>
  <r>
    <x v="0"/>
    <x v="0"/>
  </r>
  <r>
    <x v="0"/>
    <x v="0"/>
  </r>
  <r>
    <x v="0"/>
    <x v="0"/>
  </r>
  <r>
    <x v="4"/>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s v="September"/>
    <n v="162.9"/>
    <n v="206.7"/>
    <n v="169"/>
    <n v="169.5"/>
    <n v="194.1"/>
    <n v="164.1"/>
    <n v="176.9"/>
    <n v="169"/>
    <n v="120.8"/>
    <n v="199.1"/>
    <n v="175.4"/>
    <n v="184.8"/>
    <n v="175.5"/>
    <n v="162.1"/>
    <n v="179.7"/>
    <n v="173.6"/>
    <n v="180.2"/>
    <n v="166.9"/>
    <n v="170"/>
    <n v="176.2"/>
    <n v="170.8"/>
    <n v="173.1"/>
    <n v="176.4"/>
    <n v="174.44615384615386"/>
    <n v="179.7"/>
    <n v="166.9"/>
    <n v="167.85"/>
    <n v="180.2"/>
    <n v="173.1"/>
    <n v="171.95"/>
  </r>
  <r>
    <s v="Rural+Urban"/>
    <x v="0"/>
    <s v="September"/>
    <n v="163.5"/>
    <n v="209.2"/>
    <n v="169.7"/>
    <n v="169.7"/>
    <n v="188.7"/>
    <n v="165.7"/>
    <n v="191.8"/>
    <n v="169.1"/>
    <n v="121.6"/>
    <n v="197.3"/>
    <n v="169.4"/>
    <n v="187.4"/>
    <n v="177.8"/>
    <n v="169.5"/>
    <n v="179.5"/>
    <n v="169.5"/>
    <n v="177.8"/>
    <n v="162.30000000000001"/>
    <n v="167.6"/>
    <n v="173.1"/>
    <n v="170.9"/>
    <n v="169.7"/>
    <n v="175.3"/>
    <n v="175.45384615384617"/>
    <n v="179.5"/>
    <n v="162.30000000000001"/>
    <n v="169.5"/>
    <n v="177.8"/>
    <n v="170.35"/>
    <n v="170.3"/>
  </r>
  <r>
    <s v="Urban"/>
    <x v="0"/>
    <s v="September"/>
    <n v="164.9"/>
    <n v="213.7"/>
    <n v="170.9"/>
    <n v="170.1"/>
    <n v="179.3"/>
    <n v="167.5"/>
    <n v="220.8"/>
    <n v="169.2"/>
    <n v="123.1"/>
    <n v="193.6"/>
    <n v="161.1"/>
    <n v="190.4"/>
    <n v="181.8"/>
    <n v="169.5"/>
    <n v="179.2"/>
    <n v="165"/>
    <n v="173.8"/>
    <n v="158.19999999999999"/>
    <n v="165.8"/>
    <n v="170.9"/>
    <n v="171.1"/>
    <n v="166.1"/>
    <n v="174.1"/>
    <n v="177.41538461538462"/>
    <n v="179.2"/>
    <n v="158.19999999999999"/>
    <n v="167.25"/>
    <n v="173.8"/>
    <n v="168.35000000000002"/>
    <n v="168.6"/>
  </r>
  <r>
    <s v="Rural"/>
    <x v="1"/>
    <s v="August"/>
    <n v="139.19999999999999"/>
    <n v="161.9"/>
    <n v="137.1"/>
    <n v="144.6"/>
    <n v="124.7"/>
    <n v="145.5"/>
    <n v="156.19999999999999"/>
    <n v="131.5"/>
    <n v="111.7"/>
    <n v="142.69999999999999"/>
    <n v="138.5"/>
    <n v="156.9"/>
    <n v="144"/>
    <n v="151.6"/>
    <n v="146.4"/>
    <n v="150.19999999999999"/>
    <n v="152.69999999999999"/>
    <n v="131.4"/>
    <n v="148"/>
    <n v="159.69999999999999"/>
    <n v="138.80000000000001"/>
    <n v="144.9"/>
    <n v="145.69999999999999"/>
    <n v="141.11538461538464"/>
    <n v="146.4"/>
    <n v="131.4"/>
    <n v="150.89999999999998"/>
    <n v="152.69999999999999"/>
    <n v="153.85"/>
    <n v="141.85000000000002"/>
  </r>
  <r>
    <s v="Rural+Urban"/>
    <x v="1"/>
    <s v="August"/>
    <n v="140.1"/>
    <n v="160.6"/>
    <n v="138.5"/>
    <n v="144.69999999999999"/>
    <n v="122.9"/>
    <n v="149.4"/>
    <n v="167.4"/>
    <n v="130.9"/>
    <n v="112"/>
    <n v="142.6"/>
    <n v="134.9"/>
    <n v="156.6"/>
    <n v="145.9"/>
    <n v="151.6"/>
    <n v="138.5"/>
    <n v="144.5"/>
    <n v="148.5"/>
    <n v="125.8"/>
    <n v="140.9"/>
    <n v="154.9"/>
    <n v="138.4"/>
    <n v="140.19999999999999"/>
    <n v="145"/>
    <n v="142.03846153846155"/>
    <n v="138.5"/>
    <n v="125.8"/>
    <n v="148.05000000000001"/>
    <n v="148.5"/>
    <n v="147.9"/>
    <n v="139.30000000000001"/>
  </r>
  <r>
    <s v="Urban"/>
    <x v="1"/>
    <s v="August"/>
    <n v="142.1"/>
    <n v="158.30000000000001"/>
    <n v="140.80000000000001"/>
    <n v="144.9"/>
    <n v="119.9"/>
    <n v="153.9"/>
    <n v="189.1"/>
    <n v="129.80000000000001"/>
    <n v="112.7"/>
    <n v="142.5"/>
    <n v="129.80000000000001"/>
    <n v="156.19999999999999"/>
    <n v="149.1"/>
    <n v="151.6"/>
    <n v="125.5"/>
    <n v="138.1"/>
    <n v="141.5"/>
    <n v="120.8"/>
    <n v="135.4"/>
    <n v="151.5"/>
    <n v="137.80000000000001"/>
    <n v="135.30000000000001"/>
    <n v="144.19999999999999"/>
    <n v="143.77692307692308"/>
    <n v="125.5"/>
    <n v="120.8"/>
    <n v="144.85"/>
    <n v="141.5"/>
    <n v="143.44999999999999"/>
    <n v="136.55000000000001"/>
  </r>
  <r>
    <s v="Rural"/>
    <x v="1"/>
    <s v="December"/>
    <n v="142.80000000000001"/>
    <n v="165.3"/>
    <n v="149.5"/>
    <n v="148.69999999999999"/>
    <n v="127.5"/>
    <n v="144.30000000000001"/>
    <n v="209.5"/>
    <n v="138.80000000000001"/>
    <n v="113.6"/>
    <n v="149.1"/>
    <n v="139.30000000000001"/>
    <n v="158.30000000000001"/>
    <n v="154.30000000000001"/>
    <n v="152.80000000000001"/>
    <n v="149.9"/>
    <n v="151.19999999999999"/>
    <n v="154.80000000000001"/>
    <n v="135"/>
    <n v="149.5"/>
    <n v="161.1"/>
    <n v="140.6"/>
    <n v="147.1"/>
    <n v="152.30000000000001"/>
    <n v="149.30769230769226"/>
    <n v="149.9"/>
    <n v="135"/>
    <n v="152"/>
    <n v="154.80000000000001"/>
    <n v="155.30000000000001"/>
    <n v="143.85"/>
  </r>
  <r>
    <s v="Rural+Urban"/>
    <x v="1"/>
    <s v="December"/>
    <n v="143.5"/>
    <n v="165"/>
    <n v="151.1"/>
    <n v="148.30000000000001"/>
    <n v="125.7"/>
    <n v="145.69999999999999"/>
    <n v="217"/>
    <n v="138.30000000000001"/>
    <n v="114"/>
    <n v="148.69999999999999"/>
    <n v="135.80000000000001"/>
    <n v="158"/>
    <n v="155"/>
    <n v="152.80000000000001"/>
    <n v="143.69999999999999"/>
    <n v="145.80000000000001"/>
    <n v="150.4"/>
    <n v="129.80000000000001"/>
    <n v="142.30000000000001"/>
    <n v="155.69999999999999"/>
    <n v="140.4"/>
    <n v="142.5"/>
    <n v="150.4"/>
    <n v="149.70000000000002"/>
    <n v="143.69999999999999"/>
    <n v="129.80000000000001"/>
    <n v="149.30000000000001"/>
    <n v="150.4"/>
    <n v="149"/>
    <n v="141.44999999999999"/>
  </r>
  <r>
    <s v="Urban"/>
    <x v="1"/>
    <s v="December"/>
    <n v="144.9"/>
    <n v="164.5"/>
    <n v="153.69999999999999"/>
    <n v="147.5"/>
    <n v="122.7"/>
    <n v="147.19999999999999"/>
    <n v="231.5"/>
    <n v="137.19999999999999"/>
    <n v="114.7"/>
    <n v="148"/>
    <n v="130.80000000000001"/>
    <n v="157.69999999999999"/>
    <n v="156.30000000000001"/>
    <n v="152.80000000000001"/>
    <n v="133.6"/>
    <n v="139.80000000000001"/>
    <n v="143.19999999999999"/>
    <n v="125.2"/>
    <n v="136.80000000000001"/>
    <n v="151.9"/>
    <n v="140.19999999999999"/>
    <n v="137.69999999999999"/>
    <n v="148.30000000000001"/>
    <n v="150.51538461538462"/>
    <n v="133.6"/>
    <n v="125.2"/>
    <n v="146.30000000000001"/>
    <n v="143.19999999999999"/>
    <n v="144.35000000000002"/>
    <n v="138.94999999999999"/>
  </r>
  <r>
    <s v="Rural"/>
    <x v="1"/>
    <s v="February"/>
    <n v="136.80000000000001"/>
    <n v="153"/>
    <n v="139.1"/>
    <n v="142.5"/>
    <n v="124.1"/>
    <n v="135.80000000000001"/>
    <n v="128.69999999999999"/>
    <n v="121.5"/>
    <n v="108.3"/>
    <n v="139.19999999999999"/>
    <n v="137.4"/>
    <n v="156.19999999999999"/>
    <n v="137.19999999999999"/>
    <n v="148.5"/>
    <n v="145.30000000000001"/>
    <n v="150.1"/>
    <n v="149.9"/>
    <n v="129.19999999999999"/>
    <n v="143.4"/>
    <n v="155.5"/>
    <n v="134.9"/>
    <n v="142.19999999999999"/>
    <n v="141"/>
    <n v="135.3692307692308"/>
    <n v="145.30000000000001"/>
    <n v="129.19999999999999"/>
    <n v="149.30000000000001"/>
    <n v="149.9"/>
    <n v="149.44999999999999"/>
    <n v="138.55000000000001"/>
  </r>
  <r>
    <s v="Rural+Urban"/>
    <x v="1"/>
    <s v="February"/>
    <n v="137.6"/>
    <n v="152"/>
    <n v="141.5"/>
    <n v="142.19999999999999"/>
    <n v="122"/>
    <n v="136.4"/>
    <n v="129.69999999999999"/>
    <n v="121"/>
    <n v="109"/>
    <n v="139.69999999999999"/>
    <n v="133.6"/>
    <n v="154.9"/>
    <n v="137.5"/>
    <n v="148.5"/>
    <n v="138.4"/>
    <n v="143.69999999999999"/>
    <n v="145.6"/>
    <n v="123.9"/>
    <n v="137.1"/>
    <n v="150.30000000000001"/>
    <n v="134.1"/>
    <n v="137.4"/>
    <n v="139.9"/>
    <n v="135.16153846153844"/>
    <n v="138.4"/>
    <n v="123.9"/>
    <n v="146.1"/>
    <n v="145.6"/>
    <n v="143.69999999999999"/>
    <n v="135.75"/>
  </r>
  <r>
    <s v="Urban"/>
    <x v="1"/>
    <s v="February"/>
    <n v="139.4"/>
    <n v="150.1"/>
    <n v="145.30000000000001"/>
    <n v="141.69999999999999"/>
    <n v="118.4"/>
    <n v="137"/>
    <n v="131.6"/>
    <n v="119.9"/>
    <n v="110.4"/>
    <n v="140.80000000000001"/>
    <n v="128.30000000000001"/>
    <n v="153.5"/>
    <n v="138"/>
    <n v="148.5"/>
    <n v="127.1"/>
    <n v="136.6"/>
    <n v="138.5"/>
    <n v="119.2"/>
    <n v="132.19999999999999"/>
    <n v="146.6"/>
    <n v="133"/>
    <n v="132.4"/>
    <n v="138.6"/>
    <n v="134.95384615384617"/>
    <n v="127.1"/>
    <n v="119.2"/>
    <n v="142.55000000000001"/>
    <n v="138.5"/>
    <n v="139.39999999999998"/>
    <n v="132.69999999999999"/>
  </r>
  <r>
    <s v="Urban"/>
    <x v="2"/>
    <s v="September"/>
    <n v="137"/>
    <n v="143.1"/>
    <n v="132.80000000000001"/>
    <n v="141.5"/>
    <n v="117.8"/>
    <n v="140"/>
    <n v="151.30000000000001"/>
    <n v="113.5"/>
    <n v="112.3"/>
    <n v="141.19999999999999"/>
    <n v="127.7"/>
    <n v="151.30000000000001"/>
    <n v="138.9"/>
    <n v="145.30000000000001"/>
    <n v="131.19999999999999"/>
    <n v="134.9"/>
    <n v="135.69999999999999"/>
    <n v="122.5"/>
    <n v="130.19999999999999"/>
    <n v="145.19999999999999"/>
    <n v="129.30000000000001"/>
    <n v="131.9"/>
    <n v="138.1"/>
    <n v="134.49230769230769"/>
    <n v="131.19999999999999"/>
    <n v="122.5"/>
    <n v="140.10000000000002"/>
    <n v="135.69999999999999"/>
    <n v="137.69999999999999"/>
    <n v="130.60000000000002"/>
  </r>
  <r>
    <s v="Rural+Urban"/>
    <x v="2"/>
    <s v="September"/>
    <n v="138.6"/>
    <n v="145.80000000000001"/>
    <n v="135.1"/>
    <n v="142.9"/>
    <n v="122.1"/>
    <n v="145.4"/>
    <n v="150"/>
    <n v="121.4"/>
    <n v="113.7"/>
    <n v="139.5"/>
    <n v="130.80000000000001"/>
    <n v="153.80000000000001"/>
    <n v="140.4"/>
    <n v="145.30000000000001"/>
    <n v="142.30000000000001"/>
    <n v="139.69999999999999"/>
    <n v="138.4"/>
    <n v="126"/>
    <n v="134.5"/>
    <n v="146.19999999999999"/>
    <n v="130.9"/>
    <n v="134.69999999999999"/>
    <n v="140.19999999999999"/>
    <n v="136.88461538461539"/>
    <n v="142.30000000000001"/>
    <n v="126"/>
    <n v="142.5"/>
    <n v="138.4"/>
    <n v="140.35"/>
    <n v="132.80000000000001"/>
  </r>
  <r>
    <s v="Rural"/>
    <x v="2"/>
    <s v="September"/>
    <n v="139.4"/>
    <n v="147.19999999999999"/>
    <n v="136.6"/>
    <n v="143.69999999999999"/>
    <n v="124.6"/>
    <n v="150.1"/>
    <n v="149.4"/>
    <n v="125.4"/>
    <n v="114.4"/>
    <n v="138.69999999999999"/>
    <n v="133.1"/>
    <n v="155.9"/>
    <n v="141.30000000000001"/>
    <n v="145.30000000000001"/>
    <n v="149"/>
    <n v="144"/>
    <n v="140"/>
    <n v="129.9"/>
    <n v="140"/>
    <n v="147.6"/>
    <n v="132"/>
    <n v="137.4"/>
    <n v="142.1"/>
    <n v="138.44615384615386"/>
    <n v="149"/>
    <n v="129.9"/>
    <n v="144.65"/>
    <n v="140"/>
    <n v="143.80000000000001"/>
    <n v="134.69999999999999"/>
  </r>
  <r>
    <s v="Urban"/>
    <x v="3"/>
    <s v="September"/>
    <n v="133.6"/>
    <n v="143"/>
    <n v="129.69999999999999"/>
    <n v="138.69999999999999"/>
    <n v="114.5"/>
    <n v="137.5"/>
    <n v="160.69999999999999"/>
    <n v="124.5"/>
    <n v="122.4"/>
    <n v="137.30000000000001"/>
    <n v="124.8"/>
    <n v="145"/>
    <n v="138"/>
    <n v="135.69999999999999"/>
    <n v="120.6"/>
    <n v="128.1"/>
    <n v="126.1"/>
    <n v="115.7"/>
    <n v="124.5"/>
    <n v="135.9"/>
    <n v="124.4"/>
    <n v="124.5"/>
    <n v="132.4"/>
    <n v="134.59230769230768"/>
    <n v="120.6"/>
    <n v="115.7"/>
    <n v="131.89999999999998"/>
    <n v="126.1"/>
    <n v="130.19999999999999"/>
    <n v="124.45"/>
  </r>
  <r>
    <s v="Rural+Urban"/>
    <x v="3"/>
    <s v="September"/>
    <n v="134.69999999999999"/>
    <n v="142.4"/>
    <n v="130.19999999999999"/>
    <n v="139.6"/>
    <n v="118.4"/>
    <n v="143"/>
    <n v="156.6"/>
    <n v="132.9"/>
    <n v="121.5"/>
    <n v="135.6"/>
    <n v="128.80000000000001"/>
    <n v="147.30000000000001"/>
    <n v="139"/>
    <n v="135.69999999999999"/>
    <n v="131"/>
    <n v="133.30000000000001"/>
    <n v="130.6"/>
    <n v="118.3"/>
    <n v="127.9"/>
    <n v="137.4"/>
    <n v="125.7"/>
    <n v="127.5"/>
    <n v="135.19999999999999"/>
    <n v="136.15384615384613"/>
    <n v="131"/>
    <n v="118.3"/>
    <n v="134.5"/>
    <n v="130.6"/>
    <n v="132.65"/>
    <n v="126.6"/>
  </r>
  <r>
    <s v="Rural"/>
    <x v="3"/>
    <s v="September"/>
    <n v="135.19999999999999"/>
    <n v="142"/>
    <n v="130.5"/>
    <n v="140.19999999999999"/>
    <n v="120.7"/>
    <n v="147.80000000000001"/>
    <n v="154.5"/>
    <n v="137.1"/>
    <n v="121"/>
    <n v="134.69999999999999"/>
    <n v="131.69999999999999"/>
    <n v="149.30000000000001"/>
    <n v="139.6"/>
    <n v="135.69999999999999"/>
    <n v="137.4"/>
    <n v="137.9"/>
    <n v="133.4"/>
    <n v="121.2"/>
    <n v="132.30000000000001"/>
    <n v="139.6"/>
    <n v="126.7"/>
    <n v="130.30000000000001"/>
    <n v="137.6"/>
    <n v="137.25384615384615"/>
    <n v="137.4"/>
    <n v="121.2"/>
    <n v="136.80000000000001"/>
    <n v="133.4"/>
    <n v="135.94999999999999"/>
    <n v="128.5"/>
  </r>
  <r>
    <s v="Urban"/>
    <x v="4"/>
    <s v="September"/>
    <n v="128.1"/>
    <n v="137.69999999999999"/>
    <n v="130.6"/>
    <n v="132.6"/>
    <n v="111.9"/>
    <n v="132.5"/>
    <n v="152.9"/>
    <n v="173.6"/>
    <n v="115.1"/>
    <n v="144.80000000000001"/>
    <n v="122.1"/>
    <n v="138.80000000000001"/>
    <n v="135.69999999999999"/>
    <n v="127.9"/>
    <n v="114.8"/>
    <n v="124.3"/>
    <n v="121.4"/>
    <n v="111.8"/>
    <n v="120.8"/>
    <n v="131.6"/>
    <n v="121.2"/>
    <n v="120.5"/>
    <n v="128"/>
    <n v="135.10769230769228"/>
    <n v="114.8"/>
    <n v="111.8"/>
    <n v="126.1"/>
    <n v="121.4"/>
    <n v="126.19999999999999"/>
    <n v="120.85"/>
  </r>
  <r>
    <s v="Rural+Urban"/>
    <x v="4"/>
    <s v="September"/>
    <n v="129.9"/>
    <n v="138"/>
    <n v="130.5"/>
    <n v="134.4"/>
    <n v="117.2"/>
    <n v="136.1"/>
    <n v="150.69999999999999"/>
    <n v="171.5"/>
    <n v="113.8"/>
    <n v="138.80000000000001"/>
    <n v="126"/>
    <n v="140.19999999999999"/>
    <n v="136.6"/>
    <n v="127.9"/>
    <n v="124.1"/>
    <n v="127.9"/>
    <n v="125.4"/>
    <n v="114.3"/>
    <n v="122.9"/>
    <n v="131.80000000000001"/>
    <n v="122.1"/>
    <n v="122.8"/>
    <n v="130.9"/>
    <n v="135.66923076923075"/>
    <n v="124.1"/>
    <n v="114.3"/>
    <n v="127.9"/>
    <n v="125.4"/>
    <n v="127.35000000000001"/>
    <n v="122.44999999999999"/>
  </r>
  <r>
    <s v="Rural"/>
    <x v="4"/>
    <s v="September"/>
    <n v="130.80000000000001"/>
    <n v="138.19999999999999"/>
    <n v="130.5"/>
    <n v="135.5"/>
    <n v="120.2"/>
    <n v="139.19999999999999"/>
    <n v="149.5"/>
    <n v="170.4"/>
    <n v="113.1"/>
    <n v="135.80000000000001"/>
    <n v="128.80000000000001"/>
    <n v="141.5"/>
    <n v="137.19999999999999"/>
    <n v="127.9"/>
    <n v="129.69999999999999"/>
    <n v="131.1"/>
    <n v="127.8"/>
    <n v="117"/>
    <n v="125.7"/>
    <n v="132.19999999999999"/>
    <n v="122.8"/>
    <n v="124.9"/>
    <n v="133.4"/>
    <n v="136.2076923076923"/>
    <n v="129.69999999999999"/>
    <n v="117"/>
    <n v="129.5"/>
    <n v="127.8"/>
    <n v="128.94999999999999"/>
    <n v="123.85"/>
  </r>
  <r>
    <s v="Urban"/>
    <x v="5"/>
    <s v="September"/>
    <n v="123.4"/>
    <n v="129"/>
    <n v="115.6"/>
    <n v="128.30000000000001"/>
    <n v="107"/>
    <n v="124"/>
    <n v="168.5"/>
    <n v="165.4"/>
    <n v="86.3"/>
    <n v="134.4"/>
    <n v="119.1"/>
    <n v="132.30000000000001"/>
    <n v="131.5"/>
    <n v="121.6"/>
    <n v="115.1"/>
    <n v="120.4"/>
    <n v="117.1"/>
    <n v="109.1"/>
    <n v="117.3"/>
    <n v="126.5"/>
    <n v="112.9"/>
    <n v="116.2"/>
    <n v="123.5"/>
    <n v="128.06153846153845"/>
    <n v="115.1"/>
    <n v="109.1"/>
    <n v="121"/>
    <n v="117.1"/>
    <n v="121.9"/>
    <n v="114.55000000000001"/>
  </r>
  <r>
    <s v="Rural+Urban"/>
    <x v="5"/>
    <s v="September"/>
    <n v="124.6"/>
    <n v="130.4"/>
    <n v="118.7"/>
    <n v="128.9"/>
    <n v="111.9"/>
    <n v="128.4"/>
    <n v="162.19999999999999"/>
    <n v="150"/>
    <n v="90.4"/>
    <n v="128.4"/>
    <n v="120.7"/>
    <n v="132.5"/>
    <n v="131.19999999999999"/>
    <n v="121.6"/>
    <n v="120.4"/>
    <n v="122.6"/>
    <n v="119.8"/>
    <n v="111.3"/>
    <n v="118.3"/>
    <n v="125.7"/>
    <n v="113.4"/>
    <n v="117.5"/>
    <n v="125.4"/>
    <n v="127.56153846153848"/>
    <n v="120.4"/>
    <n v="111.3"/>
    <n v="122.1"/>
    <n v="119.8"/>
    <n v="122"/>
    <n v="115.45"/>
  </r>
  <r>
    <s v="Rural"/>
    <x v="5"/>
    <s v="September"/>
    <n v="125.1"/>
    <n v="131.1"/>
    <n v="120.7"/>
    <n v="129.19999999999999"/>
    <n v="114.7"/>
    <n v="132.30000000000001"/>
    <n v="158.9"/>
    <n v="142.1"/>
    <n v="92.5"/>
    <n v="125.4"/>
    <n v="121.9"/>
    <n v="132.69999999999999"/>
    <n v="131"/>
    <n v="121.6"/>
    <n v="123.7"/>
    <n v="124.5"/>
    <n v="121.4"/>
    <n v="113.8"/>
    <n v="119.6"/>
    <n v="124.5"/>
    <n v="113.7"/>
    <n v="118.8"/>
    <n v="127"/>
    <n v="127.50769230769232"/>
    <n v="123.7"/>
    <n v="113.8"/>
    <n v="123.05"/>
    <n v="121.4"/>
    <n v="122.05"/>
    <n v="116.25"/>
  </r>
  <r>
    <s v="Rural"/>
    <x v="6"/>
    <s v="September"/>
    <n v="122.3"/>
    <n v="122.4"/>
    <n v="117.8"/>
    <n v="122.7"/>
    <n v="110.4"/>
    <n v="129.80000000000001"/>
    <n v="158.80000000000001"/>
    <n v="115"/>
    <n v="104.7"/>
    <n v="114.9"/>
    <n v="116.5"/>
    <n v="122.6"/>
    <n v="125.3"/>
    <n v="109.7"/>
    <n v="115.8"/>
    <n v="116.7"/>
    <n v="114.5"/>
    <n v="112.8"/>
    <n v="112.6"/>
    <n v="116.6"/>
    <n v="109.1"/>
    <n v="113.7"/>
    <n v="120.9"/>
    <n v="121.78461538461539"/>
    <n v="115.8"/>
    <n v="112.8"/>
    <n v="113.2"/>
    <n v="114.5"/>
    <n v="114.6"/>
    <n v="111.4"/>
  </r>
  <r>
    <s v="Rural+Urban"/>
    <x v="6"/>
    <s v="September"/>
    <n v="122.9"/>
    <n v="123.5"/>
    <n v="117.3"/>
    <n v="122.7"/>
    <n v="107.9"/>
    <n v="127.3"/>
    <n v="162.1"/>
    <n v="115.6"/>
    <n v="103.8"/>
    <n v="117.6"/>
    <n v="115.8"/>
    <n v="123.8"/>
    <n v="125.8"/>
    <n v="116.1"/>
    <n v="114.3"/>
    <n v="116.1"/>
    <n v="113.7"/>
    <n v="112"/>
    <n v="113.1"/>
    <n v="118.6"/>
    <n v="109.5"/>
    <n v="113.7"/>
    <n v="120.1"/>
    <n v="122.00769230769228"/>
    <n v="114.3"/>
    <n v="112"/>
    <n v="116.1"/>
    <n v="113.7"/>
    <n v="115.85"/>
    <n v="111.6"/>
  </r>
  <r>
    <s v="Urban"/>
    <x v="6"/>
    <s v="September"/>
    <n v="124.2"/>
    <n v="125.4"/>
    <n v="116.4"/>
    <n v="122.7"/>
    <n v="103.5"/>
    <n v="124.5"/>
    <n v="168.6"/>
    <n v="116.9"/>
    <n v="101.9"/>
    <n v="122.9"/>
    <n v="114.8"/>
    <n v="125.2"/>
    <n v="126.7"/>
    <n v="116.1"/>
    <n v="111.8"/>
    <n v="115.5"/>
    <n v="112.3"/>
    <n v="111.2"/>
    <n v="113.4"/>
    <n v="120"/>
    <n v="110"/>
    <n v="113.6"/>
    <n v="119.2"/>
    <n v="122.59230769230771"/>
    <n v="111.8"/>
    <n v="111.2"/>
    <n v="115.8"/>
    <n v="112.3"/>
    <n v="116.7"/>
    <n v="111.8"/>
  </r>
  <r>
    <s v="Rural"/>
    <x v="7"/>
    <s v="September"/>
    <n v="115.4"/>
    <n v="115.7"/>
    <n v="111.7"/>
    <n v="111"/>
    <n v="107.4"/>
    <n v="110.9"/>
    <n v="154"/>
    <n v="108.1"/>
    <n v="104.2"/>
    <n v="107.9"/>
    <n v="110.4"/>
    <n v="114"/>
    <n v="117.8"/>
    <n v="109.7"/>
    <n v="111.1"/>
    <n v="109.6"/>
    <n v="108.3"/>
    <n v="109.3"/>
    <n v="107.7"/>
    <n v="109.8"/>
    <n v="106.7"/>
    <n v="108.7"/>
    <n v="114.2"/>
    <n v="114.50000000000001"/>
    <n v="111.1"/>
    <n v="109.3"/>
    <n v="109.65"/>
    <n v="108.3"/>
    <n v="108.75"/>
    <n v="107.7"/>
  </r>
  <r>
    <s v="Rural+Urban"/>
    <x v="7"/>
    <s v="September"/>
    <n v="116.4"/>
    <n v="116.9"/>
    <n v="112.3"/>
    <n v="110.5"/>
    <n v="105.3"/>
    <n v="107.3"/>
    <n v="160.9"/>
    <n v="107.1"/>
    <n v="103.1"/>
    <n v="108.3"/>
    <n v="110.7"/>
    <n v="114.6"/>
    <n v="118.3"/>
    <n v="109.7"/>
    <n v="110.5"/>
    <n v="109.6"/>
    <n v="108.1"/>
    <n v="109.9"/>
    <n v="107.5"/>
    <n v="110.6"/>
    <n v="106.8"/>
    <n v="109"/>
    <n v="113.7"/>
    <n v="114.74615384615383"/>
    <n v="110.5"/>
    <n v="109.9"/>
    <n v="109.65"/>
    <n v="108.1"/>
    <n v="109.05"/>
    <n v="107.9"/>
  </r>
  <r>
    <s v="Urban"/>
    <x v="7"/>
    <s v="September"/>
    <n v="118.6"/>
    <n v="119.1"/>
    <n v="113.2"/>
    <n v="109.6"/>
    <n v="101.7"/>
    <n v="103.2"/>
    <n v="174.3"/>
    <n v="105.1"/>
    <n v="100.8"/>
    <n v="109.1"/>
    <n v="111.1"/>
    <n v="115.4"/>
    <n v="119.2"/>
    <n v="109.7"/>
    <n v="109.5"/>
    <n v="109.6"/>
    <n v="107.9"/>
    <n v="110.4"/>
    <n v="107.4"/>
    <n v="111.2"/>
    <n v="106.9"/>
    <n v="109.4"/>
    <n v="113.2"/>
    <n v="115.41538461538462"/>
    <n v="109.5"/>
    <n v="110.4"/>
    <n v="109.65"/>
    <n v="107.9"/>
    <n v="109.30000000000001"/>
    <n v="108.15"/>
  </r>
  <r>
    <s v="Rural"/>
    <x v="0"/>
    <s v="October"/>
    <n v="164.7"/>
    <n v="208.8"/>
    <n v="170.3"/>
    <n v="170.9"/>
    <n v="191.6"/>
    <n v="162.19999999999999"/>
    <n v="184.8"/>
    <n v="169.7"/>
    <n v="121.1"/>
    <n v="201.6"/>
    <n v="175.8"/>
    <n v="185.6"/>
    <n v="177.4"/>
    <n v="163.6"/>
    <n v="180.8"/>
    <n v="174.4"/>
    <n v="181.2"/>
    <n v="167.4"/>
    <n v="170.6"/>
    <n v="176.5"/>
    <n v="172"/>
    <n v="173.9"/>
    <n v="177.9"/>
    <n v="175.73076923076923"/>
    <n v="180.8"/>
    <n v="167.4"/>
    <n v="169"/>
    <n v="181.2"/>
    <n v="173.55"/>
    <n v="172.95"/>
  </r>
  <r>
    <s v="Rural+Urban"/>
    <x v="0"/>
    <s v="October"/>
    <n v="165.2"/>
    <n v="210.9"/>
    <n v="170.9"/>
    <n v="170.9"/>
    <n v="186.5"/>
    <n v="163.80000000000001"/>
    <n v="199.7"/>
    <n v="169.8"/>
    <n v="121.9"/>
    <n v="199.9"/>
    <n v="169.9"/>
    <n v="188.3"/>
    <n v="179.6"/>
    <n v="171.2"/>
    <n v="180.5"/>
    <n v="170.4"/>
    <n v="178.7"/>
    <n v="162.9"/>
    <n v="168.2"/>
    <n v="173.4"/>
    <n v="172.1"/>
    <n v="170.5"/>
    <n v="176.7"/>
    <n v="176.71538461538464"/>
    <n v="180.5"/>
    <n v="162.9"/>
    <n v="170.8"/>
    <n v="178.7"/>
    <n v="170.8"/>
    <n v="171.3"/>
  </r>
  <r>
    <s v="Urban"/>
    <x v="0"/>
    <s v="October"/>
    <n v="166.4"/>
    <n v="214.9"/>
    <n v="171.9"/>
    <n v="171"/>
    <n v="177.7"/>
    <n v="165.7"/>
    <n v="228.6"/>
    <n v="169.9"/>
    <n v="123.4"/>
    <n v="196.4"/>
    <n v="161.6"/>
    <n v="191.5"/>
    <n v="183.3"/>
    <n v="171.2"/>
    <n v="180"/>
    <n v="166"/>
    <n v="174.7"/>
    <n v="158.80000000000001"/>
    <n v="166.3"/>
    <n v="171.2"/>
    <n v="172.3"/>
    <n v="166.8"/>
    <n v="175.3"/>
    <n v="178.63846153846154"/>
    <n v="180"/>
    <n v="158.80000000000001"/>
    <n v="168.6"/>
    <n v="174.7"/>
    <n v="168.75"/>
    <n v="169.55"/>
  </r>
  <r>
    <s v="Rural"/>
    <x v="1"/>
    <s v="January"/>
    <n v="136.6"/>
    <n v="152.5"/>
    <n v="138.19999999999999"/>
    <n v="142.4"/>
    <n v="123.9"/>
    <n v="135.5"/>
    <n v="131.69999999999999"/>
    <n v="121.3"/>
    <n v="108.4"/>
    <n v="138.9"/>
    <n v="137"/>
    <n v="155.80000000000001"/>
    <n v="137.4"/>
    <n v="147.69999999999999"/>
    <n v="146.19999999999999"/>
    <n v="150.1"/>
    <n v="149.6"/>
    <n v="128.6"/>
    <n v="142.9"/>
    <n v="155.19999999999999"/>
    <n v="133.5"/>
    <n v="141.69999999999999"/>
    <n v="141"/>
    <n v="135.35384615384618"/>
    <n v="146.19999999999999"/>
    <n v="128.6"/>
    <n v="148.89999999999998"/>
    <n v="149.6"/>
    <n v="149.05000000000001"/>
    <n v="137.6"/>
  </r>
  <r>
    <s v="Rural+Urban"/>
    <x v="1"/>
    <s v="January"/>
    <n v="137.1"/>
    <n v="151.4"/>
    <n v="140.19999999999999"/>
    <n v="142.1"/>
    <n v="121.8"/>
    <n v="135.4"/>
    <n v="131.30000000000001"/>
    <n v="120.3"/>
    <n v="109.1"/>
    <n v="139.4"/>
    <n v="133.30000000000001"/>
    <n v="154.6"/>
    <n v="137.4"/>
    <n v="147.69999999999999"/>
    <n v="139.5"/>
    <n v="143.6"/>
    <n v="145.1"/>
    <n v="123.3"/>
    <n v="136.69999999999999"/>
    <n v="150.19999999999999"/>
    <n v="132.80000000000001"/>
    <n v="136.9"/>
    <n v="139.6"/>
    <n v="134.87692307692308"/>
    <n v="139.5"/>
    <n v="123.3"/>
    <n v="145.64999999999998"/>
    <n v="145.1"/>
    <n v="143.44999999999999"/>
    <n v="134.85000000000002"/>
  </r>
  <r>
    <s v="Urban"/>
    <x v="1"/>
    <s v="January"/>
    <n v="138.30000000000001"/>
    <n v="149.4"/>
    <n v="143.5"/>
    <n v="141.69999999999999"/>
    <n v="118.1"/>
    <n v="135.19999999999999"/>
    <n v="130.5"/>
    <n v="118.2"/>
    <n v="110.4"/>
    <n v="140.4"/>
    <n v="128.1"/>
    <n v="153.19999999999999"/>
    <n v="137.30000000000001"/>
    <n v="147.69999999999999"/>
    <n v="128.6"/>
    <n v="136.30000000000001"/>
    <n v="137.80000000000001"/>
    <n v="118.6"/>
    <n v="131.9"/>
    <n v="146.6"/>
    <n v="131.69999999999999"/>
    <n v="131.80000000000001"/>
    <n v="138"/>
    <n v="134.17692307692309"/>
    <n v="128.6"/>
    <n v="118.6"/>
    <n v="142"/>
    <n v="137.80000000000001"/>
    <n v="139.25"/>
    <n v="131.75"/>
  </r>
  <r>
    <s v="Rural"/>
    <x v="1"/>
    <s v="July"/>
    <n v="138.4"/>
    <n v="164"/>
    <n v="138.4"/>
    <n v="143.9"/>
    <n v="124.4"/>
    <n v="146.4"/>
    <n v="150.1"/>
    <n v="130.6"/>
    <n v="110.8"/>
    <n v="141.69999999999999"/>
    <n v="138.5"/>
    <n v="156.69999999999999"/>
    <n v="143"/>
    <n v="150.6"/>
    <n v="146.80000000000001"/>
    <n v="150"/>
    <n v="152.19999999999999"/>
    <n v="131.19999999999999"/>
    <n v="147.5"/>
    <n v="159.1"/>
    <n v="136.1"/>
    <n v="144.19999999999999"/>
    <n v="144.9"/>
    <n v="140.53076923076921"/>
    <n v="146.80000000000001"/>
    <n v="131.19999999999999"/>
    <n v="150.30000000000001"/>
    <n v="152.19999999999999"/>
    <n v="153.30000000000001"/>
    <n v="140.14999999999998"/>
  </r>
  <r>
    <s v="Rural+Urban"/>
    <x v="1"/>
    <s v="July"/>
    <n v="139.30000000000001"/>
    <n v="162.69999999999999"/>
    <n v="140"/>
    <n v="144"/>
    <n v="122.5"/>
    <n v="150.30000000000001"/>
    <n v="160.30000000000001"/>
    <n v="130"/>
    <n v="111.1"/>
    <n v="141.69999999999999"/>
    <n v="134.69999999999999"/>
    <n v="156.19999999999999"/>
    <n v="144.69999999999999"/>
    <n v="150.6"/>
    <n v="139.30000000000001"/>
    <n v="144.19999999999999"/>
    <n v="147.9"/>
    <n v="125.6"/>
    <n v="140.5"/>
    <n v="154"/>
    <n v="135.69999999999999"/>
    <n v="139.5"/>
    <n v="144.19999999999999"/>
    <n v="141.34615384615384"/>
    <n v="139.30000000000001"/>
    <n v="125.6"/>
    <n v="147.39999999999998"/>
    <n v="147.9"/>
    <n v="147.25"/>
    <n v="137.6"/>
  </r>
  <r>
    <s v="Urban"/>
    <x v="1"/>
    <s v="July"/>
    <n v="141.4"/>
    <n v="160.19999999999999"/>
    <n v="142.5"/>
    <n v="144.1"/>
    <n v="119.3"/>
    <n v="154.69999999999999"/>
    <n v="180.1"/>
    <n v="128.9"/>
    <n v="111.8"/>
    <n v="141.6"/>
    <n v="129.5"/>
    <n v="155.6"/>
    <n v="147.69999999999999"/>
    <n v="150.6"/>
    <n v="127"/>
    <n v="137.69999999999999"/>
    <n v="140.80000000000001"/>
    <n v="120.6"/>
    <n v="135"/>
    <n v="150.4"/>
    <n v="135.1"/>
    <n v="134.5"/>
    <n v="143.30000000000001"/>
    <n v="142.87692307692308"/>
    <n v="127"/>
    <n v="120.6"/>
    <n v="144.14999999999998"/>
    <n v="140.80000000000001"/>
    <n v="142.69999999999999"/>
    <n v="134.80000000000001"/>
  </r>
  <r>
    <s v="Rural"/>
    <x v="1"/>
    <s v="June"/>
    <n v="137.80000000000001"/>
    <n v="163.5"/>
    <n v="136.19999999999999"/>
    <n v="143.19999999999999"/>
    <n v="124.3"/>
    <n v="143.30000000000001"/>
    <n v="140.6"/>
    <n v="128.69999999999999"/>
    <n v="110.6"/>
    <n v="140.4"/>
    <n v="138"/>
    <n v="156.6"/>
    <n v="141"/>
    <n v="149.4"/>
    <n v="147.80000000000001"/>
    <n v="149.6"/>
    <n v="151.69999999999999"/>
    <n v="130.19999999999999"/>
    <n v="146.4"/>
    <n v="157.69999999999999"/>
    <n v="134.80000000000001"/>
    <n v="143.30000000000001"/>
    <n v="143.6"/>
    <n v="138.78461538461536"/>
    <n v="147.80000000000001"/>
    <n v="130.19999999999999"/>
    <n v="149.5"/>
    <n v="151.69999999999999"/>
    <n v="152.05000000000001"/>
    <n v="139.05000000000001"/>
  </r>
  <r>
    <s v="Rural+Urban"/>
    <x v="1"/>
    <s v="June"/>
    <n v="138.69999999999999"/>
    <n v="162.1"/>
    <n v="137.80000000000001"/>
    <n v="143.30000000000001"/>
    <n v="122.2"/>
    <n v="146.80000000000001"/>
    <n v="150.5"/>
    <n v="128.30000000000001"/>
    <n v="111"/>
    <n v="140.6"/>
    <n v="134.19999999999999"/>
    <n v="155.9"/>
    <n v="142.69999999999999"/>
    <n v="149.4"/>
    <n v="141.19999999999999"/>
    <n v="143.80000000000001"/>
    <n v="147.4"/>
    <n v="124.6"/>
    <n v="139.6"/>
    <n v="152.5"/>
    <n v="134.30000000000001"/>
    <n v="138.6"/>
    <n v="142.9"/>
    <n v="139.54615384615386"/>
    <n v="141.19999999999999"/>
    <n v="124.6"/>
    <n v="146.60000000000002"/>
    <n v="147.4"/>
    <n v="146.05000000000001"/>
    <n v="136.44999999999999"/>
  </r>
  <r>
    <s v="Urban"/>
    <x v="1"/>
    <s v="June"/>
    <n v="140.69999999999999"/>
    <n v="159.6"/>
    <n v="140.4"/>
    <n v="143.4"/>
    <n v="118.6"/>
    <n v="150.9"/>
    <n v="169.8"/>
    <n v="127.4"/>
    <n v="111.8"/>
    <n v="141"/>
    <n v="129"/>
    <n v="155.1"/>
    <n v="145.6"/>
    <n v="149.4"/>
    <n v="130.5"/>
    <n v="137.4"/>
    <n v="140.30000000000001"/>
    <n v="119.6"/>
    <n v="134.30000000000001"/>
    <n v="148.9"/>
    <n v="133.69999999999999"/>
    <n v="133.6"/>
    <n v="142.1"/>
    <n v="141.0230769230769"/>
    <n v="130.5"/>
    <n v="119.6"/>
    <n v="143.4"/>
    <n v="140.30000000000001"/>
    <n v="141.60000000000002"/>
    <n v="133.64999999999998"/>
  </r>
  <r>
    <s v="Rural+Urban"/>
    <x v="2"/>
    <s v="October"/>
    <n v="137.4"/>
    <n v="149.5"/>
    <n v="137.30000000000001"/>
    <n v="141.9"/>
    <n v="121.1"/>
    <n v="142.5"/>
    <n v="146.69999999999999"/>
    <n v="119.1"/>
    <n v="111.9"/>
    <n v="141"/>
    <n v="133.6"/>
    <n v="154.5"/>
    <n v="139.69999999999999"/>
    <n v="146.9"/>
    <n v="145.30000000000001"/>
    <n v="142.19999999999999"/>
    <n v="142.1"/>
    <n v="125.5"/>
    <n v="136.5"/>
    <n v="147.80000000000001"/>
    <n v="132"/>
    <n v="136.30000000000001"/>
    <n v="140.80000000000001"/>
    <n v="136.63076923076923"/>
    <n v="145.30000000000001"/>
    <n v="125.5"/>
    <n v="144.55000000000001"/>
    <n v="142.1"/>
    <n v="142.15"/>
    <n v="134.15"/>
  </r>
  <r>
    <s v="Urban"/>
    <x v="2"/>
    <s v="October"/>
    <n v="137.6"/>
    <n v="144.9"/>
    <n v="133.5"/>
    <n v="141.5"/>
    <n v="118"/>
    <n v="139.5"/>
    <n v="153"/>
    <n v="113.2"/>
    <n v="112.8"/>
    <n v="141.1"/>
    <n v="127.6"/>
    <n v="152"/>
    <n v="139.4"/>
    <n v="146.30000000000001"/>
    <n v="133.4"/>
    <n v="135.1"/>
    <n v="136.19999999999999"/>
    <n v="123.3"/>
    <n v="130.69999999999999"/>
    <n v="145.5"/>
    <n v="130.4"/>
    <n v="132.5"/>
    <n v="138.9"/>
    <n v="134.93076923076922"/>
    <n v="133.4"/>
    <n v="123.3"/>
    <n v="140.69999999999999"/>
    <n v="136.19999999999999"/>
    <n v="138.1"/>
    <n v="131.44999999999999"/>
  </r>
  <r>
    <s v="Rural"/>
    <x v="2"/>
    <s v="October"/>
    <n v="139.30000000000001"/>
    <n v="147.6"/>
    <n v="134.6"/>
    <n v="141.9"/>
    <n v="123.5"/>
    <n v="144.5"/>
    <n v="147.6"/>
    <n v="121.4"/>
    <n v="112.3"/>
    <n v="139.5"/>
    <n v="134.6"/>
    <n v="155.19999999999999"/>
    <n v="140.19999999999999"/>
    <n v="146.6"/>
    <n v="149.69999999999999"/>
    <n v="147.5"/>
    <n v="144.80000000000001"/>
    <n v="130.80000000000001"/>
    <n v="140.1"/>
    <n v="148"/>
    <n v="134.4"/>
    <n v="139.80000000000001"/>
    <n v="142.19999999999999"/>
    <n v="137.09230769230768"/>
    <n v="149.69999999999999"/>
    <n v="130.80000000000001"/>
    <n v="147.05000000000001"/>
    <n v="144.80000000000001"/>
    <n v="144.05000000000001"/>
    <n v="137.10000000000002"/>
  </r>
  <r>
    <s v="Urban"/>
    <x v="3"/>
    <s v="October"/>
    <n v="133.9"/>
    <n v="142.80000000000001"/>
    <n v="131.4"/>
    <n v="139.1"/>
    <n v="114.9"/>
    <n v="135.6"/>
    <n v="173.2"/>
    <n v="124.1"/>
    <n v="122.6"/>
    <n v="137.80000000000001"/>
    <n v="125.1"/>
    <n v="145.5"/>
    <n v="139.69999999999999"/>
    <n v="137.30000000000001"/>
    <n v="122.6"/>
    <n v="128.30000000000001"/>
    <n v="126.6"/>
    <n v="115"/>
    <n v="124.8"/>
    <n v="136.30000000000001"/>
    <n v="124.6"/>
    <n v="124.5"/>
    <n v="133.5"/>
    <n v="135.82307692307691"/>
    <n v="122.6"/>
    <n v="115"/>
    <n v="132.80000000000001"/>
    <n v="126.6"/>
    <n v="130.55000000000001"/>
    <n v="124.55"/>
  </r>
  <r>
    <s v="Rural+Urban"/>
    <x v="3"/>
    <s v="October"/>
    <n v="135.30000000000001"/>
    <n v="142.19999999999999"/>
    <n v="131.19999999999999"/>
    <n v="140.6"/>
    <n v="119"/>
    <n v="141.5"/>
    <n v="162.6"/>
    <n v="132.30000000000001"/>
    <n v="121.8"/>
    <n v="136.30000000000001"/>
    <n v="128.69999999999999"/>
    <n v="148.1"/>
    <n v="140.1"/>
    <n v="137.30000000000001"/>
    <n v="132.19999999999999"/>
    <n v="133.6"/>
    <n v="131.30000000000001"/>
    <n v="117.8"/>
    <n v="128.4"/>
    <n v="137.9"/>
    <n v="126.2"/>
    <n v="127.7"/>
    <n v="136.1"/>
    <n v="136.89999999999998"/>
    <n v="132.19999999999999"/>
    <n v="117.8"/>
    <n v="135.44999999999999"/>
    <n v="131.30000000000001"/>
    <n v="133.15"/>
    <n v="126.95"/>
  </r>
  <r>
    <s v="Rural"/>
    <x v="3"/>
    <s v="October"/>
    <n v="135.9"/>
    <n v="141.9"/>
    <n v="131"/>
    <n v="141.5"/>
    <n v="121.4"/>
    <n v="146.69999999999999"/>
    <n v="157.1"/>
    <n v="136.4"/>
    <n v="121.4"/>
    <n v="135.6"/>
    <n v="131.30000000000001"/>
    <n v="150.30000000000001"/>
    <n v="140.4"/>
    <n v="137.30000000000001"/>
    <n v="138.1"/>
    <n v="138.4"/>
    <n v="134.19999999999999"/>
    <n v="121"/>
    <n v="133"/>
    <n v="140.1"/>
    <n v="127.4"/>
    <n v="130.69999999999999"/>
    <n v="138.30000000000001"/>
    <n v="137.76153846153846"/>
    <n v="138.1"/>
    <n v="121"/>
    <n v="137.85000000000002"/>
    <n v="134.19999999999999"/>
    <n v="136.55000000000001"/>
    <n v="129.05000000000001"/>
  </r>
  <r>
    <s v="Urban"/>
    <x v="4"/>
    <s v="October"/>
    <n v="128.69999999999999"/>
    <n v="138.4"/>
    <n v="130.30000000000001"/>
    <n v="132.69999999999999"/>
    <n v="112.5"/>
    <n v="130.4"/>
    <n v="155.1"/>
    <n v="175.7"/>
    <n v="115.4"/>
    <n v="145.30000000000001"/>
    <n v="122.5"/>
    <n v="139.6"/>
    <n v="136.30000000000001"/>
    <n v="128.69999999999999"/>
    <n v="115.2"/>
    <n v="124.5"/>
    <n v="121.8"/>
    <n v="112.8"/>
    <n v="121.2"/>
    <n v="131.9"/>
    <n v="120.8"/>
    <n v="120.9"/>
    <n v="128.6"/>
    <n v="135.6076923076923"/>
    <n v="115.2"/>
    <n v="112.8"/>
    <n v="126.6"/>
    <n v="121.8"/>
    <n v="126.55000000000001"/>
    <n v="120.85"/>
  </r>
  <r>
    <s v="Rural+Urban"/>
    <x v="4"/>
    <s v="October"/>
    <n v="130.5"/>
    <n v="137.9"/>
    <n v="130.19999999999999"/>
    <n v="134.80000000000001"/>
    <n v="117.8"/>
    <n v="134.69999999999999"/>
    <n v="151.19999999999999"/>
    <n v="172.1"/>
    <n v="114.1"/>
    <n v="139.30000000000001"/>
    <n v="126.1"/>
    <n v="141.1"/>
    <n v="137"/>
    <n v="128.69999999999999"/>
    <n v="124.3"/>
    <n v="128.4"/>
    <n v="126.1"/>
    <n v="115.2"/>
    <n v="123.5"/>
    <n v="132.4"/>
    <n v="122.1"/>
    <n v="123.4"/>
    <n v="131.4"/>
    <n v="135.90769230769226"/>
    <n v="124.3"/>
    <n v="115.2"/>
    <n v="128.55000000000001"/>
    <n v="126.1"/>
    <n v="127.95"/>
    <n v="122.75"/>
  </r>
  <r>
    <s v="Rural"/>
    <x v="4"/>
    <s v="October"/>
    <n v="131.30000000000001"/>
    <n v="137.6"/>
    <n v="130.1"/>
    <n v="136"/>
    <n v="120.8"/>
    <n v="138.4"/>
    <n v="149.19999999999999"/>
    <n v="170.2"/>
    <n v="113.4"/>
    <n v="136.30000000000001"/>
    <n v="128.69999999999999"/>
    <n v="142.4"/>
    <n v="137.4"/>
    <n v="128.69999999999999"/>
    <n v="129.80000000000001"/>
    <n v="131.80000000000001"/>
    <n v="128.69999999999999"/>
    <n v="117.8"/>
    <n v="126.5"/>
    <n v="133"/>
    <n v="123"/>
    <n v="125.7"/>
    <n v="133.80000000000001"/>
    <n v="136.2923076923077"/>
    <n v="129.80000000000001"/>
    <n v="117.8"/>
    <n v="130.25"/>
    <n v="128.69999999999999"/>
    <n v="129.75"/>
    <n v="124.35"/>
  </r>
  <r>
    <s v="Urban"/>
    <x v="5"/>
    <s v="October"/>
    <n v="123.6"/>
    <n v="128.6"/>
    <n v="115.9"/>
    <n v="128.5"/>
    <n v="109"/>
    <n v="124.1"/>
    <n v="165.8"/>
    <n v="187.2"/>
    <n v="89.4"/>
    <n v="135.80000000000001"/>
    <n v="119.4"/>
    <n v="132.9"/>
    <n v="132.6"/>
    <n v="122.4"/>
    <n v="114.9"/>
    <n v="120.7"/>
    <n v="117.7"/>
    <n v="109.3"/>
    <n v="117.7"/>
    <n v="126.5"/>
    <n v="113.5"/>
    <n v="116.5"/>
    <n v="124.2"/>
    <n v="130.21538461538464"/>
    <n v="114.9"/>
    <n v="109.3"/>
    <n v="121.55000000000001"/>
    <n v="117.7"/>
    <n v="122.1"/>
    <n v="115"/>
  </r>
  <r>
    <s v="Rural+Urban"/>
    <x v="5"/>
    <s v="October"/>
    <n v="125"/>
    <n v="129.80000000000001"/>
    <n v="118.9"/>
    <n v="129.1"/>
    <n v="113.3"/>
    <n v="129"/>
    <n v="160.4"/>
    <n v="165.3"/>
    <n v="92.3"/>
    <n v="129.69999999999999"/>
    <n v="121.1"/>
    <n v="133"/>
    <n v="132.1"/>
    <n v="122.4"/>
    <n v="120.8"/>
    <n v="123"/>
    <n v="120.4"/>
    <n v="111.4"/>
    <n v="118.7"/>
    <n v="125.9"/>
    <n v="113.9"/>
    <n v="117.9"/>
    <n v="126.1"/>
    <n v="129.15384615384613"/>
    <n v="120.8"/>
    <n v="111.4"/>
    <n v="122.7"/>
    <n v="120.4"/>
    <n v="122.30000000000001"/>
    <n v="115.9"/>
  </r>
  <r>
    <s v="Rural"/>
    <x v="5"/>
    <s v="October"/>
    <n v="125.6"/>
    <n v="130.4"/>
    <n v="120.8"/>
    <n v="129.4"/>
    <n v="115.8"/>
    <n v="133.19999999999999"/>
    <n v="157.69999999999999"/>
    <n v="154.19999999999999"/>
    <n v="93.7"/>
    <n v="126.6"/>
    <n v="122.3"/>
    <n v="133.1"/>
    <n v="131.80000000000001"/>
    <n v="122.4"/>
    <n v="124.4"/>
    <n v="125.1"/>
    <n v="122"/>
    <n v="113.8"/>
    <n v="120.1"/>
    <n v="125.1"/>
    <n v="114.2"/>
    <n v="119.2"/>
    <n v="127.7"/>
    <n v="128.8153846153846"/>
    <n v="124.4"/>
    <n v="113.8"/>
    <n v="123.75"/>
    <n v="122"/>
    <n v="122.6"/>
    <n v="116.7"/>
  </r>
  <r>
    <s v="Rural"/>
    <x v="6"/>
    <s v="October"/>
    <n v="122.6"/>
    <n v="122.5"/>
    <n v="118.3"/>
    <n v="123.2"/>
    <n v="110.5"/>
    <n v="128.9"/>
    <n v="155.30000000000001"/>
    <n v="115.5"/>
    <n v="104"/>
    <n v="115.3"/>
    <n v="116.8"/>
    <n v="123.2"/>
    <n v="125.1"/>
    <n v="110.5"/>
    <n v="116.4"/>
    <n v="117.5"/>
    <n v="115.3"/>
    <n v="112.6"/>
    <n v="113"/>
    <n v="116.9"/>
    <n v="109.3"/>
    <n v="114"/>
    <n v="121"/>
    <n v="121.63076923076922"/>
    <n v="116.4"/>
    <n v="112.6"/>
    <n v="114"/>
    <n v="115.3"/>
    <n v="114.95"/>
    <n v="111.65"/>
  </r>
  <r>
    <s v="Rural+Urban"/>
    <x v="6"/>
    <s v="October"/>
    <n v="123.2"/>
    <n v="123.8"/>
    <n v="118.1"/>
    <n v="123.2"/>
    <n v="107.9"/>
    <n v="126.4"/>
    <n v="156.80000000000001"/>
    <n v="116.1"/>
    <n v="103.1"/>
    <n v="118.1"/>
    <n v="116.1"/>
    <n v="124.5"/>
    <n v="125.4"/>
    <n v="116.7"/>
    <n v="114.7"/>
    <n v="116.7"/>
    <n v="114.3"/>
    <n v="111.8"/>
    <n v="113.3"/>
    <n v="118.8"/>
    <n v="109.6"/>
    <n v="113.9"/>
    <n v="120.1"/>
    <n v="121.74615384615385"/>
    <n v="114.7"/>
    <n v="111.8"/>
    <n v="116.7"/>
    <n v="114.3"/>
    <n v="116.05"/>
    <n v="111.75"/>
  </r>
  <r>
    <s v="Urban"/>
    <x v="6"/>
    <s v="October"/>
    <n v="124.6"/>
    <n v="126.1"/>
    <n v="117.8"/>
    <n v="123.1"/>
    <n v="103.5"/>
    <n v="123.5"/>
    <n v="159.6"/>
    <n v="117.4"/>
    <n v="101.2"/>
    <n v="123.8"/>
    <n v="115.2"/>
    <n v="125.9"/>
    <n v="125.8"/>
    <n v="116.7"/>
    <n v="112"/>
    <n v="115.8"/>
    <n v="112.6"/>
    <n v="111"/>
    <n v="113.6"/>
    <n v="120.2"/>
    <n v="110.1"/>
    <n v="113.7"/>
    <n v="119.1"/>
    <n v="122.11538461538461"/>
    <n v="112"/>
    <n v="111"/>
    <n v="116.25"/>
    <n v="112.6"/>
    <n v="116.9"/>
    <n v="111.9"/>
  </r>
  <r>
    <s v="Rural"/>
    <x v="7"/>
    <s v="October"/>
    <n v="116.3"/>
    <n v="115.4"/>
    <n v="112.6"/>
    <n v="111.7"/>
    <n v="107.7"/>
    <n v="113.2"/>
    <n v="164.9"/>
    <n v="108.3"/>
    <n v="103.9"/>
    <n v="108.2"/>
    <n v="111.1"/>
    <n v="114.9"/>
    <n v="119.8"/>
    <n v="169.5"/>
    <n v="111.6"/>
    <n v="110.4"/>
    <n v="108.9"/>
    <n v="109.3"/>
    <n v="108.3"/>
    <n v="110.2"/>
    <n v="107.5"/>
    <n v="109.1"/>
    <n v="115.5"/>
    <n v="116"/>
    <n v="111.6"/>
    <n v="109.3"/>
    <n v="139.94999999999999"/>
    <n v="108.9"/>
    <n v="109.25"/>
    <n v="108.3"/>
  </r>
  <r>
    <s v="Rural+Urban"/>
    <x v="7"/>
    <s v="October"/>
    <n v="117.1"/>
    <n v="116.3"/>
    <n v="113.3"/>
    <n v="111.2"/>
    <n v="105.7"/>
    <n v="109.9"/>
    <n v="171.2"/>
    <n v="107.3"/>
    <n v="102.7"/>
    <n v="108.7"/>
    <n v="111.2"/>
    <n v="115.4"/>
    <n v="120.2"/>
    <n v="110.5"/>
    <n v="110.9"/>
    <n v="110.3"/>
    <n v="108.6"/>
    <n v="109.5"/>
    <n v="108.1"/>
    <n v="110.8"/>
    <n v="107.4"/>
    <n v="109.2"/>
    <n v="114.8"/>
    <n v="116.16923076923079"/>
    <n v="110.9"/>
    <n v="109.5"/>
    <n v="110.4"/>
    <n v="108.6"/>
    <n v="109.44999999999999"/>
    <n v="108.30000000000001"/>
  </r>
  <r>
    <s v="Urban"/>
    <x v="7"/>
    <s v="October"/>
    <n v="118.9"/>
    <n v="118.1"/>
    <n v="114.5"/>
    <n v="110.4"/>
    <n v="102.3"/>
    <n v="106.2"/>
    <n v="183.5"/>
    <n v="105.3"/>
    <n v="100.2"/>
    <n v="109.6"/>
    <n v="111.4"/>
    <n v="116"/>
    <n v="120.8"/>
    <n v="110.5"/>
    <n v="109.7"/>
    <n v="110.2"/>
    <n v="108.2"/>
    <n v="109.7"/>
    <n v="108"/>
    <n v="111.3"/>
    <n v="107.3"/>
    <n v="109.4"/>
    <n v="114"/>
    <n v="116.7076923076923"/>
    <n v="109.7"/>
    <n v="109.7"/>
    <n v="110.35"/>
    <n v="108.2"/>
    <n v="109.65"/>
    <n v="108.35"/>
  </r>
  <r>
    <s v="Rural"/>
    <x v="7"/>
    <s v="November "/>
    <n v="117.3"/>
    <n v="114.9"/>
    <n v="116.2"/>
    <n v="112.8"/>
    <n v="108.9"/>
    <n v="116.6"/>
    <n v="178.1"/>
    <n v="109.1"/>
    <n v="103.6"/>
    <n v="109"/>
    <n v="111.8"/>
    <n v="116"/>
    <n v="122.5"/>
    <n v="171.2"/>
    <n v="112.6"/>
    <n v="111.3"/>
    <n v="109.7"/>
    <n v="109.6"/>
    <n v="108.7"/>
    <n v="111"/>
    <n v="108.2"/>
    <n v="109.8"/>
    <n v="117.4"/>
    <n v="118.21538461538461"/>
    <n v="112.6"/>
    <n v="109.6"/>
    <n v="141.25"/>
    <n v="109.7"/>
    <n v="109.85"/>
    <n v="109"/>
  </r>
  <r>
    <s v="Rural"/>
    <x v="0"/>
    <s v="November"/>
    <n v="166.9"/>
    <n v="207.2"/>
    <n v="180.2"/>
    <n v="172.3"/>
    <n v="194"/>
    <n v="159.1"/>
    <n v="171.6"/>
    <n v="170.2"/>
    <n v="121.5"/>
    <n v="204.8"/>
    <n v="176.4"/>
    <n v="186.9"/>
    <n v="176.6"/>
    <n v="164.2"/>
    <n v="181.9"/>
    <n v="175.5"/>
    <n v="182.3"/>
    <n v="167.5"/>
    <n v="170.8"/>
    <n v="176.9"/>
    <n v="173.4"/>
    <n v="174.6"/>
    <n v="177.8"/>
    <n v="175.97692307692307"/>
    <n v="181.9"/>
    <n v="167.5"/>
    <n v="169.85"/>
    <n v="182.3"/>
    <n v="173.85000000000002"/>
    <n v="174"/>
  </r>
  <r>
    <s v="Rural+Urban"/>
    <x v="0"/>
    <s v="November"/>
    <n v="167.4"/>
    <n v="209.4"/>
    <n v="181.4"/>
    <n v="172.3"/>
    <n v="188.9"/>
    <n v="160.69999999999999"/>
    <n v="183.1"/>
    <n v="170.5"/>
    <n v="122.1"/>
    <n v="202.8"/>
    <n v="170.4"/>
    <n v="189.5"/>
    <n v="178.3"/>
    <n v="171.8"/>
    <n v="181.3"/>
    <n v="171.4"/>
    <n v="179.8"/>
    <n v="163"/>
    <n v="168.5"/>
    <n v="173.7"/>
    <n v="173.6"/>
    <n v="171.1"/>
    <n v="176.5"/>
    <n v="176.67692307692309"/>
    <n v="181.3"/>
    <n v="163"/>
    <n v="171.60000000000002"/>
    <n v="179.8"/>
    <n v="171.1"/>
    <n v="172.35"/>
  </r>
  <r>
    <s v="Urban"/>
    <x v="0"/>
    <s v="November"/>
    <n v="168.4"/>
    <n v="213.4"/>
    <n v="183.2"/>
    <n v="172.3"/>
    <n v="180"/>
    <n v="162.6"/>
    <n v="205.5"/>
    <n v="171"/>
    <n v="123.4"/>
    <n v="198.8"/>
    <n v="162.1"/>
    <n v="192.4"/>
    <n v="181.3"/>
    <n v="171.8"/>
    <n v="180.3"/>
    <n v="166.9"/>
    <n v="175.8"/>
    <n v="158.9"/>
    <n v="166.7"/>
    <n v="171.5"/>
    <n v="173.8"/>
    <n v="167.4"/>
    <n v="174.1"/>
    <n v="178.03076923076924"/>
    <n v="180.3"/>
    <n v="158.9"/>
    <n v="169.35000000000002"/>
    <n v="175.8"/>
    <n v="169.1"/>
    <n v="170.60000000000002"/>
  </r>
  <r>
    <s v="Rural"/>
    <x v="1"/>
    <s v="March"/>
    <n v="136.9"/>
    <n v="154.1"/>
    <n v="138.69999999999999"/>
    <n v="142.5"/>
    <n v="124.1"/>
    <n v="136.1"/>
    <n v="128.19999999999999"/>
    <n v="122.3"/>
    <n v="108.3"/>
    <n v="138.9"/>
    <n v="137.4"/>
    <n v="156.4"/>
    <n v="137.30000000000001"/>
    <n v="149"/>
    <n v="146.4"/>
    <n v="150"/>
    <n v="150.4"/>
    <n v="129.9"/>
    <n v="143.80000000000001"/>
    <n v="155.5"/>
    <n v="134"/>
    <n v="142.4"/>
    <n v="141.19999999999999"/>
    <n v="135.4769230769231"/>
    <n v="146.4"/>
    <n v="129.9"/>
    <n v="149.5"/>
    <n v="150.4"/>
    <n v="149.65"/>
    <n v="138.19999999999999"/>
  </r>
  <r>
    <s v="Rural+Urban"/>
    <x v="1"/>
    <s v="March"/>
    <n v="137.80000000000001"/>
    <n v="153"/>
    <n v="140.30000000000001"/>
    <n v="142.30000000000001"/>
    <n v="122"/>
    <n v="137.6"/>
    <n v="132.6"/>
    <n v="121.8"/>
    <n v="109"/>
    <n v="139.5"/>
    <n v="133.69999999999999"/>
    <n v="155.19999999999999"/>
    <n v="138.1"/>
    <n v="149"/>
    <n v="139.69999999999999"/>
    <n v="143.80000000000001"/>
    <n v="146.19999999999999"/>
    <n v="124.6"/>
    <n v="137.69999999999999"/>
    <n v="150.30000000000001"/>
    <n v="133.4"/>
    <n v="137.69999999999999"/>
    <n v="140.4"/>
    <n v="135.6076923076923"/>
    <n v="139.69999999999999"/>
    <n v="124.6"/>
    <n v="146.4"/>
    <n v="146.19999999999999"/>
    <n v="144"/>
    <n v="135.55000000000001"/>
  </r>
  <r>
    <s v="Urban"/>
    <x v="1"/>
    <s v="March"/>
    <n v="139.69999999999999"/>
    <n v="151.1"/>
    <n v="142.9"/>
    <n v="141.9"/>
    <n v="118.4"/>
    <n v="139.4"/>
    <n v="141.19999999999999"/>
    <n v="120.7"/>
    <n v="110.4"/>
    <n v="140.69999999999999"/>
    <n v="128.5"/>
    <n v="153.9"/>
    <n v="139.6"/>
    <n v="149"/>
    <n v="128.80000000000001"/>
    <n v="136.80000000000001"/>
    <n v="139.19999999999999"/>
    <n v="119.9"/>
    <n v="133"/>
    <n v="146.69999999999999"/>
    <n v="132.5"/>
    <n v="132.80000000000001"/>
    <n v="139.5"/>
    <n v="136.03076923076924"/>
    <n v="128.80000000000001"/>
    <n v="119.9"/>
    <n v="142.9"/>
    <n v="139.19999999999999"/>
    <n v="139.85"/>
    <n v="132.65"/>
  </r>
  <r>
    <s v="Rural"/>
    <x v="1"/>
    <s v="May"/>
    <n v="137.4"/>
    <n v="159.5"/>
    <n v="134.5"/>
    <n v="142.6"/>
    <n v="124"/>
    <n v="143.69999999999999"/>
    <n v="133.4"/>
    <n v="125.1"/>
    <n v="109.3"/>
    <n v="139.30000000000001"/>
    <n v="137.69999999999999"/>
    <n v="156.4"/>
    <n v="139.19999999999999"/>
    <n v="150.1"/>
    <n v="146.9"/>
    <n v="149.5"/>
    <n v="151.30000000000001"/>
    <n v="130.19999999999999"/>
    <n v="145.9"/>
    <n v="156.69999999999999"/>
    <n v="133.9"/>
    <n v="142.9"/>
    <n v="142.4"/>
    <n v="137.0846153846154"/>
    <n v="146.9"/>
    <n v="130.19999999999999"/>
    <n v="149.80000000000001"/>
    <n v="151.30000000000001"/>
    <n v="151.30000000000001"/>
    <n v="138.4"/>
  </r>
  <r>
    <s v="Rural+Urban"/>
    <x v="1"/>
    <s v="May"/>
    <n v="138.30000000000001"/>
    <n v="158.5"/>
    <n v="136"/>
    <n v="142.5"/>
    <n v="122"/>
    <n v="146.5"/>
    <n v="143"/>
    <n v="124.9"/>
    <n v="109.9"/>
    <n v="139.9"/>
    <n v="134"/>
    <n v="155.5"/>
    <n v="140.9"/>
    <n v="150.1"/>
    <n v="140.30000000000001"/>
    <n v="143.69999999999999"/>
    <n v="146.9"/>
    <n v="124.9"/>
    <n v="139.19999999999999"/>
    <n v="151.6"/>
    <n v="133.4"/>
    <n v="138.19999999999999"/>
    <n v="142"/>
    <n v="137.83846153846156"/>
    <n v="140.30000000000001"/>
    <n v="124.9"/>
    <n v="146.89999999999998"/>
    <n v="146.9"/>
    <n v="145.39999999999998"/>
    <n v="135.80000000000001"/>
  </r>
  <r>
    <s v="Urban"/>
    <x v="1"/>
    <s v="May"/>
    <n v="140.4"/>
    <n v="156.69999999999999"/>
    <n v="138.30000000000001"/>
    <n v="142.4"/>
    <n v="118.6"/>
    <n v="149.69999999999999"/>
    <n v="161.6"/>
    <n v="124.4"/>
    <n v="111.2"/>
    <n v="141"/>
    <n v="128.9"/>
    <n v="154.5"/>
    <n v="143.80000000000001"/>
    <n v="150.1"/>
    <n v="129.4"/>
    <n v="137.19999999999999"/>
    <n v="139.80000000000001"/>
    <n v="120.1"/>
    <n v="134"/>
    <n v="148"/>
    <n v="132.6"/>
    <n v="133.30000000000001"/>
    <n v="141.5"/>
    <n v="139.34615384615387"/>
    <n v="129.4"/>
    <n v="120.1"/>
    <n v="143.64999999999998"/>
    <n v="139.80000000000001"/>
    <n v="141"/>
    <n v="132.94999999999999"/>
  </r>
  <r>
    <s v="Rural"/>
    <x v="1"/>
    <s v="November"/>
    <n v="141.80000000000001"/>
    <n v="163.69999999999999"/>
    <n v="143.80000000000001"/>
    <n v="147.1"/>
    <n v="126"/>
    <n v="146.19999999999999"/>
    <n v="191.4"/>
    <n v="136.19999999999999"/>
    <n v="113.8"/>
    <n v="147.30000000000001"/>
    <n v="138.69999999999999"/>
    <n v="157.69999999999999"/>
    <n v="150.9"/>
    <n v="146.9"/>
    <n v="148.4"/>
    <n v="150.9"/>
    <n v="154.30000000000001"/>
    <n v="132.1"/>
    <n v="149.1"/>
    <n v="160.80000000000001"/>
    <n v="140.6"/>
    <n v="146.1"/>
    <n v="149.9"/>
    <n v="146.50769230769231"/>
    <n v="148.4"/>
    <n v="132.1"/>
    <n v="148.9"/>
    <n v="154.30000000000001"/>
    <n v="154.94999999999999"/>
    <n v="143.35"/>
  </r>
  <r>
    <s v="Rural+Urban"/>
    <x v="1"/>
    <s v="November"/>
    <n v="142.5"/>
    <n v="163.19999999999999"/>
    <n v="145.6"/>
    <n v="146.69999999999999"/>
    <n v="124.3"/>
    <n v="147.4"/>
    <n v="199.6"/>
    <n v="135.69999999999999"/>
    <n v="114.2"/>
    <n v="147"/>
    <n v="135.30000000000001"/>
    <n v="157.5"/>
    <n v="151.9"/>
    <n v="153.5"/>
    <n v="142.30000000000001"/>
    <n v="145.30000000000001"/>
    <n v="149.9"/>
    <n v="126.6"/>
    <n v="142.1"/>
    <n v="155.5"/>
    <n v="140.30000000000001"/>
    <n v="141.30000000000001"/>
    <n v="148.6"/>
    <n v="146.99230769230769"/>
    <n v="142.30000000000001"/>
    <n v="126.6"/>
    <n v="149.4"/>
    <n v="149.9"/>
    <n v="148.80000000000001"/>
    <n v="140.80000000000001"/>
  </r>
  <r>
    <s v="Urban"/>
    <x v="1"/>
    <s v="November"/>
    <n v="144.1"/>
    <n v="162.4"/>
    <n v="148.4"/>
    <n v="145.9"/>
    <n v="121.5"/>
    <n v="148.80000000000001"/>
    <n v="215.7"/>
    <n v="134.6"/>
    <n v="115"/>
    <n v="146.30000000000001"/>
    <n v="130.5"/>
    <n v="157.19999999999999"/>
    <n v="153.6"/>
    <n v="153.5"/>
    <n v="132.19999999999999"/>
    <n v="139.1"/>
    <n v="142.80000000000001"/>
    <n v="121.7"/>
    <n v="136.69999999999999"/>
    <n v="151.80000000000001"/>
    <n v="139.80000000000001"/>
    <n v="136.30000000000001"/>
    <n v="147"/>
    <n v="147.99999999999997"/>
    <n v="132.19999999999999"/>
    <n v="121.7"/>
    <n v="146.30000000000001"/>
    <n v="142.80000000000001"/>
    <n v="144.25"/>
    <n v="138.05000000000001"/>
  </r>
  <r>
    <s v="Rural"/>
    <x v="2"/>
    <s v="November"/>
    <n v="137.1"/>
    <n v="150.80000000000001"/>
    <n v="136.69999999999999"/>
    <n v="141.9"/>
    <n v="122.8"/>
    <n v="143.9"/>
    <n v="147.5"/>
    <n v="121"/>
    <n v="111.6"/>
    <n v="140.6"/>
    <n v="137.5"/>
    <n v="156.1"/>
    <n v="140"/>
    <n v="138.6"/>
    <n v="150.30000000000001"/>
    <n v="148"/>
    <n v="145.4"/>
    <n v="130.30000000000001"/>
    <n v="143.1"/>
    <n v="150.19999999999999"/>
    <n v="133.1"/>
    <n v="140.1"/>
    <n v="142.4"/>
    <n v="137.49999999999997"/>
    <n v="150.30000000000001"/>
    <n v="130.30000000000001"/>
    <n v="143.30000000000001"/>
    <n v="145.4"/>
    <n v="146.64999999999998"/>
    <n v="136.6"/>
  </r>
  <r>
    <s v="Rural+Urban"/>
    <x v="2"/>
    <s v="November"/>
    <n v="137.4"/>
    <n v="149.19999999999999"/>
    <n v="137.1"/>
    <n v="141.80000000000001"/>
    <n v="121.1"/>
    <n v="142.80000000000001"/>
    <n v="146.69999999999999"/>
    <n v="119.1"/>
    <n v="111.9"/>
    <n v="140.9"/>
    <n v="133.5"/>
    <n v="154.5"/>
    <n v="139.69999999999999"/>
    <n v="146.9"/>
    <n v="145.1"/>
    <n v="142.19999999999999"/>
    <n v="142.1"/>
    <n v="125.5"/>
    <n v="136.5"/>
    <n v="147.80000000000001"/>
    <n v="132"/>
    <n v="136.30000000000001"/>
    <n v="140.80000000000001"/>
    <n v="136.59230769230771"/>
    <n v="145.1"/>
    <n v="125.5"/>
    <n v="144.55000000000001"/>
    <n v="142.1"/>
    <n v="142.15"/>
    <n v="134.15"/>
  </r>
  <r>
    <s v="Urban"/>
    <x v="2"/>
    <s v="November"/>
    <n v="138.1"/>
    <n v="146.30000000000001"/>
    <n v="137.80000000000001"/>
    <n v="141.6"/>
    <n v="118.1"/>
    <n v="141.5"/>
    <n v="145.19999999999999"/>
    <n v="115.3"/>
    <n v="112.5"/>
    <n v="141.4"/>
    <n v="128"/>
    <n v="152.6"/>
    <n v="139.1"/>
    <n v="146.9"/>
    <n v="136.69999999999999"/>
    <n v="135.80000000000001"/>
    <n v="136.80000000000001"/>
    <n v="121.2"/>
    <n v="131.30000000000001"/>
    <n v="146.1"/>
    <n v="130.5"/>
    <n v="132.19999999999999"/>
    <n v="139"/>
    <n v="135.19230769230768"/>
    <n v="136.69999999999999"/>
    <n v="121.2"/>
    <n v="141.35000000000002"/>
    <n v="136.80000000000001"/>
    <n v="138.69999999999999"/>
    <n v="131.35"/>
  </r>
  <r>
    <s v="Urban"/>
    <x v="3"/>
    <s v="November"/>
    <n v="134.30000000000001"/>
    <n v="142.1"/>
    <n v="146.69999999999999"/>
    <n v="139.5"/>
    <n v="115.2"/>
    <n v="136.4"/>
    <n v="185.2"/>
    <n v="122.2"/>
    <n v="123.9"/>
    <n v="138.30000000000001"/>
    <n v="125.4"/>
    <n v="146"/>
    <n v="141.5"/>
    <n v="138.6"/>
    <n v="125.7"/>
    <n v="128.80000000000001"/>
    <n v="127.4"/>
    <n v="115.3"/>
    <n v="125.1"/>
    <n v="136.6"/>
    <n v="124.9"/>
    <n v="124.9"/>
    <n v="134.80000000000001"/>
    <n v="138.2076923076923"/>
    <n v="125.7"/>
    <n v="115.3"/>
    <n v="133.69999999999999"/>
    <n v="127.4"/>
    <n v="130.85"/>
    <n v="124.9"/>
  </r>
  <r>
    <s v="Rural+Urban"/>
    <x v="3"/>
    <s v="November"/>
    <n v="135.69999999999999"/>
    <n v="142.4"/>
    <n v="142.9"/>
    <n v="140.80000000000001"/>
    <n v="119.2"/>
    <n v="142.19999999999999"/>
    <n v="173.8"/>
    <n v="131.19999999999999"/>
    <n v="123"/>
    <n v="136.80000000000001"/>
    <n v="129.19999999999999"/>
    <n v="148.9"/>
    <n v="142.1"/>
    <n v="138.6"/>
    <n v="135.30000000000001"/>
    <n v="134.4"/>
    <n v="132.6"/>
    <n v="118.3"/>
    <n v="128.9"/>
    <n v="138.6"/>
    <n v="126.8"/>
    <n v="128.4"/>
    <n v="137.6"/>
    <n v="139.09230769230768"/>
    <n v="135.30000000000001"/>
    <n v="118.3"/>
    <n v="136.5"/>
    <n v="132.6"/>
    <n v="133.75"/>
    <n v="127.6"/>
  </r>
  <r>
    <s v="Rural"/>
    <x v="3"/>
    <s v="November"/>
    <n v="136.30000000000001"/>
    <n v="142.5"/>
    <n v="140.5"/>
    <n v="141.5"/>
    <n v="121.6"/>
    <n v="147.30000000000001"/>
    <n v="168"/>
    <n v="135.80000000000001"/>
    <n v="122.5"/>
    <n v="136"/>
    <n v="131.9"/>
    <n v="151.4"/>
    <n v="142.4"/>
    <n v="138.6"/>
    <n v="141.1"/>
    <n v="139.4"/>
    <n v="135.80000000000001"/>
    <n v="121.6"/>
    <n v="133.69999999999999"/>
    <n v="141.5"/>
    <n v="128.1"/>
    <n v="131.69999999999999"/>
    <n v="140"/>
    <n v="139.82307692307694"/>
    <n v="141.1"/>
    <n v="121.6"/>
    <n v="139"/>
    <n v="135.80000000000001"/>
    <n v="137.6"/>
    <n v="129.89999999999998"/>
  </r>
  <r>
    <s v="Urban"/>
    <x v="4"/>
    <s v="November"/>
    <n v="130.19999999999999"/>
    <n v="138.5"/>
    <n v="134.1"/>
    <n v="132.9"/>
    <n v="112.6"/>
    <n v="130.80000000000001"/>
    <n v="142"/>
    <n v="174.9"/>
    <n v="115.6"/>
    <n v="145.4"/>
    <n v="122.7"/>
    <n v="140.30000000000001"/>
    <n v="135.19999999999999"/>
    <n v="129.1"/>
    <n v="116.2"/>
    <n v="124.7"/>
    <n v="122.1"/>
    <n v="113.4"/>
    <n v="121.7"/>
    <n v="132.1"/>
    <n v="121.3"/>
    <n v="121.3"/>
    <n v="128.5"/>
    <n v="135.01538461538462"/>
    <n v="116.2"/>
    <n v="113.4"/>
    <n v="126.9"/>
    <n v="122.1"/>
    <n v="126.9"/>
    <n v="121.3"/>
  </r>
  <r>
    <s v="Rural+Urban"/>
    <x v="4"/>
    <s v="November"/>
    <n v="131.4"/>
    <n v="137.80000000000001"/>
    <n v="132"/>
    <n v="135"/>
    <n v="118"/>
    <n v="134.1"/>
    <n v="141.9"/>
    <n v="171.7"/>
    <n v="114.1"/>
    <n v="139.69999999999999"/>
    <n v="126.2"/>
    <n v="141.80000000000001"/>
    <n v="136.1"/>
    <n v="129.1"/>
    <n v="125"/>
    <n v="128.6"/>
    <n v="126.4"/>
    <n v="115.7"/>
    <n v="124"/>
    <n v="132.80000000000001"/>
    <n v="122.6"/>
    <n v="123.8"/>
    <n v="131.19999999999999"/>
    <n v="135.36923076923077"/>
    <n v="125"/>
    <n v="115.7"/>
    <n v="128.85"/>
    <n v="126.4"/>
    <n v="128.4"/>
    <n v="123.19999999999999"/>
  </r>
  <r>
    <s v="Rural"/>
    <x v="4"/>
    <s v="November"/>
    <n v="132"/>
    <n v="137.4"/>
    <n v="130.6"/>
    <n v="136.19999999999999"/>
    <n v="121.1"/>
    <n v="136.9"/>
    <n v="141.80000000000001"/>
    <n v="170"/>
    <n v="113.4"/>
    <n v="136.80000000000001"/>
    <n v="128.69999999999999"/>
    <n v="143.1"/>
    <n v="136.6"/>
    <n v="129.1"/>
    <n v="130.30000000000001"/>
    <n v="132.1"/>
    <n v="129.1"/>
    <n v="118.2"/>
    <n v="126.9"/>
    <n v="133.69999999999999"/>
    <n v="123.5"/>
    <n v="126.1"/>
    <n v="133.6"/>
    <n v="135.73846153846154"/>
    <n v="130.30000000000001"/>
    <n v="118.2"/>
    <n v="130.6"/>
    <n v="129.1"/>
    <n v="130.30000000000001"/>
    <n v="124.8"/>
  </r>
  <r>
    <s v="Urban"/>
    <x v="5"/>
    <s v="November"/>
    <n v="124"/>
    <n v="129.80000000000001"/>
    <n v="121.5"/>
    <n v="128.6"/>
    <n v="110"/>
    <n v="123.7"/>
    <n v="164.6"/>
    <n v="191.6"/>
    <n v="90.8"/>
    <n v="137.1"/>
    <n v="119.8"/>
    <n v="133.69999999999999"/>
    <n v="133.30000000000001"/>
    <n v="122.9"/>
    <n v="115.1"/>
    <n v="121"/>
    <n v="118.1"/>
    <n v="109.3"/>
    <n v="117.9"/>
    <n v="126.6"/>
    <n v="113.3"/>
    <n v="116.6"/>
    <n v="124.6"/>
    <n v="131.42307692307691"/>
    <n v="115.1"/>
    <n v="109.3"/>
    <n v="121.95"/>
    <n v="118.1"/>
    <n v="122.25"/>
    <n v="114.94999999999999"/>
  </r>
  <r>
    <s v="Rural+Urban"/>
    <x v="5"/>
    <s v="November"/>
    <n v="125.4"/>
    <n v="130.30000000000001"/>
    <n v="121.6"/>
    <n v="129.19999999999999"/>
    <n v="114.9"/>
    <n v="128.19999999999999"/>
    <n v="158.4"/>
    <n v="171.2"/>
    <n v="93.3"/>
    <n v="131.19999999999999"/>
    <n v="121.7"/>
    <n v="134"/>
    <n v="132.69999999999999"/>
    <n v="122.9"/>
    <n v="121.6"/>
    <n v="123.4"/>
    <n v="120.9"/>
    <n v="111.5"/>
    <n v="119.2"/>
    <n v="126.3"/>
    <n v="113.8"/>
    <n v="118.1"/>
    <n v="126.6"/>
    <n v="130.16153846153844"/>
    <n v="121.6"/>
    <n v="111.5"/>
    <n v="123.15"/>
    <n v="120.9"/>
    <n v="122.75"/>
    <n v="115.94999999999999"/>
  </r>
  <r>
    <s v="Rural"/>
    <x v="5"/>
    <s v="November"/>
    <n v="126.1"/>
    <n v="130.6"/>
    <n v="121.7"/>
    <n v="129.5"/>
    <n v="117.8"/>
    <n v="132.1"/>
    <n v="155.19999999999999"/>
    <n v="160.80000000000001"/>
    <n v="94.5"/>
    <n v="128.30000000000001"/>
    <n v="123.1"/>
    <n v="134.19999999999999"/>
    <n v="132.4"/>
    <n v="122.9"/>
    <n v="125.6"/>
    <n v="125.6"/>
    <n v="122.6"/>
    <n v="114"/>
    <n v="120.9"/>
    <n v="125.8"/>
    <n v="114.2"/>
    <n v="119.6"/>
    <n v="128.30000000000001"/>
    <n v="129.71538461538461"/>
    <n v="125.6"/>
    <n v="114"/>
    <n v="124.25"/>
    <n v="122.6"/>
    <n v="123.35"/>
    <n v="116.9"/>
  </r>
  <r>
    <s v="Rural"/>
    <x v="6"/>
    <s v="November"/>
    <n v="122.7"/>
    <n v="122.6"/>
    <n v="119.9"/>
    <n v="124"/>
    <n v="110.5"/>
    <n v="128.80000000000001"/>
    <n v="152"/>
    <n v="116.2"/>
    <n v="103.3"/>
    <n v="115.8"/>
    <n v="116.8"/>
    <n v="124.5"/>
    <n v="124.9"/>
    <n v="111.1"/>
    <n v="117.3"/>
    <n v="118.1"/>
    <n v="115.9"/>
    <n v="112"/>
    <n v="113.3"/>
    <n v="117.2"/>
    <n v="108.8"/>
    <n v="114.1"/>
    <n v="121.1"/>
    <n v="121.69230769230769"/>
    <n v="117.3"/>
    <n v="112"/>
    <n v="114.6"/>
    <n v="115.9"/>
    <n v="115.25"/>
    <n v="111.44999999999999"/>
  </r>
  <r>
    <s v="Rural+Urban"/>
    <x v="6"/>
    <s v="November"/>
    <n v="123.3"/>
    <n v="123.7"/>
    <n v="121"/>
    <n v="124.2"/>
    <n v="107.8"/>
    <n v="125.7"/>
    <n v="152.4"/>
    <n v="117.2"/>
    <n v="102.1"/>
    <n v="118.7"/>
    <n v="116.4"/>
    <n v="125.6"/>
    <n v="125.1"/>
    <n v="117.1"/>
    <n v="115.5"/>
    <n v="117.3"/>
    <n v="114.8"/>
    <n v="110.8"/>
    <n v="113.7"/>
    <n v="119"/>
    <n v="109.1"/>
    <n v="113.8"/>
    <n v="120.1"/>
    <n v="121.78461538461539"/>
    <n v="115.5"/>
    <n v="110.8"/>
    <n v="117.19999999999999"/>
    <n v="114.8"/>
    <n v="116.35"/>
    <n v="111.44999999999999"/>
  </r>
  <r>
    <s v="Urban"/>
    <x v="6"/>
    <s v="November"/>
    <n v="124.5"/>
    <n v="125.6"/>
    <n v="122.7"/>
    <n v="124.6"/>
    <n v="103.2"/>
    <n v="122.2"/>
    <n v="153.19999999999999"/>
    <n v="119.3"/>
    <n v="99.8"/>
    <n v="124.6"/>
    <n v="115.8"/>
    <n v="126.9"/>
    <n v="125.4"/>
    <n v="117.1"/>
    <n v="112.6"/>
    <n v="116.4"/>
    <n v="113"/>
    <n v="109.7"/>
    <n v="114"/>
    <n v="120.3"/>
    <n v="109.6"/>
    <n v="113.4"/>
    <n v="119"/>
    <n v="122.13846153846154"/>
    <n v="112.6"/>
    <n v="109.7"/>
    <n v="116.75"/>
    <n v="113"/>
    <n v="117.15"/>
    <n v="111.5"/>
  </r>
  <r>
    <s v="Rural+Urban"/>
    <x v="7"/>
    <s v="November"/>
    <n v="118.1"/>
    <n v="115.4"/>
    <n v="118.7"/>
    <n v="112.5"/>
    <n v="106.8"/>
    <n v="113.5"/>
    <n v="183.1"/>
    <n v="108.2"/>
    <n v="102.2"/>
    <n v="109.4"/>
    <n v="111.8"/>
    <n v="116.5"/>
    <n v="122.6"/>
    <n v="111.1"/>
    <n v="111.6"/>
    <n v="111.1"/>
    <n v="109.3"/>
    <n v="109.5"/>
    <n v="108.6"/>
    <n v="111.2"/>
    <n v="108.1"/>
    <n v="109.7"/>
    <n v="116.3"/>
    <n v="118.36923076923077"/>
    <n v="111.6"/>
    <n v="109.5"/>
    <n v="111.1"/>
    <n v="109.3"/>
    <n v="109.9"/>
    <n v="108.9"/>
  </r>
  <r>
    <s v="Urban"/>
    <x v="7"/>
    <s v="November"/>
    <n v="119.8"/>
    <n v="116.3"/>
    <n v="122.6"/>
    <n v="112"/>
    <n v="103.2"/>
    <n v="110"/>
    <n v="192.8"/>
    <n v="106.3"/>
    <n v="99.5"/>
    <n v="110.3"/>
    <n v="111.8"/>
    <n v="117.1"/>
    <n v="122.9"/>
    <n v="111.1"/>
    <n v="110"/>
    <n v="110.9"/>
    <n v="108.6"/>
    <n v="109.5"/>
    <n v="108.5"/>
    <n v="111.3"/>
    <n v="107.9"/>
    <n v="109.6"/>
    <n v="115"/>
    <n v="118.8153846153846"/>
    <n v="110"/>
    <n v="109.5"/>
    <n v="111"/>
    <n v="108.6"/>
    <n v="109.9"/>
    <n v="108.75"/>
  </r>
  <r>
    <s v="Rural"/>
    <x v="8"/>
    <s v="May"/>
    <n v="173.2"/>
    <n v="211.5"/>
    <n v="171"/>
    <n v="179.6"/>
    <n v="173.3"/>
    <n v="169"/>
    <n v="148.69999999999999"/>
    <n v="174.9"/>
    <n v="121.9"/>
    <n v="221"/>
    <n v="178.7"/>
    <n v="191.1"/>
    <n v="176.8"/>
    <n v="175.6"/>
    <n v="182.5"/>
    <n v="179.8"/>
    <n v="187.8"/>
    <n v="169.7"/>
    <n v="173.8"/>
    <n v="180.3"/>
    <n v="184.9"/>
    <n v="179.5"/>
    <n v="179.8"/>
    <n v="176.20769230769235"/>
    <n v="182.5"/>
    <n v="169.7"/>
    <n v="177.7"/>
    <n v="187.8"/>
    <n v="177.05"/>
    <n v="182.2"/>
  </r>
  <r>
    <s v="Rural+Urban"/>
    <x v="8"/>
    <s v="May"/>
    <n v="173.7"/>
    <n v="214.3"/>
    <n v="173.2"/>
    <n v="179.5"/>
    <n v="170"/>
    <n v="172.2"/>
    <n v="161"/>
    <n v="175.6"/>
    <n v="122.7"/>
    <n v="218"/>
    <n v="173.4"/>
    <n v="194.2"/>
    <n v="179.1"/>
    <n v="175.6"/>
    <n v="182.8"/>
    <n v="175.2"/>
    <n v="185.7"/>
    <n v="164.8"/>
    <n v="171.2"/>
    <n v="177.1"/>
    <n v="185.2"/>
    <n v="175.7"/>
    <n v="179.1"/>
    <n v="177.45384615384617"/>
    <n v="182.8"/>
    <n v="164.8"/>
    <n v="175.39999999999998"/>
    <n v="185.7"/>
    <n v="174.14999999999998"/>
    <n v="180.45"/>
  </r>
  <r>
    <s v="Urban"/>
    <x v="8"/>
    <s v="May"/>
    <n v="174.7"/>
    <n v="219.4"/>
    <n v="176.7"/>
    <n v="179.4"/>
    <n v="164.4"/>
    <n v="175.8"/>
    <n v="185"/>
    <n v="176.9"/>
    <n v="124.2"/>
    <n v="211.9"/>
    <n v="165.9"/>
    <n v="197.7"/>
    <n v="183.1"/>
    <n v="175.6"/>
    <n v="183.4"/>
    <n v="170.1"/>
    <n v="182.2"/>
    <n v="160.4"/>
    <n v="169.2"/>
    <n v="174.8"/>
    <n v="185.6"/>
    <n v="171.6"/>
    <n v="178.2"/>
    <n v="179.62307692307692"/>
    <n v="183.4"/>
    <n v="160.4"/>
    <n v="172.85"/>
    <n v="182.2"/>
    <n v="172"/>
    <n v="178.6"/>
  </r>
  <r>
    <s v="Rural"/>
    <x v="0"/>
    <s v="May"/>
    <n v="152.9"/>
    <n v="214.7"/>
    <n v="161.4"/>
    <n v="164.6"/>
    <n v="209.9"/>
    <n v="168"/>
    <n v="160.4"/>
    <n v="165"/>
    <n v="118.9"/>
    <n v="186.6"/>
    <n v="173.2"/>
    <n v="180.4"/>
    <n v="170.8"/>
    <n v="167.5"/>
    <n v="175.3"/>
    <n v="168.9"/>
    <n v="177.7"/>
    <n v="167.1"/>
    <n v="167.6"/>
    <n v="171.8"/>
    <n v="168.5"/>
    <n v="170.9"/>
    <n v="172.5"/>
    <n v="171.2923076923077"/>
    <n v="175.3"/>
    <n v="167.1"/>
    <n v="168.2"/>
    <n v="177.7"/>
    <n v="169.7"/>
    <n v="169.7"/>
  </r>
  <r>
    <s v="Rural+Urban"/>
    <x v="0"/>
    <s v="May"/>
    <n v="154.1"/>
    <n v="217"/>
    <n v="162.4"/>
    <n v="164.9"/>
    <n v="202.4"/>
    <n v="171"/>
    <n v="174.9"/>
    <n v="164.7"/>
    <n v="119.7"/>
    <n v="184.9"/>
    <n v="167.1"/>
    <n v="182.5"/>
    <n v="173.3"/>
    <n v="167.5"/>
    <n v="174.6"/>
    <n v="165.2"/>
    <n v="174.8"/>
    <n v="163"/>
    <n v="165.1"/>
    <n v="167.9"/>
    <n v="168.4"/>
    <n v="167.5"/>
    <n v="171.7"/>
    <n v="172.22307692307697"/>
    <n v="174.6"/>
    <n v="163"/>
    <n v="166.35"/>
    <n v="174.8"/>
    <n v="166.5"/>
    <n v="167.95"/>
  </r>
  <r>
    <s v="Urban"/>
    <x v="0"/>
    <s v="May"/>
    <n v="156.69999999999999"/>
    <n v="221.2"/>
    <n v="164.1"/>
    <n v="165.4"/>
    <n v="189.5"/>
    <n v="174.5"/>
    <n v="203.2"/>
    <n v="164.1"/>
    <n v="121.2"/>
    <n v="181.4"/>
    <n v="158.5"/>
    <n v="184.9"/>
    <n v="177.5"/>
    <n v="167.5"/>
    <n v="173.5"/>
    <n v="161.1"/>
    <n v="170.1"/>
    <n v="159.4"/>
    <n v="163.19999999999999"/>
    <n v="165.2"/>
    <n v="168.2"/>
    <n v="163.80000000000001"/>
    <n v="170.8"/>
    <n v="174.01538461538465"/>
    <n v="173.5"/>
    <n v="159.4"/>
    <n v="164.3"/>
    <n v="170.1"/>
    <n v="164.2"/>
    <n v="166"/>
  </r>
  <r>
    <s v="Rural"/>
    <x v="1"/>
    <s v="October"/>
    <n v="141"/>
    <n v="161.6"/>
    <n v="141.19999999999999"/>
    <n v="146.5"/>
    <n v="125.6"/>
    <n v="145.69999999999999"/>
    <n v="178.8"/>
    <n v="133.1"/>
    <n v="113.6"/>
    <n v="145.5"/>
    <n v="138.6"/>
    <n v="157.4"/>
    <n v="148.30000000000001"/>
    <n v="146.44999999999999"/>
    <n v="147.69999999999999"/>
    <n v="150.6"/>
    <n v="153.69999999999999"/>
    <n v="131.69999999999999"/>
    <n v="148.69999999999999"/>
    <n v="160.69999999999999"/>
    <n v="140.30000000000001"/>
    <n v="145.69999999999999"/>
    <n v="148.30000000000001"/>
    <n v="144.37692307692305"/>
    <n v="147.69999999999999"/>
    <n v="131.69999999999999"/>
    <n v="148.52499999999998"/>
    <n v="153.69999999999999"/>
    <n v="154.69999999999999"/>
    <n v="143"/>
  </r>
  <r>
    <s v="Rural+Urban"/>
    <x v="1"/>
    <s v="October"/>
    <n v="141.80000000000001"/>
    <n v="161"/>
    <n v="142.6"/>
    <n v="146.19999999999999"/>
    <n v="123.9"/>
    <n v="148"/>
    <n v="188.4"/>
    <n v="132.5"/>
    <n v="114"/>
    <n v="145.4"/>
    <n v="135.1"/>
    <n v="157.1"/>
    <n v="149.6"/>
    <n v="153"/>
    <n v="140.6"/>
    <n v="145"/>
    <n v="149.4"/>
    <n v="126.3"/>
    <n v="141.69999999999999"/>
    <n v="155.4"/>
    <n v="140"/>
    <n v="141"/>
    <n v="147.19999999999999"/>
    <n v="145.04615384615383"/>
    <n v="140.6"/>
    <n v="126.3"/>
    <n v="149"/>
    <n v="149.4"/>
    <n v="148.55000000000001"/>
    <n v="140.5"/>
  </r>
  <r>
    <s v="Urban"/>
    <x v="1"/>
    <s v="October"/>
    <n v="143.5"/>
    <n v="159.80000000000001"/>
    <n v="144.69999999999999"/>
    <n v="145.6"/>
    <n v="121.1"/>
    <n v="150.6"/>
    <n v="207.2"/>
    <n v="131.19999999999999"/>
    <n v="114.8"/>
    <n v="145.19999999999999"/>
    <n v="130.19999999999999"/>
    <n v="156.80000000000001"/>
    <n v="151.9"/>
    <n v="153"/>
    <n v="128.9"/>
    <n v="138.69999999999999"/>
    <n v="142.4"/>
    <n v="121.5"/>
    <n v="136.19999999999999"/>
    <n v="151.69999999999999"/>
    <n v="139.5"/>
    <n v="136"/>
    <n v="146"/>
    <n v="146.35384615384618"/>
    <n v="128.9"/>
    <n v="121.5"/>
    <n v="145.85"/>
    <n v="142.4"/>
    <n v="143.94999999999999"/>
    <n v="137.75"/>
  </r>
  <r>
    <s v="Rural"/>
    <x v="1"/>
    <s v="September"/>
    <n v="140.1"/>
    <n v="161.9"/>
    <n v="138.30000000000001"/>
    <n v="145.69999999999999"/>
    <n v="125.1"/>
    <n v="143.80000000000001"/>
    <n v="163.4"/>
    <n v="132.19999999999999"/>
    <n v="112.8"/>
    <n v="144.19999999999999"/>
    <n v="138.5"/>
    <n v="157.19999999999999"/>
    <n v="145.5"/>
    <n v="145.30000000000001"/>
    <n v="146.9"/>
    <n v="150.30000000000001"/>
    <n v="153.4"/>
    <n v="131.6"/>
    <n v="148.30000000000001"/>
    <n v="160.19999999999999"/>
    <n v="140.19999999999999"/>
    <n v="145.4"/>
    <n v="146.69999999999999"/>
    <n v="142.2076923076923"/>
    <n v="146.9"/>
    <n v="131.6"/>
    <n v="147.80000000000001"/>
    <n v="153.4"/>
    <n v="154.25"/>
    <n v="142.80000000000001"/>
  </r>
  <r>
    <s v="Rural+Urban"/>
    <x v="1"/>
    <s v="September"/>
    <n v="140.9"/>
    <n v="160.80000000000001"/>
    <n v="139.6"/>
    <n v="145.4"/>
    <n v="123.5"/>
    <n v="146.6"/>
    <n v="173.2"/>
    <n v="131.6"/>
    <n v="113.2"/>
    <n v="144.1"/>
    <n v="135"/>
    <n v="156.80000000000001"/>
    <n v="147"/>
    <n v="152.19999999999999"/>
    <n v="139.19999999999999"/>
    <n v="144.6"/>
    <n v="149"/>
    <n v="126.1"/>
    <n v="141.30000000000001"/>
    <n v="155.19999999999999"/>
    <n v="139.69999999999999"/>
    <n v="140.69999999999999"/>
    <n v="145.80000000000001"/>
    <n v="142.89999999999998"/>
    <n v="139.19999999999999"/>
    <n v="126.1"/>
    <n v="148.39999999999998"/>
    <n v="149"/>
    <n v="148.25"/>
    <n v="140.19999999999999"/>
  </r>
  <r>
    <s v="Urban"/>
    <x v="1"/>
    <s v="September"/>
    <n v="142.69999999999999"/>
    <n v="158.69999999999999"/>
    <n v="141.6"/>
    <n v="144.9"/>
    <n v="120.8"/>
    <n v="149.80000000000001"/>
    <n v="192.4"/>
    <n v="130.30000000000001"/>
    <n v="114"/>
    <n v="143.80000000000001"/>
    <n v="130"/>
    <n v="156.4"/>
    <n v="149.5"/>
    <n v="152.19999999999999"/>
    <n v="126.6"/>
    <n v="138.30000000000001"/>
    <n v="141.9"/>
    <n v="121.2"/>
    <n v="135.9"/>
    <n v="151.6"/>
    <n v="139"/>
    <n v="135.69999999999999"/>
    <n v="144.69999999999999"/>
    <n v="144.22307692307692"/>
    <n v="126.6"/>
    <n v="121.2"/>
    <n v="145.25"/>
    <n v="141.9"/>
    <n v="143.75"/>
    <n v="137.35"/>
  </r>
  <r>
    <s v="Rural"/>
    <x v="9"/>
    <s v="April"/>
    <n v="147.19999999999999"/>
    <n v="144.5"/>
    <n v="146.9"/>
    <n v="155.6"/>
    <n v="137.1"/>
    <n v="147.30000000000001"/>
    <n v="162.69999999999999"/>
    <n v="150.19999999999999"/>
    <n v="119.8"/>
    <n v="158.69999999999999"/>
    <n v="139.19999999999999"/>
    <n v="152.5"/>
    <n v="150.1"/>
    <n v="155.6"/>
    <n v="148.4"/>
    <n v="138.80000000000001"/>
    <n v="154.30000000000001"/>
    <n v="123.6"/>
    <n v="133.69999999999999"/>
    <n v="142.6"/>
    <n v="129.80000000000001"/>
    <n v="132.80000000000001"/>
    <n v="138.1"/>
    <n v="147.06153846153848"/>
    <n v="148.4"/>
    <n v="123.6"/>
    <n v="147.19999999999999"/>
    <n v="154.30000000000001"/>
    <n v="138.14999999999998"/>
    <n v="131.30000000000001"/>
  </r>
  <r>
    <s v="Rural+Urban"/>
    <x v="9"/>
    <s v="April"/>
    <n v="148.69999999999999"/>
    <n v="144.5"/>
    <n v="148.80000000000001"/>
    <n v="155.6"/>
    <n v="135.1"/>
    <n v="149.9"/>
    <n v="168.6"/>
    <n v="150.4"/>
    <n v="120.3"/>
    <n v="157.1"/>
    <n v="136.80000000000001"/>
    <n v="153.19999999999999"/>
    <n v="151.4"/>
    <n v="155.6"/>
    <n v="144.1"/>
    <n v="139.80000000000001"/>
    <n v="150.69999999999999"/>
    <n v="124.5"/>
    <n v="134.80000000000001"/>
    <n v="143.1"/>
    <n v="130.1"/>
    <n v="133.5"/>
    <n v="138.6"/>
    <n v="147.72307692307692"/>
    <n v="144.1"/>
    <n v="124.5"/>
    <n v="147.69999999999999"/>
    <n v="150.69999999999999"/>
    <n v="138.94999999999999"/>
    <n v="131.80000000000001"/>
  </r>
  <r>
    <s v="Urban"/>
    <x v="9"/>
    <s v="April"/>
    <n v="151.80000000000001"/>
    <n v="144.5"/>
    <n v="151.9"/>
    <n v="155.5"/>
    <n v="131.6"/>
    <n v="152.9"/>
    <n v="180"/>
    <n v="150.80000000000001"/>
    <n v="121.2"/>
    <n v="154"/>
    <n v="133.5"/>
    <n v="152.80000000000001"/>
    <n v="153.5"/>
    <n v="155.6"/>
    <n v="137.1"/>
    <n v="139.30000000000001"/>
    <n v="144.80000000000001"/>
    <n v="124"/>
    <n v="134.19999999999999"/>
    <n v="142.80000000000001"/>
    <n v="129.94999999999999"/>
    <n v="133.1"/>
    <n v="138.4"/>
    <n v="148.76923076923077"/>
    <n v="137.1"/>
    <n v="124"/>
    <n v="147.44999999999999"/>
    <n v="144.80000000000001"/>
    <n v="138.5"/>
    <n v="131.52499999999998"/>
  </r>
  <r>
    <s v="Urban"/>
    <x v="2"/>
    <s v="May"/>
    <n v="135"/>
    <n v="148.19999999999999"/>
    <n v="130.5"/>
    <n v="140.69999999999999"/>
    <n v="116.4"/>
    <n v="151.30000000000001"/>
    <n v="131.4"/>
    <n v="112.8"/>
    <n v="105.3"/>
    <n v="139.6"/>
    <n v="126.6"/>
    <n v="148.69999999999999"/>
    <n v="136.4"/>
    <n v="143.19999999999999"/>
    <n v="124.7"/>
    <n v="132.5"/>
    <n v="132"/>
    <n v="119.8"/>
    <n v="128"/>
    <n v="140.4"/>
    <n v="128.1"/>
    <n v="128.9"/>
    <n v="135.4"/>
    <n v="132.53076923076921"/>
    <n v="124.7"/>
    <n v="119.8"/>
    <n v="137.85"/>
    <n v="132"/>
    <n v="134.19999999999999"/>
    <n v="128.5"/>
  </r>
  <r>
    <s v="Rural+Urban"/>
    <x v="2"/>
    <s v="May"/>
    <n v="136.6"/>
    <n v="146.6"/>
    <n v="133.6"/>
    <n v="142.1"/>
    <n v="121"/>
    <n v="154.6"/>
    <n v="135.6"/>
    <n v="122.3"/>
    <n v="109.6"/>
    <n v="138.1"/>
    <n v="129.9"/>
    <n v="151.69999999999999"/>
    <n v="138.1"/>
    <n v="143.19999999999999"/>
    <n v="136.9"/>
    <n v="137.4"/>
    <n v="136"/>
    <n v="122.9"/>
    <n v="131.80000000000001"/>
    <n v="142.1"/>
    <n v="129.9"/>
    <n v="132.1"/>
    <n v="137.80000000000001"/>
    <n v="135.36923076923077"/>
    <n v="136.9"/>
    <n v="122.9"/>
    <n v="140.30000000000001"/>
    <n v="136"/>
    <n v="136.94999999999999"/>
    <n v="131"/>
  </r>
  <r>
    <s v="Rural"/>
    <x v="2"/>
    <s v="May"/>
    <n v="137.4"/>
    <n v="145.69999999999999"/>
    <n v="135.5"/>
    <n v="142.9"/>
    <n v="123.6"/>
    <n v="157.5"/>
    <n v="137.80000000000001"/>
    <n v="127.2"/>
    <n v="111.8"/>
    <n v="137.4"/>
    <n v="132.19999999999999"/>
    <n v="154.30000000000001"/>
    <n v="139.1"/>
    <n v="143.19999999999999"/>
    <n v="144.30000000000001"/>
    <n v="141.80000000000001"/>
    <n v="138.4"/>
    <n v="126.4"/>
    <n v="136.80000000000001"/>
    <n v="144.4"/>
    <n v="131.19999999999999"/>
    <n v="135.1"/>
    <n v="139.80000000000001"/>
    <n v="137.1076923076923"/>
    <n v="144.30000000000001"/>
    <n v="126.4"/>
    <n v="142.5"/>
    <n v="138.4"/>
    <n v="140.60000000000002"/>
    <n v="133.14999999999998"/>
  </r>
  <r>
    <s v="Urban"/>
    <x v="3"/>
    <s v="May"/>
    <n v="132.6"/>
    <n v="144.1"/>
    <n v="125.6"/>
    <n v="136.80000000000001"/>
    <n v="113.4"/>
    <n v="135.19999999999999"/>
    <n v="129.19999999999999"/>
    <n v="131.5"/>
    <n v="121"/>
    <n v="139.9"/>
    <n v="123.8"/>
    <n v="142.9"/>
    <n v="133.6"/>
    <n v="132.1"/>
    <n v="120.1"/>
    <n v="126.5"/>
    <n v="123.6"/>
    <n v="114.3"/>
    <n v="122.8"/>
    <n v="133.80000000000001"/>
    <n v="122"/>
    <n v="122.6"/>
    <n v="129.30000000000001"/>
    <n v="131.50769230769231"/>
    <n v="120.1"/>
    <n v="114.3"/>
    <n v="129.30000000000001"/>
    <n v="123.6"/>
    <n v="128.30000000000001"/>
    <n v="122.3"/>
  </r>
  <r>
    <s v="Rural+Urban"/>
    <x v="3"/>
    <s v="May"/>
    <n v="132.9"/>
    <n v="141.6"/>
    <n v="126.3"/>
    <n v="137.69999999999999"/>
    <n v="118.1"/>
    <n v="137.9"/>
    <n v="125.6"/>
    <n v="138.30000000000001"/>
    <n v="119.4"/>
    <n v="136"/>
    <n v="127.6"/>
    <n v="144.5"/>
    <n v="133.69999999999999"/>
    <n v="132.1"/>
    <n v="129.4"/>
    <n v="130.9"/>
    <n v="128.4"/>
    <n v="116.7"/>
    <n v="125.7"/>
    <n v="134.80000000000001"/>
    <n v="123"/>
    <n v="125.3"/>
    <n v="131.4"/>
    <n v="132.27692307692308"/>
    <n v="129.4"/>
    <n v="116.7"/>
    <n v="131.5"/>
    <n v="128.4"/>
    <n v="130.25"/>
    <n v="124.15"/>
  </r>
  <r>
    <s v="Rural"/>
    <x v="3"/>
    <s v="May"/>
    <n v="133.1"/>
    <n v="140.30000000000001"/>
    <n v="126.8"/>
    <n v="138.19999999999999"/>
    <n v="120.8"/>
    <n v="140.19999999999999"/>
    <n v="123.8"/>
    <n v="141.80000000000001"/>
    <n v="118.6"/>
    <n v="134"/>
    <n v="130.30000000000001"/>
    <n v="145.80000000000001"/>
    <n v="133.80000000000001"/>
    <n v="132.1"/>
    <n v="135"/>
    <n v="134.9"/>
    <n v="131.4"/>
    <n v="119.4"/>
    <n v="129.4"/>
    <n v="136.30000000000001"/>
    <n v="123.7"/>
    <n v="127.9"/>
    <n v="133.30000000000001"/>
    <n v="132.88461538461536"/>
    <n v="135"/>
    <n v="119.4"/>
    <n v="133.5"/>
    <n v="131.4"/>
    <n v="132.85000000000002"/>
    <n v="125.80000000000001"/>
  </r>
  <r>
    <s v="Urban"/>
    <x v="4"/>
    <s v="May"/>
    <n v="125"/>
    <n v="142.1"/>
    <n v="127"/>
    <n v="130.4"/>
    <n v="109.6"/>
    <n v="133.5"/>
    <n v="151.4"/>
    <n v="182.8"/>
    <n v="111.1"/>
    <n v="141.5"/>
    <n v="121.5"/>
    <n v="136.30000000000001"/>
    <n v="134.6"/>
    <n v="126"/>
    <n v="115"/>
    <n v="123.2"/>
    <n v="120.3"/>
    <n v="110.7"/>
    <n v="119.8"/>
    <n v="128"/>
    <n v="118.5"/>
    <n v="118.7"/>
    <n v="126.6"/>
    <n v="134.36923076923074"/>
    <n v="115"/>
    <n v="110.7"/>
    <n v="124.6"/>
    <n v="120.3"/>
    <n v="123.9"/>
    <n v="118.6"/>
  </r>
  <r>
    <s v="Rural+Urban"/>
    <x v="4"/>
    <s v="May"/>
    <n v="126.8"/>
    <n v="139.1"/>
    <n v="125.4"/>
    <n v="131.69999999999999"/>
    <n v="115"/>
    <n v="136"/>
    <n v="145.1"/>
    <n v="171.7"/>
    <n v="108.7"/>
    <n v="135.30000000000001"/>
    <n v="124.2"/>
    <n v="137.4"/>
    <n v="134"/>
    <n v="126"/>
    <n v="122.7"/>
    <n v="126"/>
    <n v="123.7"/>
    <n v="112.8"/>
    <n v="121.5"/>
    <n v="128.5"/>
    <n v="119.2"/>
    <n v="120.7"/>
    <n v="128.6"/>
    <n v="133.1076923076923"/>
    <n v="122.7"/>
    <n v="112.8"/>
    <n v="126"/>
    <n v="123.7"/>
    <n v="125"/>
    <n v="119.95"/>
  </r>
  <r>
    <s v="Rural"/>
    <x v="4"/>
    <s v="May"/>
    <n v="127.6"/>
    <n v="137.5"/>
    <n v="124.4"/>
    <n v="132.4"/>
    <n v="118.2"/>
    <n v="138.1"/>
    <n v="141.80000000000001"/>
    <n v="166"/>
    <n v="107.5"/>
    <n v="132.19999999999999"/>
    <n v="126.1"/>
    <n v="138.30000000000001"/>
    <n v="133.6"/>
    <n v="126"/>
    <n v="127.4"/>
    <n v="128.5"/>
    <n v="125.8"/>
    <n v="115.1"/>
    <n v="123.6"/>
    <n v="129.1"/>
    <n v="119.7"/>
    <n v="122.5"/>
    <n v="130.30000000000001"/>
    <n v="132.59230769230768"/>
    <n v="127.4"/>
    <n v="115.1"/>
    <n v="127.25"/>
    <n v="125.8"/>
    <n v="126.35"/>
    <n v="121.1"/>
  </r>
  <r>
    <s v="Rural"/>
    <x v="5"/>
    <s v="May"/>
    <n v="123.5"/>
    <n v="127.1"/>
    <n v="117.3"/>
    <n v="127.7"/>
    <n v="112.5"/>
    <n v="134.1"/>
    <n v="128.5"/>
    <n v="124.3"/>
    <n v="97.6"/>
    <n v="120.7"/>
    <n v="120.2"/>
    <n v="129.80000000000001"/>
    <n v="124.4"/>
    <n v="114.3"/>
    <n v="121.9"/>
    <n v="121.5"/>
    <n v="119.4"/>
    <n v="113.3"/>
    <n v="116.7"/>
    <n v="120.5"/>
    <n v="112.3"/>
    <n v="116.9"/>
    <n v="122.4"/>
    <n v="122.13076923076923"/>
    <n v="121.9"/>
    <n v="113.3"/>
    <n v="117.9"/>
    <n v="119.4"/>
    <n v="118.6"/>
    <n v="114.6"/>
  </r>
  <r>
    <s v="Rural+Urban"/>
    <x v="5"/>
    <s v="May"/>
    <n v="123.6"/>
    <n v="128"/>
    <n v="115"/>
    <n v="127.3"/>
    <n v="109.8"/>
    <n v="132.6"/>
    <n v="130.9"/>
    <n v="130.5"/>
    <n v="95.3"/>
    <n v="123.4"/>
    <n v="119.2"/>
    <n v="129.80000000000001"/>
    <n v="125"/>
    <n v="119.6"/>
    <n v="119.2"/>
    <n v="120.2"/>
    <n v="117.7"/>
    <n v="112"/>
    <n v="116.3"/>
    <n v="121.4"/>
    <n v="112.3"/>
    <n v="116.1"/>
    <n v="121.6"/>
    <n v="122.33846153846154"/>
    <n v="119.2"/>
    <n v="112"/>
    <n v="119.9"/>
    <n v="117.7"/>
    <n v="118.85"/>
    <n v="114.19999999999999"/>
  </r>
  <r>
    <s v="Urban"/>
    <x v="5"/>
    <s v="May"/>
    <n v="123.8"/>
    <n v="129.69999999999999"/>
    <n v="111.3"/>
    <n v="126.6"/>
    <n v="105.2"/>
    <n v="130.80000000000001"/>
    <n v="135.6"/>
    <n v="142.6"/>
    <n v="90.8"/>
    <n v="128.80000000000001"/>
    <n v="117.7"/>
    <n v="129.9"/>
    <n v="126.1"/>
    <n v="119.6"/>
    <n v="114.9"/>
    <n v="118.7"/>
    <n v="114.9"/>
    <n v="110.8"/>
    <n v="116"/>
    <n v="122"/>
    <n v="112.4"/>
    <n v="115.2"/>
    <n v="120.7"/>
    <n v="122.9923076923077"/>
    <n v="114.9"/>
    <n v="110.8"/>
    <n v="119.15"/>
    <n v="114.9"/>
    <n v="119"/>
    <n v="113.80000000000001"/>
  </r>
  <r>
    <s v="Rural"/>
    <x v="6"/>
    <s v="May"/>
    <n v="120.3"/>
    <n v="120.2"/>
    <n v="116.9"/>
    <n v="118"/>
    <n v="110.1"/>
    <n v="126.3"/>
    <n v="123.9"/>
    <n v="111.5"/>
    <n v="103.5"/>
    <n v="111.6"/>
    <n v="114.2"/>
    <n v="119.2"/>
    <n v="118.2"/>
    <n v="100.5"/>
    <n v="113.4"/>
    <n v="114.1"/>
    <n v="112.1"/>
    <n v="111.4"/>
    <n v="110.9"/>
    <n v="113.1"/>
    <n v="108.9"/>
    <n v="111.8"/>
    <n v="116"/>
    <n v="116.45384615384614"/>
    <n v="113.4"/>
    <n v="111.4"/>
    <n v="107.3"/>
    <n v="112.1"/>
    <n v="112"/>
    <n v="110.35"/>
  </r>
  <r>
    <s v="Rural+Urban"/>
    <x v="6"/>
    <s v="May"/>
    <n v="121.1"/>
    <n v="121.6"/>
    <n v="115.9"/>
    <n v="118.4"/>
    <n v="107.7"/>
    <n v="127.7"/>
    <n v="125"/>
    <n v="111.9"/>
    <n v="102.8"/>
    <n v="113.4"/>
    <n v="113.7"/>
    <n v="120.4"/>
    <n v="118.9"/>
    <n v="114.3"/>
    <n v="112.5"/>
    <n v="114.1"/>
    <n v="111.8"/>
    <n v="111.3"/>
    <n v="111.2"/>
    <n v="113"/>
    <n v="109.1"/>
    <n v="111.8"/>
    <n v="115.8"/>
    <n v="116.80769230769235"/>
    <n v="112.5"/>
    <n v="111.3"/>
    <n v="114.19999999999999"/>
    <n v="111.8"/>
    <n v="112.1"/>
    <n v="110.44999999999999"/>
  </r>
  <r>
    <s v="Urban"/>
    <x v="6"/>
    <s v="May"/>
    <n v="122.7"/>
    <n v="124.1"/>
    <n v="114.2"/>
    <n v="119.1"/>
    <n v="103.5"/>
    <n v="129.19999999999999"/>
    <n v="127"/>
    <n v="112.6"/>
    <n v="101.3"/>
    <n v="117"/>
    <n v="112.9"/>
    <n v="121.7"/>
    <n v="120"/>
    <n v="114.3"/>
    <n v="111.1"/>
    <n v="114.1"/>
    <n v="111.2"/>
    <n v="111.3"/>
    <n v="111.5"/>
    <n v="112.9"/>
    <n v="109.3"/>
    <n v="111.7"/>
    <n v="115.6"/>
    <n v="117.33076923076925"/>
    <n v="111.1"/>
    <n v="111.3"/>
    <n v="114.19999999999999"/>
    <n v="111.2"/>
    <n v="112.2"/>
    <n v="110.5"/>
  </r>
  <r>
    <s v="Rural"/>
    <x v="7"/>
    <s v="May"/>
    <n v="110.9"/>
    <n v="109.8"/>
    <n v="105.9"/>
    <n v="107.5"/>
    <n v="105.3"/>
    <n v="108.1"/>
    <n v="107.3"/>
    <n v="106.1"/>
    <n v="103.7"/>
    <n v="104"/>
    <n v="107.4"/>
    <n v="109.9"/>
    <n v="108.1"/>
    <n v="171.8"/>
    <n v="107.5"/>
    <n v="106.8"/>
    <n v="105.7"/>
    <n v="104.1"/>
    <n v="105"/>
    <n v="105.5"/>
    <n v="102.1"/>
    <n v="104.8"/>
    <n v="107.2"/>
    <n v="107.23076923076923"/>
    <n v="107.5"/>
    <n v="104.1"/>
    <n v="139.30000000000001"/>
    <n v="105.7"/>
    <n v="105.25"/>
    <n v="103.44999999999999"/>
  </r>
  <r>
    <s v="Rural+Urban"/>
    <x v="7"/>
    <s v="May"/>
    <n v="112.3"/>
    <n v="111.3"/>
    <n v="104.7"/>
    <n v="106.8"/>
    <n v="103.9"/>
    <n v="109.3"/>
    <n v="112.9"/>
    <n v="105.8"/>
    <n v="103.1"/>
    <n v="104.3"/>
    <n v="108.1"/>
    <n v="110.5"/>
    <n v="109.2"/>
    <n v="100.5"/>
    <n v="107.4"/>
    <n v="106.9"/>
    <n v="105.9"/>
    <n v="104"/>
    <n v="104.8"/>
    <n v="105.6"/>
    <n v="102.3"/>
    <n v="104.8"/>
    <n v="106.9"/>
    <n v="107.86153846153844"/>
    <n v="107.4"/>
    <n v="104"/>
    <n v="103.7"/>
    <n v="105.9"/>
    <n v="105.19999999999999"/>
    <n v="103.55"/>
  </r>
  <r>
    <s v="Urban"/>
    <x v="7"/>
    <s v="May"/>
    <n v="115.4"/>
    <n v="114.2"/>
    <n v="102.7"/>
    <n v="105.5"/>
    <n v="101.5"/>
    <n v="110.6"/>
    <n v="123.7"/>
    <n v="105.2"/>
    <n v="101.9"/>
    <n v="105"/>
    <n v="109.1"/>
    <n v="111.3"/>
    <n v="111.1"/>
    <n v="100.5"/>
    <n v="107.2"/>
    <n v="107.1"/>
    <n v="106.2"/>
    <n v="103.9"/>
    <n v="104.6"/>
    <n v="105.7"/>
    <n v="102.6"/>
    <n v="104.9"/>
    <n v="106.6"/>
    <n v="109.0153846153846"/>
    <n v="107.2"/>
    <n v="103.9"/>
    <n v="103.8"/>
    <n v="106.2"/>
    <n v="105.15"/>
    <n v="103.75"/>
  </r>
  <r>
    <s v="Rural+Urban"/>
    <x v="6"/>
    <s v="Marcrh"/>
    <n v="120.7"/>
    <n v="119.3"/>
    <n v="121"/>
    <n v="116.1"/>
    <n v="106.9"/>
    <n v="118.7"/>
    <n v="116.3"/>
    <n v="109.8"/>
    <n v="99.6"/>
    <n v="111.8"/>
    <n v="112.7"/>
    <n v="119.3"/>
    <n v="116.1"/>
    <n v="113.2"/>
    <n v="112.5"/>
    <n v="113.2"/>
    <n v="111.2"/>
    <n v="111.4"/>
    <n v="110.6"/>
    <n v="112"/>
    <n v="109"/>
    <n v="111.3"/>
    <n v="114.2"/>
    <n v="114.48461538461537"/>
    <n v="112.5"/>
    <n v="111.4"/>
    <n v="113.2"/>
    <n v="111.2"/>
    <n v="111.3"/>
    <n v="110.15"/>
  </r>
  <r>
    <s v="Rural"/>
    <x v="8"/>
    <s v="March"/>
    <n v="174.3"/>
    <n v="205.2"/>
    <n v="173.9"/>
    <n v="177"/>
    <n v="183.3"/>
    <n v="167.2"/>
    <n v="140.9"/>
    <n v="170.5"/>
    <n v="119.1"/>
    <n v="212.1"/>
    <n v="177.6"/>
    <n v="189.9"/>
    <n v="174.8"/>
    <n v="173.5"/>
    <n v="181.4"/>
    <n v="178.6"/>
    <n v="186.6"/>
    <n v="169"/>
    <n v="172.8"/>
    <n v="178.5"/>
    <n v="180.7"/>
    <n v="177.9"/>
    <n v="178"/>
    <n v="174.2923076923077"/>
    <n v="181.4"/>
    <n v="169"/>
    <n v="176.05"/>
    <n v="186.6"/>
    <n v="175.65"/>
    <n v="179.3"/>
  </r>
  <r>
    <s v="Rural+Urban"/>
    <x v="8"/>
    <s v="March"/>
    <n v="174.4"/>
    <n v="207.7"/>
    <n v="175.2"/>
    <n v="177.3"/>
    <n v="179.2"/>
    <n v="169.5"/>
    <n v="152.80000000000001"/>
    <n v="171.1"/>
    <n v="120"/>
    <n v="209.7"/>
    <n v="172.3"/>
    <n v="193"/>
    <n v="177"/>
    <n v="173.5"/>
    <n v="181.9"/>
    <n v="174.2"/>
    <n v="184.4"/>
    <n v="164.2"/>
    <n v="170.3"/>
    <n v="175"/>
    <n v="181"/>
    <n v="174.1"/>
    <n v="177.2"/>
    <n v="175.32307692307691"/>
    <n v="181.9"/>
    <n v="164.2"/>
    <n v="173.85"/>
    <n v="184.4"/>
    <n v="172.65"/>
    <n v="177.55"/>
  </r>
  <r>
    <s v="Urban"/>
    <x v="8"/>
    <s v="March"/>
    <n v="174.7"/>
    <n v="212.2"/>
    <n v="177.2"/>
    <n v="177.9"/>
    <n v="172.2"/>
    <n v="172.1"/>
    <n v="175.9"/>
    <n v="172.2"/>
    <n v="121.9"/>
    <n v="204.8"/>
    <n v="164.9"/>
    <n v="196.6"/>
    <n v="180.8"/>
    <n v="173.5"/>
    <n v="182.6"/>
    <n v="169.2"/>
    <n v="180.8"/>
    <n v="159.80000000000001"/>
    <n v="168.4"/>
    <n v="172.5"/>
    <n v="181.5"/>
    <n v="170"/>
    <n v="176.3"/>
    <n v="177.1846153846154"/>
    <n v="182.6"/>
    <n v="159.80000000000001"/>
    <n v="171.35"/>
    <n v="180.8"/>
    <n v="170.45"/>
    <n v="175.75"/>
  </r>
  <r>
    <s v="Rural"/>
    <x v="0"/>
    <s v="March"/>
    <n v="150.19999999999999"/>
    <n v="208"/>
    <n v="167.9"/>
    <n v="162"/>
    <n v="203.1"/>
    <n v="155.9"/>
    <n v="155.80000000000001"/>
    <n v="164.2"/>
    <n v="118.1"/>
    <n v="178.7"/>
    <n v="171.2"/>
    <n v="177.4"/>
    <n v="166.6"/>
    <n v="165.3"/>
    <n v="168.9"/>
    <n v="166.5"/>
    <n v="176"/>
    <n v="162"/>
    <n v="166.6"/>
    <n v="170.6"/>
    <n v="167.4"/>
    <n v="168.3"/>
    <n v="168.7"/>
    <n v="167.62307692307695"/>
    <n v="168.9"/>
    <n v="162"/>
    <n v="165.9"/>
    <n v="176"/>
    <n v="168.6"/>
    <n v="167.85000000000002"/>
  </r>
  <r>
    <s v="Rural+Urban"/>
    <x v="0"/>
    <s v="March"/>
    <n v="151.30000000000001"/>
    <n v="210.7"/>
    <n v="167.8"/>
    <n v="162.19999999999999"/>
    <n v="194.6"/>
    <n v="157.6"/>
    <n v="166.9"/>
    <n v="163.9"/>
    <n v="118.8"/>
    <n v="177.4"/>
    <n v="165.3"/>
    <n v="179.3"/>
    <n v="168.4"/>
    <n v="165.3"/>
    <n v="167.2"/>
    <n v="162.80000000000001"/>
    <n v="173"/>
    <n v="157.9"/>
    <n v="163.30000000000001"/>
    <n v="166"/>
    <n v="167.2"/>
    <n v="164.6"/>
    <n v="167.7"/>
    <n v="168.01538461538465"/>
    <n v="167.2"/>
    <n v="157.9"/>
    <n v="164.05"/>
    <n v="173"/>
    <n v="164.65"/>
    <n v="165.89999999999998"/>
  </r>
  <r>
    <s v="Urban"/>
    <x v="0"/>
    <s v="March"/>
    <n v="153.69999999999999"/>
    <n v="215.8"/>
    <n v="167.7"/>
    <n v="162.6"/>
    <n v="180"/>
    <n v="159.6"/>
    <n v="188.4"/>
    <n v="163.4"/>
    <n v="120.3"/>
    <n v="174.7"/>
    <n v="157.1"/>
    <n v="181.5"/>
    <n v="171.5"/>
    <n v="165.3"/>
    <n v="164.5"/>
    <n v="158.6"/>
    <n v="168.2"/>
    <n v="154.19999999999999"/>
    <n v="160.80000000000001"/>
    <n v="162.69999999999999"/>
    <n v="166.8"/>
    <n v="160.6"/>
    <n v="166.5"/>
    <n v="168.94615384615386"/>
    <n v="164.5"/>
    <n v="154.19999999999999"/>
    <n v="161.94999999999999"/>
    <n v="168.2"/>
    <n v="161.75"/>
    <n v="163.69999999999999"/>
  </r>
  <r>
    <s v="Rural"/>
    <x v="9"/>
    <s v="August"/>
    <n v="147.6"/>
    <n v="187.2"/>
    <n v="148.4"/>
    <n v="153.30000000000001"/>
    <n v="139.80000000000001"/>
    <n v="146.9"/>
    <n v="171"/>
    <n v="149.9"/>
    <n v="114.2"/>
    <n v="160"/>
    <n v="143.5"/>
    <n v="161.5"/>
    <n v="155.30000000000001"/>
    <n v="155.5"/>
    <n v="145.80000000000001"/>
    <n v="151.9"/>
    <n v="158.80000000000001"/>
    <n v="143.6"/>
    <n v="152.19999999999999"/>
    <n v="162.69999999999999"/>
    <n v="153.6"/>
    <n v="153"/>
    <n v="154.69999999999999"/>
    <n v="152.19999999999999"/>
    <n v="145.80000000000001"/>
    <n v="143.6"/>
    <n v="153.69999999999999"/>
    <n v="158.80000000000001"/>
    <n v="157.44999999999999"/>
    <n v="153.30000000000001"/>
  </r>
  <r>
    <s v="Rural+Urban"/>
    <x v="9"/>
    <s v="August"/>
    <n v="148.9"/>
    <n v="190.9"/>
    <n v="150.80000000000001"/>
    <n v="153.30000000000001"/>
    <n v="137.4"/>
    <n v="150.4"/>
    <n v="178.1"/>
    <n v="150.4"/>
    <n v="115.1"/>
    <n v="160"/>
    <n v="140.6"/>
    <n v="162.30000000000001"/>
    <n v="157"/>
    <n v="155.5"/>
    <n v="143"/>
    <n v="148.4"/>
    <n v="155"/>
    <n v="138.5"/>
    <n v="146"/>
    <n v="158.5"/>
    <n v="154.30000000000001"/>
    <n v="149"/>
    <n v="153.9"/>
    <n v="153.47692307692307"/>
    <n v="143"/>
    <n v="138.5"/>
    <n v="151.94999999999999"/>
    <n v="155"/>
    <n v="152.25"/>
    <n v="151.65"/>
  </r>
  <r>
    <s v="Urban"/>
    <x v="9"/>
    <s v="August"/>
    <n v="151.6"/>
    <n v="197.8"/>
    <n v="154.5"/>
    <n v="153.4"/>
    <n v="133.4"/>
    <n v="154.5"/>
    <n v="191.9"/>
    <n v="151.30000000000001"/>
    <n v="116.8"/>
    <n v="160"/>
    <n v="136.5"/>
    <n v="163.30000000000001"/>
    <n v="159.9"/>
    <n v="155.5"/>
    <n v="138.30000000000001"/>
    <n v="144.5"/>
    <n v="148.69999999999999"/>
    <n v="133.9"/>
    <n v="141.19999999999999"/>
    <n v="155.5"/>
    <n v="155.19999999999999"/>
    <n v="144.80000000000001"/>
    <n v="152.9"/>
    <n v="155.76153846153846"/>
    <n v="138.30000000000001"/>
    <n v="133.9"/>
    <n v="150"/>
    <n v="148.69999999999999"/>
    <n v="148.35"/>
    <n v="150"/>
  </r>
  <r>
    <s v="Rural"/>
    <x v="9"/>
    <s v="December"/>
    <n v="144.6"/>
    <n v="188.5"/>
    <n v="173.4"/>
    <n v="154"/>
    <n v="150"/>
    <n v="145.9"/>
    <n v="225.2"/>
    <n v="159.5"/>
    <n v="114.4"/>
    <n v="163.5"/>
    <n v="153.4"/>
    <n v="163.6"/>
    <n v="164.5"/>
    <n v="158.4"/>
    <n v="148.69999999999999"/>
    <n v="153.4"/>
    <n v="161.6"/>
    <n v="146.4"/>
    <n v="153.9"/>
    <n v="162.9"/>
    <n v="156.6"/>
    <n v="155.19999999999999"/>
    <n v="160.69999999999999"/>
    <n v="161.57692307692307"/>
    <n v="148.69999999999999"/>
    <n v="146.4"/>
    <n v="155.9"/>
    <n v="161.6"/>
    <n v="158.4"/>
    <n v="155.89999999999998"/>
  </r>
  <r>
    <s v="Rural+Urban"/>
    <x v="9"/>
    <s v="December"/>
    <n v="146"/>
    <n v="191"/>
    <n v="175.3"/>
    <n v="154.1"/>
    <n v="146.6"/>
    <n v="147.69999999999999"/>
    <n v="230.5"/>
    <n v="160.19999999999999"/>
    <n v="115.3"/>
    <n v="163"/>
    <n v="149.19999999999999"/>
    <n v="164.8"/>
    <n v="165.4"/>
    <n v="158.4"/>
    <n v="144.6"/>
    <n v="149.69999999999999"/>
    <n v="158.30000000000001"/>
    <n v="140.69999999999999"/>
    <n v="148.5"/>
    <n v="159.4"/>
    <n v="157.1"/>
    <n v="151.19999999999999"/>
    <n v="158.9"/>
    <n v="162.23846153846154"/>
    <n v="144.6"/>
    <n v="140.69999999999999"/>
    <n v="154.05000000000001"/>
    <n v="158.30000000000001"/>
    <n v="153.94999999999999"/>
    <n v="154.14999999999998"/>
  </r>
  <r>
    <s v="Urban"/>
    <x v="9"/>
    <s v="December"/>
    <n v="149"/>
    <n v="195.7"/>
    <n v="178.3"/>
    <n v="154.19999999999999"/>
    <n v="140.69999999999999"/>
    <n v="149.69999999999999"/>
    <n v="240.9"/>
    <n v="161.5"/>
    <n v="117.1"/>
    <n v="161.9"/>
    <n v="143.30000000000001"/>
    <n v="166.1"/>
    <n v="167"/>
    <n v="158.4"/>
    <n v="137.9"/>
    <n v="145.5"/>
    <n v="152.9"/>
    <n v="135.5"/>
    <n v="144.30000000000001"/>
    <n v="156.9"/>
    <n v="157.9"/>
    <n v="146.9"/>
    <n v="156.9"/>
    <n v="163.49230769230769"/>
    <n v="137.9"/>
    <n v="135.5"/>
    <n v="151.94999999999999"/>
    <n v="152.9"/>
    <n v="150.60000000000002"/>
    <n v="152.4"/>
  </r>
  <r>
    <s v="Rural"/>
    <x v="9"/>
    <s v="February"/>
    <n v="144.19999999999999"/>
    <n v="167.5"/>
    <n v="150.9"/>
    <n v="150.9"/>
    <n v="133.69999999999999"/>
    <n v="140.69999999999999"/>
    <n v="165.1"/>
    <n v="141.80000000000001"/>
    <n v="113.1"/>
    <n v="152.80000000000001"/>
    <n v="140.1"/>
    <n v="159.19999999999999"/>
    <n v="149.80000000000001"/>
    <n v="154.80000000000001"/>
    <n v="152.30000000000001"/>
    <n v="151.80000000000001"/>
    <n v="156.19999999999999"/>
    <n v="136"/>
    <n v="150.4"/>
    <n v="161.9"/>
    <n v="143.4"/>
    <n v="148.4"/>
    <n v="150.4"/>
    <n v="146.90769230769229"/>
    <n v="152.30000000000001"/>
    <n v="136"/>
    <n v="153.30000000000001"/>
    <n v="156.19999999999999"/>
    <n v="156.15"/>
    <n v="145.9"/>
  </r>
  <r>
    <s v="Rural+Urban"/>
    <x v="9"/>
    <s v="February"/>
    <n v="144.80000000000001"/>
    <n v="167.5"/>
    <n v="151.80000000000001"/>
    <n v="150.80000000000001"/>
    <n v="131.4"/>
    <n v="141.80000000000001"/>
    <n v="170.7"/>
    <n v="141.1"/>
    <n v="113.6"/>
    <n v="152"/>
    <n v="136.5"/>
    <n v="159.1"/>
    <n v="150.5"/>
    <n v="154.80000000000001"/>
    <n v="147.19999999999999"/>
    <n v="146.4"/>
    <n v="151.69999999999999"/>
    <n v="130.30000000000001"/>
    <n v="143.19999999999999"/>
    <n v="156.19999999999999"/>
    <n v="143.4"/>
    <n v="143.6"/>
    <n v="149.1"/>
    <n v="147.04615384615383"/>
    <n v="147.19999999999999"/>
    <n v="130.30000000000001"/>
    <n v="150.60000000000002"/>
    <n v="151.69999999999999"/>
    <n v="149.69999999999999"/>
    <n v="143.5"/>
  </r>
  <r>
    <s v="Urban"/>
    <x v="9"/>
    <s v="February"/>
    <n v="146.19999999999999"/>
    <n v="167.6"/>
    <n v="153.1"/>
    <n v="150.69999999999999"/>
    <n v="127.4"/>
    <n v="143.1"/>
    <n v="181.7"/>
    <n v="139.6"/>
    <n v="114.6"/>
    <n v="150.4"/>
    <n v="131.5"/>
    <n v="159"/>
    <n v="151.69999999999999"/>
    <n v="154.80000000000001"/>
    <n v="138.9"/>
    <n v="140.4"/>
    <n v="144.4"/>
    <n v="125.2"/>
    <n v="137.69999999999999"/>
    <n v="152.19999999999999"/>
    <n v="143.5"/>
    <n v="138.4"/>
    <n v="147.69999999999999"/>
    <n v="147.43076923076922"/>
    <n v="138.9"/>
    <n v="125.2"/>
    <n v="147.60000000000002"/>
    <n v="144.4"/>
    <n v="144.94999999999999"/>
    <n v="140.94999999999999"/>
  </r>
  <r>
    <s v="Urban"/>
    <x v="2"/>
    <s v="March"/>
    <n v="135"/>
    <n v="143.1"/>
    <n v="135.5"/>
    <n v="139.9"/>
    <n v="116.5"/>
    <n v="138.5"/>
    <n v="128"/>
    <n v="115.5"/>
    <n v="114.2"/>
    <n v="140.69999999999999"/>
    <n v="126.2"/>
    <n v="147.6"/>
    <n v="134.80000000000001"/>
    <n v="142"/>
    <n v="126.4"/>
    <n v="130.80000000000001"/>
    <n v="130.5"/>
    <n v="117.8"/>
    <n v="126.8"/>
    <n v="137.80000000000001"/>
    <n v="126.7"/>
    <n v="127.1"/>
    <n v="134"/>
    <n v="131.96153846153845"/>
    <n v="126.4"/>
    <n v="117.8"/>
    <n v="136.4"/>
    <n v="130.5"/>
    <n v="132.30000000000001"/>
    <n v="126.9"/>
  </r>
  <r>
    <s v="Rural+Urban"/>
    <x v="2"/>
    <s v="March"/>
    <n v="136.19999999999999"/>
    <n v="143.6"/>
    <n v="138.30000000000001"/>
    <n v="141.19999999999999"/>
    <n v="120.7"/>
    <n v="146.19999999999999"/>
    <n v="134.6"/>
    <n v="124.6"/>
    <n v="116.1"/>
    <n v="137.80000000000001"/>
    <n v="129.1"/>
    <n v="150.4"/>
    <n v="137.19999999999999"/>
    <n v="142"/>
    <n v="136.5"/>
    <n v="135.6"/>
    <n v="134.30000000000001"/>
    <n v="121"/>
    <n v="130.4"/>
    <n v="139.80000000000001"/>
    <n v="128.19999999999999"/>
    <n v="130.30000000000001"/>
    <n v="136.5"/>
    <n v="135.07692307692307"/>
    <n v="136.5"/>
    <n v="121"/>
    <n v="138.80000000000001"/>
    <n v="134.30000000000001"/>
    <n v="135.10000000000002"/>
    <n v="129.25"/>
  </r>
  <r>
    <s v="Rural"/>
    <x v="2"/>
    <s v="March"/>
    <n v="136.80000000000001"/>
    <n v="143.80000000000001"/>
    <n v="140"/>
    <n v="142"/>
    <n v="123.2"/>
    <n v="152.9"/>
    <n v="138"/>
    <n v="129.30000000000001"/>
    <n v="117.1"/>
    <n v="136.30000000000001"/>
    <n v="131.19999999999999"/>
    <n v="152.80000000000001"/>
    <n v="138.6"/>
    <n v="142"/>
    <n v="142.6"/>
    <n v="139.9"/>
    <n v="136.69999999999999"/>
    <n v="124.6"/>
    <n v="135.1"/>
    <n v="142.69999999999999"/>
    <n v="129.30000000000001"/>
    <n v="133.30000000000001"/>
    <n v="138.69999999999999"/>
    <n v="137.07692307692307"/>
    <n v="142.6"/>
    <n v="124.6"/>
    <n v="140.94999999999999"/>
    <n v="136.69999999999999"/>
    <n v="138.89999999999998"/>
    <n v="131.30000000000001"/>
  </r>
  <r>
    <s v="Urban"/>
    <x v="3"/>
    <s v="March"/>
    <n v="132.69999999999999"/>
    <n v="139.4"/>
    <n v="128.4"/>
    <n v="134.9"/>
    <n v="114"/>
    <n v="136.80000000000001"/>
    <n v="122.2"/>
    <n v="135.80000000000001"/>
    <n v="120.3"/>
    <n v="142.6"/>
    <n v="123.6"/>
    <n v="142.4"/>
    <n v="132.6"/>
    <n v="131.1"/>
    <n v="120.8"/>
    <n v="125.6"/>
    <n v="123.1"/>
    <n v="115.6"/>
    <n v="122.4"/>
    <n v="132.80000000000001"/>
    <n v="121.7"/>
    <n v="122.6"/>
    <n v="128.69999999999999"/>
    <n v="131.2076923076923"/>
    <n v="120.8"/>
    <n v="115.6"/>
    <n v="128.35"/>
    <n v="123.1"/>
    <n v="127.60000000000001"/>
    <n v="122.15"/>
  </r>
  <r>
    <s v="Rural+Urban"/>
    <x v="3"/>
    <s v="March"/>
    <n v="133.30000000000001"/>
    <n v="139"/>
    <n v="128.6"/>
    <n v="136.30000000000001"/>
    <n v="118.8"/>
    <n v="138.30000000000001"/>
    <n v="120.5"/>
    <n v="143.9"/>
    <n v="118"/>
    <n v="137.9"/>
    <n v="127.2"/>
    <n v="144"/>
    <n v="133.1"/>
    <n v="131.1"/>
    <n v="129.1"/>
    <n v="130.1"/>
    <n v="127.8"/>
    <n v="117.6"/>
    <n v="125"/>
    <n v="133.80000000000001"/>
    <n v="122.6"/>
    <n v="125.1"/>
    <n v="130.9"/>
    <n v="132.22307692307692"/>
    <n v="129.1"/>
    <n v="117.6"/>
    <n v="130.6"/>
    <n v="127.8"/>
    <n v="129.4"/>
    <n v="123.85"/>
  </r>
  <r>
    <s v="Rural"/>
    <x v="3"/>
    <s v="March"/>
    <n v="133.6"/>
    <n v="138.80000000000001"/>
    <n v="128.80000000000001"/>
    <n v="137.19999999999999"/>
    <n v="121.6"/>
    <n v="139.69999999999999"/>
    <n v="119.7"/>
    <n v="148"/>
    <n v="116.9"/>
    <n v="135.6"/>
    <n v="129.80000000000001"/>
    <n v="145.4"/>
    <n v="133.4"/>
    <n v="131.1"/>
    <n v="134.19999999999999"/>
    <n v="134.1"/>
    <n v="130.6"/>
    <n v="119.8"/>
    <n v="128.30000000000001"/>
    <n v="135.19999999999999"/>
    <n v="123.3"/>
    <n v="127.4"/>
    <n v="132.80000000000001"/>
    <n v="132.96153846153848"/>
    <n v="134.19999999999999"/>
    <n v="119.8"/>
    <n v="132.6"/>
    <n v="130.6"/>
    <n v="131.75"/>
    <n v="125.35"/>
  </r>
  <r>
    <s v="Urban"/>
    <x v="4"/>
    <s v="March"/>
    <n v="124.8"/>
    <n v="136.30000000000001"/>
    <n v="123.7"/>
    <n v="129.69999999999999"/>
    <n v="107.9"/>
    <n v="119.9"/>
    <n v="128.1"/>
    <n v="170.3"/>
    <n v="101.8"/>
    <n v="140.1"/>
    <n v="120.7"/>
    <n v="135.4"/>
    <n v="128.9"/>
    <n v="124.9"/>
    <n v="114.8"/>
    <n v="122.3"/>
    <n v="119.7"/>
    <n v="108.5"/>
    <n v="119.1"/>
    <n v="126.4"/>
    <n v="117.1"/>
    <n v="117.3"/>
    <n v="123.8"/>
    <n v="128.27692307692308"/>
    <n v="114.8"/>
    <n v="108.5"/>
    <n v="123.6"/>
    <n v="119.7"/>
    <n v="122.75"/>
    <n v="117.19999999999999"/>
  </r>
  <r>
    <s v="Rural+Urban"/>
    <x v="4"/>
    <s v="March"/>
    <n v="126.5"/>
    <n v="135.1"/>
    <n v="124.6"/>
    <n v="130.19999999999999"/>
    <n v="114.5"/>
    <n v="126.2"/>
    <n v="129.80000000000001"/>
    <n v="164.3"/>
    <n v="100.9"/>
    <n v="133.9"/>
    <n v="123.1"/>
    <n v="136.30000000000001"/>
    <n v="129.80000000000001"/>
    <n v="124.9"/>
    <n v="122.4"/>
    <n v="125.1"/>
    <n v="122.9"/>
    <n v="110.9"/>
    <n v="120.6"/>
    <n v="126.9"/>
    <n v="117.3"/>
    <n v="119.3"/>
    <n v="126"/>
    <n v="128.86153846153846"/>
    <n v="122.4"/>
    <n v="110.9"/>
    <n v="125"/>
    <n v="122.9"/>
    <n v="123.75"/>
    <n v="118.3"/>
  </r>
  <r>
    <s v="Rural"/>
    <x v="4"/>
    <s v="March"/>
    <n v="127.3"/>
    <n v="134.4"/>
    <n v="125.1"/>
    <n v="130.5"/>
    <n v="118.3"/>
    <n v="131.69999999999999"/>
    <n v="130.69999999999999"/>
    <n v="161.19999999999999"/>
    <n v="100.4"/>
    <n v="130.80000000000001"/>
    <n v="124.9"/>
    <n v="137"/>
    <n v="130.4"/>
    <n v="124.9"/>
    <n v="127"/>
    <n v="127.7"/>
    <n v="124.8"/>
    <n v="113.6"/>
    <n v="122.5"/>
    <n v="127.5"/>
    <n v="117.4"/>
    <n v="121.1"/>
    <n v="128"/>
    <n v="129.43846153846155"/>
    <n v="127"/>
    <n v="113.6"/>
    <n v="126.30000000000001"/>
    <n v="124.8"/>
    <n v="125"/>
    <n v="119.25"/>
  </r>
  <r>
    <s v="Rural"/>
    <x v="5"/>
    <s v="March"/>
    <n v="123.3"/>
    <n v="124.7"/>
    <n v="118.9"/>
    <n v="126"/>
    <n v="111.8"/>
    <n v="130.9"/>
    <n v="128"/>
    <n v="119.9"/>
    <n v="98.9"/>
    <n v="119.4"/>
    <n v="118.9"/>
    <n v="127.7"/>
    <n v="123.1"/>
    <n v="118.6"/>
    <n v="120.6"/>
    <n v="120.2"/>
    <n v="118.2"/>
    <n v="111.6"/>
    <n v="115.5"/>
    <n v="119.4"/>
    <n v="110.8"/>
    <n v="115.5"/>
    <n v="121.1"/>
    <n v="120.88461538461539"/>
    <n v="120.6"/>
    <n v="111.6"/>
    <n v="119.4"/>
    <n v="118.2"/>
    <n v="117.45"/>
    <n v="113.15"/>
  </r>
  <r>
    <s v="Rural+Urban"/>
    <x v="5"/>
    <s v="March"/>
    <n v="123.5"/>
    <n v="125.4"/>
    <n v="116.8"/>
    <n v="126"/>
    <n v="109.2"/>
    <n v="127.6"/>
    <n v="129.19999999999999"/>
    <n v="122.4"/>
    <n v="97"/>
    <n v="122.1"/>
    <n v="118.1"/>
    <n v="128.4"/>
    <n v="123.4"/>
    <n v="118.6"/>
    <n v="118.3"/>
    <n v="119.2"/>
    <n v="116.7"/>
    <n v="109.9"/>
    <n v="115.4"/>
    <n v="120.1"/>
    <n v="111"/>
    <n v="114.7"/>
    <n v="120.2"/>
    <n v="120.69999999999999"/>
    <n v="118.3"/>
    <n v="109.9"/>
    <n v="118.9"/>
    <n v="116.7"/>
    <n v="117.75"/>
    <n v="112.85"/>
  </r>
  <r>
    <s v="Urban"/>
    <x v="5"/>
    <s v="March"/>
    <n v="124"/>
    <n v="126.7"/>
    <n v="113.5"/>
    <n v="125.9"/>
    <n v="104.8"/>
    <n v="123.8"/>
    <n v="131.4"/>
    <n v="127.2"/>
    <n v="93.2"/>
    <n v="127.4"/>
    <n v="117"/>
    <n v="129.19999999999999"/>
    <n v="123.9"/>
    <n v="118.6"/>
    <n v="114.4"/>
    <n v="118"/>
    <n v="114.3"/>
    <n v="108.4"/>
    <n v="115.4"/>
    <n v="120.6"/>
    <n v="111.3"/>
    <n v="113.8"/>
    <n v="119.1"/>
    <n v="120.61538461538463"/>
    <n v="114.4"/>
    <n v="108.4"/>
    <n v="118.3"/>
    <n v="114.3"/>
    <n v="118"/>
    <n v="112.55"/>
  </r>
  <r>
    <s v="Rural"/>
    <x v="6"/>
    <s v="March"/>
    <n v="120.1"/>
    <n v="118.1"/>
    <n v="120.7"/>
    <n v="116.1"/>
    <n v="109.3"/>
    <n v="119.6"/>
    <n v="117.9"/>
    <n v="110.2"/>
    <n v="101.2"/>
    <n v="110.7"/>
    <n v="113"/>
    <n v="118.3"/>
    <n v="116.2"/>
    <n v="113.2"/>
    <n v="113.4"/>
    <n v="113.4"/>
    <n v="111.4"/>
    <n v="111.2"/>
    <n v="110.2"/>
    <n v="112.4"/>
    <n v="108.9"/>
    <n v="111.3"/>
    <n v="114.6"/>
    <n v="114.72307692307693"/>
    <n v="113.4"/>
    <n v="111.2"/>
    <n v="113.30000000000001"/>
    <n v="111.4"/>
    <n v="111.30000000000001"/>
    <n v="110.1"/>
  </r>
  <r>
    <s v="Urban"/>
    <x v="6"/>
    <s v="March"/>
    <n v="122.1"/>
    <n v="121.4"/>
    <n v="121.5"/>
    <n v="116.2"/>
    <n v="102.8"/>
    <n v="117.7"/>
    <n v="113.3"/>
    <n v="108.9"/>
    <n v="96.3"/>
    <n v="114.1"/>
    <n v="112.2"/>
    <n v="120.5"/>
    <n v="116"/>
    <n v="113.2"/>
    <n v="110.9"/>
    <n v="113"/>
    <n v="110.8"/>
    <n v="111.6"/>
    <n v="110.9"/>
    <n v="111.8"/>
    <n v="109.2"/>
    <n v="111.4"/>
    <n v="113.7"/>
    <n v="114.07692307692308"/>
    <n v="110.9"/>
    <n v="111.6"/>
    <n v="113.1"/>
    <n v="110.8"/>
    <n v="111.35"/>
    <n v="110.30000000000001"/>
  </r>
  <r>
    <s v="Rural"/>
    <x v="7"/>
    <s v="March"/>
    <n v="110.2"/>
    <n v="108.8"/>
    <n v="109.9"/>
    <n v="105.6"/>
    <n v="106.2"/>
    <n v="105.7"/>
    <n v="101.4"/>
    <n v="105.7"/>
    <n v="105"/>
    <n v="103.3"/>
    <n v="105.6"/>
    <n v="108.2"/>
    <n v="106.6"/>
    <n v="100.4"/>
    <n v="106.1"/>
    <n v="105.6"/>
    <n v="104.7"/>
    <n v="104.6"/>
    <n v="104"/>
    <n v="104.3"/>
    <n v="104.3"/>
    <n v="104.6"/>
    <n v="106"/>
    <n v="106.32307692307693"/>
    <n v="106.1"/>
    <n v="104.6"/>
    <n v="103"/>
    <n v="104.7"/>
    <n v="104.15"/>
    <n v="104.44999999999999"/>
  </r>
  <r>
    <s v="Rural+Urban"/>
    <x v="7"/>
    <s v="March"/>
    <n v="111.4"/>
    <n v="109.7"/>
    <n v="111.2"/>
    <n v="105.1"/>
    <n v="104.9"/>
    <n v="105.3"/>
    <n v="102.2"/>
    <n v="105"/>
    <n v="104.2"/>
    <n v="103"/>
    <n v="106.2"/>
    <n v="108.9"/>
    <n v="106.9"/>
    <n v="100.4"/>
    <n v="106.1"/>
    <n v="105.6"/>
    <n v="104.9"/>
    <n v="105.1"/>
    <n v="103.7"/>
    <n v="104"/>
    <n v="104.3"/>
    <n v="104.7"/>
    <n v="105.5"/>
    <n v="106.46153846153848"/>
    <n v="106.1"/>
    <n v="105.1"/>
    <n v="103"/>
    <n v="104.9"/>
    <n v="103.85"/>
    <n v="104.5"/>
  </r>
  <r>
    <s v="Urban"/>
    <x v="7"/>
    <s v="March"/>
    <n v="113.9"/>
    <n v="111.4"/>
    <n v="113.2"/>
    <n v="104.3"/>
    <n v="102.7"/>
    <n v="104.9"/>
    <n v="103.8"/>
    <n v="103.5"/>
    <n v="102.6"/>
    <n v="102.4"/>
    <n v="107"/>
    <n v="109.8"/>
    <n v="107.3"/>
    <n v="100.4"/>
    <n v="106"/>
    <n v="105.7"/>
    <n v="105.2"/>
    <n v="105.5"/>
    <n v="103.5"/>
    <n v="103.8"/>
    <n v="104.2"/>
    <n v="104.9"/>
    <n v="105"/>
    <n v="106.67692307692307"/>
    <n v="106"/>
    <n v="105.5"/>
    <n v="103.05000000000001"/>
    <n v="105.2"/>
    <n v="103.65"/>
    <n v="104.55000000000001"/>
  </r>
  <r>
    <s v="Rural"/>
    <x v="0"/>
    <s v="June"/>
    <n v="153.80000000000001"/>
    <n v="217.2"/>
    <n v="169.6"/>
    <n v="165.4"/>
    <n v="208.1"/>
    <n v="165.8"/>
    <n v="167.3"/>
    <n v="164.6"/>
    <n v="119.1"/>
    <n v="188.9"/>
    <n v="174.2"/>
    <n v="181.9"/>
    <n v="172.4"/>
    <n v="166.8"/>
    <n v="176.7"/>
    <n v="170.3"/>
    <n v="178.2"/>
    <n v="165.5"/>
    <n v="168"/>
    <n v="172.6"/>
    <n v="169.5"/>
    <n v="171"/>
    <n v="173.6"/>
    <n v="172.94615384615386"/>
    <n v="176.7"/>
    <n v="165.5"/>
    <n v="168.55"/>
    <n v="178.2"/>
    <n v="170.3"/>
    <n v="170.25"/>
  </r>
  <r>
    <s v="Rural+Urban"/>
    <x v="0"/>
    <s v="June"/>
    <n v="155"/>
    <n v="219.4"/>
    <n v="170.8"/>
    <n v="165.8"/>
    <n v="200.9"/>
    <n v="169.7"/>
    <n v="182.3"/>
    <n v="164.3"/>
    <n v="119.9"/>
    <n v="187.1"/>
    <n v="167.9"/>
    <n v="183.9"/>
    <n v="174.9"/>
    <n v="166.8"/>
    <n v="176"/>
    <n v="166.4"/>
    <n v="175.4"/>
    <n v="161.1"/>
    <n v="165.8"/>
    <n v="169"/>
    <n v="169.4"/>
    <n v="167.5"/>
    <n v="172.6"/>
    <n v="173.99230769230769"/>
    <n v="176"/>
    <n v="161.1"/>
    <n v="166.60000000000002"/>
    <n v="175.4"/>
    <n v="167.4"/>
    <n v="168.45"/>
  </r>
  <r>
    <s v="Urban"/>
    <x v="0"/>
    <s v="June"/>
    <n v="157.5"/>
    <n v="223.4"/>
    <n v="172.8"/>
    <n v="166.4"/>
    <n v="188.6"/>
    <n v="174.1"/>
    <n v="211.5"/>
    <n v="163.6"/>
    <n v="121.4"/>
    <n v="183.5"/>
    <n v="159.1"/>
    <n v="186.3"/>
    <n v="179.3"/>
    <n v="166.8"/>
    <n v="174.9"/>
    <n v="162.1"/>
    <n v="170.9"/>
    <n v="157.19999999999999"/>
    <n v="164.1"/>
    <n v="166.5"/>
    <n v="169.2"/>
    <n v="163.80000000000001"/>
    <n v="171.4"/>
    <n v="175.96153846153845"/>
    <n v="174.9"/>
    <n v="157.19999999999999"/>
    <n v="164.45"/>
    <n v="170.9"/>
    <n v="165.3"/>
    <n v="166.5"/>
  </r>
  <r>
    <s v="Rural"/>
    <x v="9"/>
    <s v="January"/>
    <n v="143.69999999999999"/>
    <n v="167.3"/>
    <n v="153.5"/>
    <n v="150.5"/>
    <n v="132"/>
    <n v="142.19999999999999"/>
    <n v="191.5"/>
    <n v="141.1"/>
    <n v="113.8"/>
    <n v="151.6"/>
    <n v="139.69999999999999"/>
    <n v="158.69999999999999"/>
    <n v="153"/>
    <n v="153.9"/>
    <n v="150.4"/>
    <n v="151.69999999999999"/>
    <n v="155.69999999999999"/>
    <n v="136.30000000000001"/>
    <n v="150.1"/>
    <n v="161.69999999999999"/>
    <n v="142.5"/>
    <n v="148.1"/>
    <n v="151.9"/>
    <n v="149.12307692307692"/>
    <n v="150.4"/>
    <n v="136.30000000000001"/>
    <n v="152.80000000000001"/>
    <n v="155.69999999999999"/>
    <n v="155.89999999999998"/>
    <n v="145.30000000000001"/>
  </r>
  <r>
    <s v="Rural+Urban"/>
    <x v="9"/>
    <s v="January"/>
    <n v="144.30000000000001"/>
    <n v="167.4"/>
    <n v="154.9"/>
    <n v="150.1"/>
    <n v="129.9"/>
    <n v="143.19999999999999"/>
    <n v="197"/>
    <n v="140.4"/>
    <n v="114.1"/>
    <n v="150.9"/>
    <n v="136.1"/>
    <n v="158.6"/>
    <n v="153.5"/>
    <n v="153.9"/>
    <n v="144.6"/>
    <n v="146.19999999999999"/>
    <n v="151.19999999999999"/>
    <n v="130.9"/>
    <n v="142.80000000000001"/>
    <n v="156.1"/>
    <n v="142.30000000000001"/>
    <n v="143.4"/>
    <n v="150.19999999999999"/>
    <n v="149.26153846153846"/>
    <n v="144.6"/>
    <n v="130.9"/>
    <n v="150.05000000000001"/>
    <n v="151.19999999999999"/>
    <n v="149.44999999999999"/>
    <n v="142.85000000000002"/>
  </r>
  <r>
    <s v="Urban"/>
    <x v="9"/>
    <s v="January"/>
    <n v="145.6"/>
    <n v="167.6"/>
    <n v="157"/>
    <n v="149.30000000000001"/>
    <n v="126.3"/>
    <n v="144.4"/>
    <n v="207.8"/>
    <n v="139.1"/>
    <n v="114.8"/>
    <n v="149.5"/>
    <n v="131.1"/>
    <n v="158.5"/>
    <n v="154.4"/>
    <n v="153.9"/>
    <n v="135.1"/>
    <n v="140.1"/>
    <n v="143.80000000000001"/>
    <n v="126.1"/>
    <n v="137.19999999999999"/>
    <n v="152.1"/>
    <n v="142.1"/>
    <n v="138.4"/>
    <n v="148.19999999999999"/>
    <n v="149.64615384615382"/>
    <n v="135.1"/>
    <n v="126.1"/>
    <n v="147"/>
    <n v="143.80000000000001"/>
    <n v="144.64999999999998"/>
    <n v="140.25"/>
  </r>
  <r>
    <s v="Rural"/>
    <x v="9"/>
    <s v="July"/>
    <n v="148.19999999999999"/>
    <n v="190.3"/>
    <n v="149.4"/>
    <n v="153.30000000000001"/>
    <n v="138.19999999999999"/>
    <n v="143.19999999999999"/>
    <n v="148.9"/>
    <n v="150.30000000000001"/>
    <n v="113.2"/>
    <n v="159.80000000000001"/>
    <n v="142.1"/>
    <n v="161.80000000000001"/>
    <n v="152.30000000000001"/>
    <n v="154.69999999999999"/>
    <n v="144.9"/>
    <n v="151.69999999999999"/>
    <n v="158.19999999999999"/>
    <n v="141.4"/>
    <n v="153.19999999999999"/>
    <n v="161.80000000000001"/>
    <n v="151.19999999999999"/>
    <n v="151.69999999999999"/>
    <n v="152.69999999999999"/>
    <n v="150.07692307692307"/>
    <n v="144.9"/>
    <n v="141.4"/>
    <n v="153.19999999999999"/>
    <n v="158.19999999999999"/>
    <n v="157.5"/>
    <n v="151.44999999999999"/>
  </r>
  <r>
    <s v="Rural+Urban"/>
    <x v="9"/>
    <s v="July"/>
    <n v="149.6"/>
    <n v="192.7"/>
    <n v="151.4"/>
    <n v="153.30000000000001"/>
    <n v="136.30000000000001"/>
    <n v="147.19999999999999"/>
    <n v="156.5"/>
    <n v="150.9"/>
    <n v="114.2"/>
    <n v="159.5"/>
    <n v="139.4"/>
    <n v="161.80000000000001"/>
    <n v="154"/>
    <n v="154.69999999999999"/>
    <n v="141.9"/>
    <n v="146.4"/>
    <n v="154.4"/>
    <n v="135"/>
    <n v="148.30000000000001"/>
    <n v="156.4"/>
    <n v="151.6"/>
    <n v="147"/>
    <n v="151.80000000000001"/>
    <n v="151.2923076923077"/>
    <n v="141.9"/>
    <n v="135"/>
    <n v="150.55000000000001"/>
    <n v="154.4"/>
    <n v="152.35000000000002"/>
    <n v="149.30000000000001"/>
  </r>
  <r>
    <s v="Urban"/>
    <x v="9"/>
    <s v="July"/>
    <n v="152.69999999999999"/>
    <n v="197"/>
    <n v="154.6"/>
    <n v="153.4"/>
    <n v="132.9"/>
    <n v="151.80000000000001"/>
    <n v="171.2"/>
    <n v="152"/>
    <n v="116.3"/>
    <n v="158.80000000000001"/>
    <n v="135.6"/>
    <n v="161.69999999999999"/>
    <n v="157"/>
    <n v="154.69999999999999"/>
    <n v="137.1"/>
    <n v="140.4"/>
    <n v="148.1"/>
    <n v="129.30000000000001"/>
    <n v="144.5"/>
    <n v="152.5"/>
    <n v="152.19999999999999"/>
    <n v="142"/>
    <n v="150.80000000000001"/>
    <n v="153.46153846153845"/>
    <n v="137.1"/>
    <n v="129.30000000000001"/>
    <n v="147.55000000000001"/>
    <n v="148.1"/>
    <n v="148.5"/>
    <n v="147.1"/>
  </r>
  <r>
    <s v="Rural"/>
    <x v="9"/>
    <s v="June"/>
    <n v="148.19999999999999"/>
    <n v="190.3"/>
    <n v="149.4"/>
    <n v="153.30000000000001"/>
    <n v="138.19999999999999"/>
    <n v="143.19999999999999"/>
    <n v="148.9"/>
    <n v="150.30000000000001"/>
    <n v="113.2"/>
    <n v="159.80000000000001"/>
    <n v="142.1"/>
    <n v="161.80000000000001"/>
    <n v="152.30000000000001"/>
    <n v="154.69999999999999"/>
    <n v="144.9"/>
    <n v="151.69999999999999"/>
    <n v="158.19999999999999"/>
    <n v="141.4"/>
    <n v="153.19999999999999"/>
    <n v="161.80000000000001"/>
    <n v="151.19999999999999"/>
    <n v="151.69999999999999"/>
    <n v="152.69999999999999"/>
    <n v="150.07692307692307"/>
    <n v="144.9"/>
    <n v="141.4"/>
    <n v="153.19999999999999"/>
    <n v="158.19999999999999"/>
    <n v="157.5"/>
    <n v="151.44999999999999"/>
  </r>
  <r>
    <s v="Rural+Urban"/>
    <x v="9"/>
    <s v="June"/>
    <n v="149.6"/>
    <n v="192.7"/>
    <n v="151.4"/>
    <n v="153.30000000000001"/>
    <n v="136.30000000000001"/>
    <n v="147.19999999999999"/>
    <n v="156.5"/>
    <n v="150.9"/>
    <n v="114.2"/>
    <n v="159.5"/>
    <n v="139.4"/>
    <n v="161.80000000000001"/>
    <n v="154"/>
    <n v="154.69999999999999"/>
    <n v="141.9"/>
    <n v="146.4"/>
    <n v="154.4"/>
    <n v="135"/>
    <n v="148.30000000000001"/>
    <n v="156.4"/>
    <n v="151.6"/>
    <n v="147"/>
    <n v="151.80000000000001"/>
    <n v="151.2923076923077"/>
    <n v="141.9"/>
    <n v="135"/>
    <n v="150.55000000000001"/>
    <n v="154.4"/>
    <n v="152.35000000000002"/>
    <n v="149.30000000000001"/>
  </r>
  <r>
    <s v="Urban"/>
    <x v="9"/>
    <s v="June"/>
    <n v="152.69999999999999"/>
    <n v="197"/>
    <n v="154.6"/>
    <n v="153.4"/>
    <n v="132.9"/>
    <n v="151.80000000000001"/>
    <n v="171.2"/>
    <n v="152"/>
    <n v="116.3"/>
    <n v="158.80000000000001"/>
    <n v="135.6"/>
    <n v="161.69999999999999"/>
    <n v="157"/>
    <n v="154.69999999999999"/>
    <n v="137.1"/>
    <n v="140.4"/>
    <n v="148.1"/>
    <n v="129.30000000000001"/>
    <n v="144.5"/>
    <n v="152.5"/>
    <n v="152.19999999999999"/>
    <n v="142"/>
    <n v="150.80000000000001"/>
    <n v="153.46153846153845"/>
    <n v="137.1"/>
    <n v="129.30000000000001"/>
    <n v="147.55000000000001"/>
    <n v="148.1"/>
    <n v="148.5"/>
    <n v="147.1"/>
  </r>
  <r>
    <s v="Urban"/>
    <x v="2"/>
    <s v="June"/>
    <n v="135.30000000000001"/>
    <n v="149.69999999999999"/>
    <n v="133.9"/>
    <n v="140.80000000000001"/>
    <n v="116.6"/>
    <n v="152.19999999999999"/>
    <n v="144"/>
    <n v="112.3"/>
    <n v="108.4"/>
    <n v="140"/>
    <n v="126.7"/>
    <n v="149"/>
    <n v="138.4"/>
    <n v="142.5"/>
    <n v="126.5"/>
    <n v="133.1"/>
    <n v="132.6"/>
    <n v="120.4"/>
    <n v="128.5"/>
    <n v="141.19999999999999"/>
    <n v="128.19999999999999"/>
    <n v="129.5"/>
    <n v="136.19999999999999"/>
    <n v="134.40769230769232"/>
    <n v="126.5"/>
    <n v="120.4"/>
    <n v="137.80000000000001"/>
    <n v="132.6"/>
    <n v="134.85"/>
    <n v="128.85"/>
  </r>
  <r>
    <s v="Rural+Urban"/>
    <x v="2"/>
    <s v="June"/>
    <n v="136.9"/>
    <n v="148.69999999999999"/>
    <n v="135.6"/>
    <n v="142.30000000000001"/>
    <n v="121.3"/>
    <n v="153.19999999999999"/>
    <n v="143.69999999999999"/>
    <n v="121.4"/>
    <n v="111.1"/>
    <n v="138.4"/>
    <n v="130.30000000000001"/>
    <n v="151.80000000000001"/>
    <n v="139.4"/>
    <n v="142.5"/>
    <n v="138.1"/>
    <n v="137.9"/>
    <n v="136.19999999999999"/>
    <n v="123.7"/>
    <n v="132.6"/>
    <n v="142.80000000000001"/>
    <n v="130.1"/>
    <n v="132.6"/>
    <n v="138.5"/>
    <n v="136.46923076923079"/>
    <n v="138.1"/>
    <n v="123.7"/>
    <n v="140.19999999999999"/>
    <n v="136.19999999999999"/>
    <n v="137.69999999999999"/>
    <n v="131.35"/>
  </r>
  <r>
    <s v="Rural"/>
    <x v="2"/>
    <s v="June"/>
    <n v="137.6"/>
    <n v="148.1"/>
    <n v="136.69999999999999"/>
    <n v="143.19999999999999"/>
    <n v="124"/>
    <n v="154.1"/>
    <n v="143.5"/>
    <n v="126"/>
    <n v="112.4"/>
    <n v="137.6"/>
    <n v="132.80000000000001"/>
    <n v="154.30000000000001"/>
    <n v="140"/>
    <n v="142.5"/>
    <n v="145.1"/>
    <n v="142.19999999999999"/>
    <n v="138.4"/>
    <n v="127.4"/>
    <n v="137.80000000000001"/>
    <n v="145.1"/>
    <n v="131.4"/>
    <n v="135.6"/>
    <n v="140.5"/>
    <n v="137.71538461538461"/>
    <n v="145.1"/>
    <n v="127.4"/>
    <n v="142.35"/>
    <n v="138.4"/>
    <n v="141.44999999999999"/>
    <n v="133.5"/>
  </r>
  <r>
    <s v="Urban"/>
    <x v="3"/>
    <s v="June"/>
    <n v="132.9"/>
    <n v="148.69999999999999"/>
    <n v="128.30000000000001"/>
    <n v="137.30000000000001"/>
    <n v="113.5"/>
    <n v="137.19999999999999"/>
    <n v="142.19999999999999"/>
    <n v="128.19999999999999"/>
    <n v="120.9"/>
    <n v="138.80000000000001"/>
    <n v="124.2"/>
    <n v="143.1"/>
    <n v="135.69999999999999"/>
    <n v="131.4"/>
    <n v="119"/>
    <n v="126.8"/>
    <n v="123.8"/>
    <n v="113.9"/>
    <n v="122.9"/>
    <n v="134.30000000000001"/>
    <n v="122.5"/>
    <n v="122.7"/>
    <n v="129.9"/>
    <n v="133.15384615384616"/>
    <n v="119"/>
    <n v="113.9"/>
    <n v="129.1"/>
    <n v="123.8"/>
    <n v="128.60000000000002"/>
    <n v="122.6"/>
  </r>
  <r>
    <s v="Rural+Urban"/>
    <x v="3"/>
    <s v="June"/>
    <n v="133.30000000000001"/>
    <n v="145.5"/>
    <n v="128.1"/>
    <n v="138.1"/>
    <n v="118.2"/>
    <n v="139.19999999999999"/>
    <n v="133.30000000000001"/>
    <n v="136.19999999999999"/>
    <n v="119.6"/>
    <n v="135.30000000000001"/>
    <n v="127.8"/>
    <n v="144.9"/>
    <n v="135.19999999999999"/>
    <n v="131.4"/>
    <n v="128.80000000000001"/>
    <n v="131.19999999999999"/>
    <n v="128.5"/>
    <n v="116.5"/>
    <n v="125.9"/>
    <n v="135.4"/>
    <n v="123.4"/>
    <n v="125.5"/>
    <n v="132"/>
    <n v="133.43846153846155"/>
    <n v="128.80000000000001"/>
    <n v="116.5"/>
    <n v="131.30000000000001"/>
    <n v="128.5"/>
    <n v="130.65"/>
    <n v="124.45"/>
  </r>
  <r>
    <s v="Rural"/>
    <x v="3"/>
    <s v="June"/>
    <n v="133.5"/>
    <n v="143.69999999999999"/>
    <n v="128"/>
    <n v="138.6"/>
    <n v="120.9"/>
    <n v="140.9"/>
    <n v="128.80000000000001"/>
    <n v="140.19999999999999"/>
    <n v="118.9"/>
    <n v="133.5"/>
    <n v="130.4"/>
    <n v="146.5"/>
    <n v="134.9"/>
    <n v="131.4"/>
    <n v="134.80000000000001"/>
    <n v="135.19999999999999"/>
    <n v="131.30000000000001"/>
    <n v="119.4"/>
    <n v="129.80000000000001"/>
    <n v="136.9"/>
    <n v="124.1"/>
    <n v="128.1"/>
    <n v="133.9"/>
    <n v="133.75384615384615"/>
    <n v="134.80000000000001"/>
    <n v="119.4"/>
    <n v="133.30000000000001"/>
    <n v="131.30000000000001"/>
    <n v="133.35000000000002"/>
    <n v="126.1"/>
  </r>
  <r>
    <s v="Urban"/>
    <x v="4"/>
    <s v="June"/>
    <n v="125.9"/>
    <n v="143.9"/>
    <n v="130.9"/>
    <n v="131"/>
    <n v="110.2"/>
    <n v="135.5"/>
    <n v="173.7"/>
    <n v="184.4"/>
    <n v="112"/>
    <n v="142.80000000000001"/>
    <n v="121.6"/>
    <n v="136.9"/>
    <n v="138.19999999999999"/>
    <n v="125.5"/>
    <n v="115.5"/>
    <n v="123.2"/>
    <n v="120.6"/>
    <n v="112.3"/>
    <n v="119.9"/>
    <n v="129.30000000000001"/>
    <n v="118.8"/>
    <n v="119.6"/>
    <n v="128.1"/>
    <n v="137.46153846153848"/>
    <n v="115.5"/>
    <n v="112.3"/>
    <n v="124.35"/>
    <n v="120.6"/>
    <n v="124.60000000000001"/>
    <n v="119.19999999999999"/>
  </r>
  <r>
    <s v="Rural+Urban"/>
    <x v="4"/>
    <s v="June"/>
    <n v="127.7"/>
    <n v="140.5"/>
    <n v="128.30000000000001"/>
    <n v="132.6"/>
    <n v="115.5"/>
    <n v="136.5"/>
    <n v="159.69999999999999"/>
    <n v="174.3"/>
    <n v="109.9"/>
    <n v="136.30000000000001"/>
    <n v="124.4"/>
    <n v="138.1"/>
    <n v="136.80000000000001"/>
    <n v="125.5"/>
    <n v="123.3"/>
    <n v="126.4"/>
    <n v="124.1"/>
    <n v="114.2"/>
    <n v="121.7"/>
    <n v="129.69999999999999"/>
    <n v="119.4"/>
    <n v="121.5"/>
    <n v="130.1"/>
    <n v="135.43076923076922"/>
    <n v="123.3"/>
    <n v="114.2"/>
    <n v="125.95"/>
    <n v="124.1"/>
    <n v="125.69999999999999"/>
    <n v="120.45"/>
  </r>
  <r>
    <s v="Rural"/>
    <x v="4"/>
    <s v="June"/>
    <n v="128.6"/>
    <n v="138.6"/>
    <n v="126.6"/>
    <n v="133.6"/>
    <n v="118.6"/>
    <n v="137.4"/>
    <n v="152.5"/>
    <n v="169.2"/>
    <n v="108.8"/>
    <n v="133.1"/>
    <n v="126.4"/>
    <n v="139.19999999999999"/>
    <n v="136"/>
    <n v="125.5"/>
    <n v="128"/>
    <n v="129.30000000000001"/>
    <n v="126.2"/>
    <n v="116.3"/>
    <n v="124.1"/>
    <n v="130.19999999999999"/>
    <n v="119.9"/>
    <n v="123.3"/>
    <n v="131.9"/>
    <n v="134.50769230769231"/>
    <n v="128"/>
    <n v="116.3"/>
    <n v="127.4"/>
    <n v="126.2"/>
    <n v="127.14999999999999"/>
    <n v="121.6"/>
  </r>
  <r>
    <s v="Urban"/>
    <x v="5"/>
    <s v="June"/>
    <n v="123.6"/>
    <n v="134.4"/>
    <n v="120.9"/>
    <n v="127.3"/>
    <n v="106"/>
    <n v="132.30000000000001"/>
    <n v="146.69999999999999"/>
    <n v="148.1"/>
    <n v="89.8"/>
    <n v="130.5"/>
    <n v="118"/>
    <n v="130.5"/>
    <n v="128.5"/>
    <n v="119"/>
    <n v="115.1"/>
    <n v="119.2"/>
    <n v="115.4"/>
    <n v="111.7"/>
    <n v="116.2"/>
    <n v="123.8"/>
    <n v="112.5"/>
    <n v="116"/>
    <n v="121.7"/>
    <n v="125.89230769230768"/>
    <n v="115.1"/>
    <n v="111.7"/>
    <n v="119.1"/>
    <n v="115.4"/>
    <n v="120"/>
    <n v="114.25"/>
  </r>
  <r>
    <s v="Rural+Urban"/>
    <x v="5"/>
    <s v="June"/>
    <n v="123.9"/>
    <n v="131.80000000000001"/>
    <n v="121.6"/>
    <n v="128.19999999999999"/>
    <n v="111.1"/>
    <n v="132.80000000000001"/>
    <n v="139.1"/>
    <n v="137.4"/>
    <n v="94.1"/>
    <n v="125.5"/>
    <n v="119.8"/>
    <n v="130.9"/>
    <n v="127.3"/>
    <n v="119"/>
    <n v="119.8"/>
    <n v="121.1"/>
    <n v="118.5"/>
    <n v="112.9"/>
    <n v="116.9"/>
    <n v="123.1"/>
    <n v="112.8"/>
    <n v="117"/>
    <n v="123"/>
    <n v="124.88461538461539"/>
    <n v="119.8"/>
    <n v="112.9"/>
    <n v="120.05"/>
    <n v="118.5"/>
    <n v="120"/>
    <n v="114.9"/>
  </r>
  <r>
    <s v="Rural"/>
    <x v="5"/>
    <s v="June"/>
    <n v="124.1"/>
    <n v="130.4"/>
    <n v="122.1"/>
    <n v="128.69999999999999"/>
    <n v="114.1"/>
    <n v="133.19999999999999"/>
    <n v="135.19999999999999"/>
    <n v="131.9"/>
    <n v="96.3"/>
    <n v="123"/>
    <n v="121.1"/>
    <n v="131.19999999999999"/>
    <n v="126.6"/>
    <n v="119"/>
    <n v="122.6"/>
    <n v="122.8"/>
    <n v="120.4"/>
    <n v="114.2"/>
    <n v="117.9"/>
    <n v="122"/>
    <n v="113"/>
    <n v="117.9"/>
    <n v="124.1"/>
    <n v="124.45384615384614"/>
    <n v="122.6"/>
    <n v="114.2"/>
    <n v="120.9"/>
    <n v="120.4"/>
    <n v="119.95"/>
    <n v="115.45"/>
  </r>
  <r>
    <s v="Rural"/>
    <x v="6"/>
    <s v="June"/>
    <n v="120.7"/>
    <n v="121.6"/>
    <n v="116.1"/>
    <n v="119.3"/>
    <n v="110.3"/>
    <n v="125.8"/>
    <n v="129.30000000000001"/>
    <n v="112.2"/>
    <n v="103.6"/>
    <n v="112.3"/>
    <n v="114.9"/>
    <n v="120.1"/>
    <n v="119.5"/>
    <n v="113.9"/>
    <n v="114.4"/>
    <n v="114.9"/>
    <n v="112.8"/>
    <n v="112.2"/>
    <n v="111.4"/>
    <n v="114.3"/>
    <n v="108"/>
    <n v="112.3"/>
    <n v="117"/>
    <n v="117.36153846153844"/>
    <n v="114.4"/>
    <n v="112.2"/>
    <n v="114.4"/>
    <n v="112.8"/>
    <n v="112.85"/>
    <n v="110.15"/>
  </r>
  <r>
    <s v="Rural+Urban"/>
    <x v="6"/>
    <s v="June"/>
    <n v="121.5"/>
    <n v="123.1"/>
    <n v="115.8"/>
    <n v="119.7"/>
    <n v="107.8"/>
    <n v="128.30000000000001"/>
    <n v="132.1"/>
    <n v="112.4"/>
    <n v="102.9"/>
    <n v="114.3"/>
    <n v="114.2"/>
    <n v="121.2"/>
    <n v="120.4"/>
    <n v="113.9"/>
    <n v="113.2"/>
    <n v="114.6"/>
    <n v="112.3"/>
    <n v="111.8"/>
    <n v="111.6"/>
    <n v="114.8"/>
    <n v="108.3"/>
    <n v="112.3"/>
    <n v="116.7"/>
    <n v="117.9769230769231"/>
    <n v="113.2"/>
    <n v="111.8"/>
    <n v="114.25"/>
    <n v="112.3"/>
    <n v="113.19999999999999"/>
    <n v="110.3"/>
  </r>
  <r>
    <s v="Urban"/>
    <x v="6"/>
    <s v="June"/>
    <n v="123.1"/>
    <n v="125.9"/>
    <n v="115.4"/>
    <n v="120.4"/>
    <n v="103.4"/>
    <n v="131.19999999999999"/>
    <n v="137.5"/>
    <n v="112.8"/>
    <n v="101.4"/>
    <n v="118.3"/>
    <n v="113.2"/>
    <n v="122.4"/>
    <n v="122"/>
    <n v="113.9"/>
    <n v="111.2"/>
    <n v="114.3"/>
    <n v="111.4"/>
    <n v="111.5"/>
    <n v="111.8"/>
    <n v="115.1"/>
    <n v="108.7"/>
    <n v="112.2"/>
    <n v="116.4"/>
    <n v="119"/>
    <n v="111.2"/>
    <n v="111.5"/>
    <n v="114.1"/>
    <n v="111.4"/>
    <n v="113.44999999999999"/>
    <n v="110.45"/>
  </r>
  <r>
    <s v="Rural"/>
    <x v="7"/>
    <s v="June"/>
    <n v="112.3"/>
    <n v="112.1"/>
    <n v="108.1"/>
    <n v="108.3"/>
    <n v="105.9"/>
    <n v="109.2"/>
    <n v="118"/>
    <n v="106.8"/>
    <n v="104.1"/>
    <n v="105.4"/>
    <n v="108.2"/>
    <n v="111"/>
    <n v="110.6"/>
    <n v="106.6"/>
    <n v="108.5"/>
    <n v="107.5"/>
    <n v="106.3"/>
    <n v="105"/>
    <n v="105.6"/>
    <n v="106.5"/>
    <n v="102.5"/>
    <n v="105.5"/>
    <n v="108.9"/>
    <n v="109.23076923076923"/>
    <n v="108.5"/>
    <n v="105"/>
    <n v="107.05"/>
    <n v="106.3"/>
    <n v="106.05"/>
    <n v="104"/>
  </r>
  <r>
    <s v="Rural+Urban"/>
    <x v="7"/>
    <s v="June"/>
    <n v="113.8"/>
    <n v="114.9"/>
    <n v="109.8"/>
    <n v="107.9"/>
    <n v="104.2"/>
    <n v="110.7"/>
    <n v="126.7"/>
    <n v="106.3"/>
    <n v="103.2"/>
    <n v="105.7"/>
    <n v="109"/>
    <n v="111.6"/>
    <n v="112.2"/>
    <n v="106.6"/>
    <n v="108.3"/>
    <n v="107.6"/>
    <n v="106.4"/>
    <n v="105.1"/>
    <n v="105.4"/>
    <n v="107.4"/>
    <n v="102.8"/>
    <n v="105.8"/>
    <n v="109.3"/>
    <n v="110.46153846153847"/>
    <n v="108.3"/>
    <n v="105.1"/>
    <n v="107.1"/>
    <n v="106.4"/>
    <n v="106.4"/>
    <n v="104.3"/>
  </r>
  <r>
    <s v="Urban"/>
    <x v="7"/>
    <s v="June"/>
    <n v="117"/>
    <n v="120.1"/>
    <n v="112.5"/>
    <n v="107.3"/>
    <n v="101.3"/>
    <n v="112.4"/>
    <n v="143.6"/>
    <n v="105.4"/>
    <n v="101.4"/>
    <n v="106.4"/>
    <n v="110"/>
    <n v="112.2"/>
    <n v="115"/>
    <n v="106.6"/>
    <n v="108"/>
    <n v="107.7"/>
    <n v="106.5"/>
    <n v="105.2"/>
    <n v="105.2"/>
    <n v="108.1"/>
    <n v="103.3"/>
    <n v="106.1"/>
    <n v="109.7"/>
    <n v="112.66153846153847"/>
    <n v="108"/>
    <n v="105.2"/>
    <n v="107.15"/>
    <n v="106.5"/>
    <n v="106.65"/>
    <n v="104.69999999999999"/>
  </r>
  <r>
    <s v="Rural"/>
    <x v="0"/>
    <s v="July"/>
    <n v="155.19999999999999"/>
    <n v="210.8"/>
    <n v="174.3"/>
    <n v="166.3"/>
    <n v="202.2"/>
    <n v="169.6"/>
    <n v="168.6"/>
    <n v="164.4"/>
    <n v="119.2"/>
    <n v="191.8"/>
    <n v="174.5"/>
    <n v="183.1"/>
    <n v="172.5"/>
    <n v="167.8"/>
    <n v="179.6"/>
    <n v="171.3"/>
    <n v="178.8"/>
    <n v="166.3"/>
    <n v="168.6"/>
    <n v="174.7"/>
    <n v="169.7"/>
    <n v="171.8"/>
    <n v="174.3"/>
    <n v="173.26923076923077"/>
    <n v="179.6"/>
    <n v="166.3"/>
    <n v="169.55"/>
    <n v="178.8"/>
    <n v="171.64999999999998"/>
    <n v="170.75"/>
  </r>
  <r>
    <s v="Rural+Urban"/>
    <x v="0"/>
    <s v="July"/>
    <n v="156.5"/>
    <n v="213"/>
    <n v="175.2"/>
    <n v="166.6"/>
    <n v="195.8"/>
    <n v="174.2"/>
    <n v="182.1"/>
    <n v="164.3"/>
    <n v="120"/>
    <n v="190"/>
    <n v="168.4"/>
    <n v="185.2"/>
    <n v="175"/>
    <n v="167.8"/>
    <n v="179.6"/>
    <n v="167.4"/>
    <n v="176.1"/>
    <n v="161.6"/>
    <n v="166.3"/>
    <n v="171.4"/>
    <n v="169.7"/>
    <n v="168.4"/>
    <n v="173.4"/>
    <n v="174.33076923076925"/>
    <n v="179.6"/>
    <n v="161.6"/>
    <n v="167.60000000000002"/>
    <n v="176.1"/>
    <n v="168.85000000000002"/>
    <n v="169.05"/>
  </r>
  <r>
    <s v="Urban"/>
    <x v="0"/>
    <s v="July"/>
    <n v="159.30000000000001"/>
    <n v="217.1"/>
    <n v="176.6"/>
    <n v="167.1"/>
    <n v="184.8"/>
    <n v="179.5"/>
    <n v="208.5"/>
    <n v="164"/>
    <n v="121.5"/>
    <n v="186.3"/>
    <n v="159.80000000000001"/>
    <n v="187.7"/>
    <n v="179.4"/>
    <n v="167.8"/>
    <n v="179.5"/>
    <n v="163.1"/>
    <n v="171.7"/>
    <n v="157.4"/>
    <n v="164.6"/>
    <n v="169.1"/>
    <n v="169.8"/>
    <n v="164.7"/>
    <n v="172.3"/>
    <n v="176.27692307692308"/>
    <n v="179.5"/>
    <n v="157.4"/>
    <n v="165.45"/>
    <n v="171.7"/>
    <n v="166.85"/>
    <n v="167.25"/>
  </r>
  <r>
    <s v="Rural"/>
    <x v="9"/>
    <s v="March"/>
    <n v="144.4"/>
    <n v="166.8"/>
    <n v="147.6"/>
    <n v="151.69999999999999"/>
    <n v="133.30000000000001"/>
    <n v="141.80000000000001"/>
    <n v="152.30000000000001"/>
    <n v="141.80000000000001"/>
    <n v="112.6"/>
    <n v="154"/>
    <n v="140.1"/>
    <n v="160"/>
    <n v="148.19999999999999"/>
    <n v="154.5"/>
    <n v="153.4"/>
    <n v="151.5"/>
    <n v="156.69999999999999"/>
    <n v="135.80000000000001"/>
    <n v="151.19999999999999"/>
    <n v="161.19999999999999"/>
    <n v="145.1"/>
    <n v="148.6"/>
    <n v="149.80000000000001"/>
    <n v="145.73846153846151"/>
    <n v="153.4"/>
    <n v="135.80000000000001"/>
    <n v="153"/>
    <n v="156.69999999999999"/>
    <n v="156.19999999999999"/>
    <n v="146.85"/>
  </r>
  <r>
    <s v="Rural+Urban"/>
    <x v="9"/>
    <s v="March"/>
    <n v="145.1"/>
    <n v="167"/>
    <n v="148.1"/>
    <n v="151.5"/>
    <n v="131.19999999999999"/>
    <n v="142.5"/>
    <n v="157.30000000000001"/>
    <n v="141.1"/>
    <n v="113.2"/>
    <n v="153.19999999999999"/>
    <n v="136.69999999999999"/>
    <n v="159.6"/>
    <n v="148.9"/>
    <n v="154.5"/>
    <n v="148.9"/>
    <n v="146.4"/>
    <n v="152.30000000000001"/>
    <n v="129.9"/>
    <n v="143.69999999999999"/>
    <n v="156.1"/>
    <n v="145.19999999999999"/>
    <n v="143.80000000000001"/>
    <n v="148.6"/>
    <n v="145.80000000000001"/>
    <n v="148.9"/>
    <n v="129.9"/>
    <n v="150.44999999999999"/>
    <n v="152.30000000000001"/>
    <n v="149.89999999999998"/>
    <n v="144.5"/>
  </r>
  <r>
    <s v="Urban"/>
    <x v="9"/>
    <s v="March"/>
    <n v="146.5"/>
    <n v="167.5"/>
    <n v="148.9"/>
    <n v="151.1"/>
    <n v="127.5"/>
    <n v="143.30000000000001"/>
    <n v="167"/>
    <n v="139.69999999999999"/>
    <n v="114.4"/>
    <n v="151.5"/>
    <n v="131.9"/>
    <n v="159.1"/>
    <n v="150.1"/>
    <n v="154.5"/>
    <n v="141.4"/>
    <n v="140.80000000000001"/>
    <n v="145"/>
    <n v="124.6"/>
    <n v="137.9"/>
    <n v="152.5"/>
    <n v="145.30000000000001"/>
    <n v="138.69999999999999"/>
    <n v="147.30000000000001"/>
    <n v="146.03846153846155"/>
    <n v="141.4"/>
    <n v="124.6"/>
    <n v="147.65"/>
    <n v="145"/>
    <n v="145.19999999999999"/>
    <n v="142"/>
  </r>
  <r>
    <s v="Rural"/>
    <x v="9"/>
    <s v="May"/>
    <n v="139.35"/>
    <n v="157.6"/>
    <n v="137.15"/>
    <n v="142.5"/>
    <n v="120.3"/>
    <n v="148.1"/>
    <n v="152.30000000000001"/>
    <n v="124.7"/>
    <n v="110.6"/>
    <n v="140.44999999999999"/>
    <n v="131.5"/>
    <n v="155"/>
    <n v="142.4"/>
    <n v="150.1"/>
    <n v="145.35000000000002"/>
    <n v="147.63333333333335"/>
    <n v="153.93333333333331"/>
    <n v="135.33333333333334"/>
    <n v="146.53333333333333"/>
    <n v="157.73333333333332"/>
    <n v="151.1"/>
    <n v="147.15"/>
    <n v="153.43333333333331"/>
    <n v="138.61153846153846"/>
    <n v="145.35000000000002"/>
    <n v="135.33333333333334"/>
    <n v="148.86666666666667"/>
    <n v="153.93333333333331"/>
    <n v="152.13333333333333"/>
    <n v="149.125"/>
  </r>
  <r>
    <s v="Urban"/>
    <x v="9"/>
    <s v="May"/>
    <n v="139.875"/>
    <n v="157.19999999999999"/>
    <n v="137.72499999999999"/>
    <n v="142.4"/>
    <n v="119.5"/>
    <n v="148.9"/>
    <n v="156.94999999999999"/>
    <n v="124.5"/>
    <n v="110.9"/>
    <n v="140.72499999999999"/>
    <n v="130.19999999999999"/>
    <n v="154.80000000000001"/>
    <n v="143.1"/>
    <n v="150.1"/>
    <n v="140.77500000000001"/>
    <n v="143.78888888888889"/>
    <n v="149.00555555555556"/>
    <n v="130.92222222222225"/>
    <n v="141.65555555555554"/>
    <n v="154.22222222222223"/>
    <n v="147.43333333333331"/>
    <n v="142.85833333333332"/>
    <n v="150.32222222222219"/>
    <n v="138.9826923076923"/>
    <n v="140.77500000000001"/>
    <n v="130.92222222222225"/>
    <n v="146.94444444444446"/>
    <n v="149.00555555555556"/>
    <n v="147.93888888888887"/>
    <n v="145.14583333333331"/>
  </r>
  <r>
    <s v="Rural+Urban"/>
    <x v="9"/>
    <s v="May"/>
    <n v="139.61250000000001"/>
    <n v="157.4"/>
    <n v="137.4375"/>
    <n v="142.4"/>
    <n v="119.9"/>
    <n v="148.5"/>
    <n v="154.625"/>
    <n v="124.6"/>
    <n v="110.7"/>
    <n v="140.58750000000001"/>
    <n v="130.80000000000001"/>
    <n v="154.9"/>
    <n v="142.69999999999999"/>
    <n v="150.1"/>
    <n v="138.77083333333334"/>
    <n v="141.58703703703705"/>
    <n v="145.08981481481482"/>
    <n v="128.29259259259263"/>
    <n v="138.7648148148148"/>
    <n v="151.59259259259261"/>
    <n v="143.33888888888887"/>
    <n v="139.78472222222226"/>
    <n v="147.50925925925924"/>
    <n v="138.78173076923079"/>
    <n v="138.77083333333334"/>
    <n v="128.29259259259263"/>
    <n v="145.84351851851852"/>
    <n v="145.08981481481482"/>
    <n v="145.17870370370372"/>
    <n v="141.56180555555557"/>
  </r>
  <r>
    <s v="Rural"/>
    <x v="9"/>
    <s v="November"/>
    <n v="145.4"/>
    <n v="188.6"/>
    <n v="171.6"/>
    <n v="153.80000000000001"/>
    <n v="145.4"/>
    <n v="146.5"/>
    <n v="222.2"/>
    <n v="155.9"/>
    <n v="114.9"/>
    <n v="162"/>
    <n v="150"/>
    <n v="162.69999999999999"/>
    <n v="163.4"/>
    <n v="153.5"/>
    <n v="147.5"/>
    <n v="152.80000000000001"/>
    <n v="160.4"/>
    <n v="146.1"/>
    <n v="153.6"/>
    <n v="161.6"/>
    <n v="156.19999999999999"/>
    <n v="154.5"/>
    <n v="159.80000000000001"/>
    <n v="160.1846153846154"/>
    <n v="147.5"/>
    <n v="146.1"/>
    <n v="153.15"/>
    <n v="160.4"/>
    <n v="157.6"/>
    <n v="155.35"/>
  </r>
  <r>
    <s v="Rural+Urban"/>
    <x v="9"/>
    <s v="November"/>
    <n v="146.80000000000001"/>
    <n v="191"/>
    <n v="173.6"/>
    <n v="153.80000000000001"/>
    <n v="142.69999999999999"/>
    <n v="148.4"/>
    <n v="230"/>
    <n v="156.80000000000001"/>
    <n v="115.7"/>
    <n v="161.80000000000001"/>
    <n v="146.5"/>
    <n v="163.80000000000001"/>
    <n v="164.7"/>
    <n v="158"/>
    <n v="143.6"/>
    <n v="149.19999999999999"/>
    <n v="157.19999999999999"/>
    <n v="140.4"/>
    <n v="148.4"/>
    <n v="158.6"/>
    <n v="156.9"/>
    <n v="150.69999999999999"/>
    <n v="158.4"/>
    <n v="161.19999999999999"/>
    <n v="143.6"/>
    <n v="140.4"/>
    <n v="153.6"/>
    <n v="157.19999999999999"/>
    <n v="153.5"/>
    <n v="153.80000000000001"/>
  </r>
  <r>
    <s v="Urban"/>
    <x v="9"/>
    <s v="November"/>
    <n v="149.69999999999999"/>
    <n v="195.5"/>
    <n v="176.9"/>
    <n v="153.9"/>
    <n v="138"/>
    <n v="150.5"/>
    <n v="245.3"/>
    <n v="158.69999999999999"/>
    <n v="117.2"/>
    <n v="161.4"/>
    <n v="141.5"/>
    <n v="165.1"/>
    <n v="167"/>
    <n v="158"/>
    <n v="137.30000000000001"/>
    <n v="145.1"/>
    <n v="152"/>
    <n v="135.19999999999999"/>
    <n v="144.4"/>
    <n v="156.4"/>
    <n v="157.9"/>
    <n v="146.6"/>
    <n v="156.69999999999999"/>
    <n v="163.1307692307692"/>
    <n v="137.30000000000001"/>
    <n v="135.19999999999999"/>
    <n v="151.55000000000001"/>
    <n v="152"/>
    <n v="150.4"/>
    <n v="152.25"/>
  </r>
  <r>
    <s v="Urban"/>
    <x v="2"/>
    <s v="July"/>
    <n v="135.6"/>
    <n v="148.6"/>
    <n v="139.1"/>
    <n v="141"/>
    <n v="116.7"/>
    <n v="149.69999999999999"/>
    <n v="159.19999999999999"/>
    <n v="112.6"/>
    <n v="111.8"/>
    <n v="140.30000000000001"/>
    <n v="126.8"/>
    <n v="149.4"/>
    <n v="140.30000000000001"/>
    <n v="143.6"/>
    <n v="128.1"/>
    <n v="133.6"/>
    <n v="133.6"/>
    <n v="120.1"/>
    <n v="129"/>
    <n v="144"/>
    <n v="128.19999999999999"/>
    <n v="130.19999999999999"/>
    <n v="137.5"/>
    <n v="136.23846153846154"/>
    <n v="128.1"/>
    <n v="120.1"/>
    <n v="138.6"/>
    <n v="133.6"/>
    <n v="136.5"/>
    <n v="129.19999999999999"/>
  </r>
  <r>
    <s v="Rural+Urban"/>
    <x v="2"/>
    <s v="July"/>
    <n v="137.5"/>
    <n v="149.1"/>
    <n v="139.19999999999999"/>
    <n v="142.5"/>
    <n v="121.4"/>
    <n v="151.6"/>
    <n v="155.9"/>
    <n v="121.7"/>
    <n v="113.5"/>
    <n v="138.9"/>
    <n v="130.30000000000001"/>
    <n v="152.30000000000001"/>
    <n v="141.4"/>
    <n v="143.6"/>
    <n v="139.69999999999999"/>
    <n v="138.6"/>
    <n v="137"/>
    <n v="123.6"/>
    <n v="133.1"/>
    <n v="144.69999999999999"/>
    <n v="130.1"/>
    <n v="133.19999999999999"/>
    <n v="139.80000000000001"/>
    <n v="138.1"/>
    <n v="139.69999999999999"/>
    <n v="123.6"/>
    <n v="141.1"/>
    <n v="137"/>
    <n v="138.89999999999998"/>
    <n v="131.64999999999998"/>
  </r>
  <r>
    <s v="Rural"/>
    <x v="2"/>
    <s v="July"/>
    <n v="138.4"/>
    <n v="149.30000000000001"/>
    <n v="139.30000000000001"/>
    <n v="143.4"/>
    <n v="124.1"/>
    <n v="153.30000000000001"/>
    <n v="154.19999999999999"/>
    <n v="126.4"/>
    <n v="114.3"/>
    <n v="138.19999999999999"/>
    <n v="132.80000000000001"/>
    <n v="154.80000000000001"/>
    <n v="142"/>
    <n v="143.6"/>
    <n v="146.80000000000001"/>
    <n v="143.1"/>
    <n v="139"/>
    <n v="127.5"/>
    <n v="138.4"/>
    <n v="145.80000000000001"/>
    <n v="131.4"/>
    <n v="136"/>
    <n v="141.80000000000001"/>
    <n v="139.26923076923077"/>
    <n v="146.80000000000001"/>
    <n v="127.5"/>
    <n v="143.35"/>
    <n v="139"/>
    <n v="142.10000000000002"/>
    <n v="133.69999999999999"/>
  </r>
  <r>
    <s v="Urban"/>
    <x v="3"/>
    <s v="July"/>
    <n v="132.80000000000001"/>
    <n v="148.4"/>
    <n v="129.4"/>
    <n v="137.69999999999999"/>
    <n v="113.4"/>
    <n v="139.4"/>
    <n v="175.1"/>
    <n v="124.7"/>
    <n v="121.5"/>
    <n v="137.80000000000001"/>
    <n v="124.4"/>
    <n v="143.69999999999999"/>
    <n v="139.80000000000001"/>
    <n v="132.6"/>
    <n v="119.7"/>
    <n v="127.2"/>
    <n v="125"/>
    <n v="113.2"/>
    <n v="123.5"/>
    <n v="135.5"/>
    <n v="122.4"/>
    <n v="123"/>
    <n v="131.80000000000001"/>
    <n v="136.00769230769231"/>
    <n v="119.7"/>
    <n v="113.2"/>
    <n v="129.9"/>
    <n v="125"/>
    <n v="129.5"/>
    <n v="122.7"/>
  </r>
  <r>
    <s v="Rural+Urban"/>
    <x v="3"/>
    <s v="July"/>
    <n v="133.6"/>
    <n v="145.69999999999999"/>
    <n v="129.6"/>
    <n v="138.5"/>
    <n v="118.1"/>
    <n v="141.80000000000001"/>
    <n v="159.5"/>
    <n v="133.6"/>
    <n v="120.5"/>
    <n v="135.19999999999999"/>
    <n v="128.5"/>
    <n v="145.80000000000001"/>
    <n v="139"/>
    <n v="132.6"/>
    <n v="129.4"/>
    <n v="131.9"/>
    <n v="129.4"/>
    <n v="116"/>
    <n v="126.6"/>
    <n v="136.80000000000001"/>
    <n v="123.6"/>
    <n v="125.9"/>
    <n v="134.19999999999999"/>
    <n v="136.1076923076923"/>
    <n v="129.4"/>
    <n v="116"/>
    <n v="132.25"/>
    <n v="129.4"/>
    <n v="131.69999999999999"/>
    <n v="124.75"/>
  </r>
  <r>
    <s v="Rural"/>
    <x v="3"/>
    <s v="July"/>
    <n v="134"/>
    <n v="144.19999999999999"/>
    <n v="129.80000000000001"/>
    <n v="139"/>
    <n v="120.9"/>
    <n v="143.9"/>
    <n v="151.5"/>
    <n v="138.1"/>
    <n v="120"/>
    <n v="133.9"/>
    <n v="131.4"/>
    <n v="147.69999999999999"/>
    <n v="138.5"/>
    <n v="132.6"/>
    <n v="135.30000000000001"/>
    <n v="136.1"/>
    <n v="132.1"/>
    <n v="119.1"/>
    <n v="130.6"/>
    <n v="138.6"/>
    <n v="124.4"/>
    <n v="128.6"/>
    <n v="136.19999999999999"/>
    <n v="136.37692307692308"/>
    <n v="135.30000000000001"/>
    <n v="119.1"/>
    <n v="134.35"/>
    <n v="132.1"/>
    <n v="134.6"/>
    <n v="126.5"/>
  </r>
  <r>
    <s v="Urban"/>
    <x v="4"/>
    <s v="July"/>
    <n v="126.8"/>
    <n v="144.19999999999999"/>
    <n v="136.6"/>
    <n v="131.80000000000001"/>
    <n v="111"/>
    <n v="137"/>
    <n v="179.5"/>
    <n v="188.4"/>
    <n v="113.3"/>
    <n v="143.9"/>
    <n v="121.7"/>
    <n v="137.5"/>
    <n v="139.80000000000001"/>
    <n v="126.4"/>
    <n v="115.5"/>
    <n v="123.5"/>
    <n v="120.9"/>
    <n v="111.7"/>
    <n v="120.3"/>
    <n v="130.80000000000001"/>
    <n v="120"/>
    <n v="119.9"/>
    <n v="129"/>
    <n v="139.34615384615387"/>
    <n v="115.5"/>
    <n v="111.7"/>
    <n v="124.95"/>
    <n v="120.9"/>
    <n v="125.55000000000001"/>
    <n v="119.95"/>
  </r>
  <r>
    <s v="Rural+Urban"/>
    <x v="4"/>
    <s v="July"/>
    <n v="128.5"/>
    <n v="141.19999999999999"/>
    <n v="132.30000000000001"/>
    <n v="133.5"/>
    <n v="116.4"/>
    <n v="137.80000000000001"/>
    <n v="165.4"/>
    <n v="177.4"/>
    <n v="111.3"/>
    <n v="137.5"/>
    <n v="125"/>
    <n v="138.80000000000001"/>
    <n v="138.4"/>
    <n v="126.4"/>
    <n v="123.4"/>
    <n v="126.9"/>
    <n v="124.5"/>
    <n v="113.9"/>
    <n v="122.4"/>
    <n v="130.80000000000001"/>
    <n v="120.5"/>
    <n v="121.9"/>
    <n v="131.1"/>
    <n v="137.19230769230768"/>
    <n v="123.4"/>
    <n v="113.9"/>
    <n v="126.65"/>
    <n v="124.5"/>
    <n v="126.60000000000001"/>
    <n v="121.2"/>
  </r>
  <r>
    <s v="Rural"/>
    <x v="4"/>
    <s v="July"/>
    <n v="129.30000000000001"/>
    <n v="139.5"/>
    <n v="129.6"/>
    <n v="134.5"/>
    <n v="119.5"/>
    <n v="138.5"/>
    <n v="158.19999999999999"/>
    <n v="171.8"/>
    <n v="110.3"/>
    <n v="134.30000000000001"/>
    <n v="127.3"/>
    <n v="139.9"/>
    <n v="137.6"/>
    <n v="126.4"/>
    <n v="128.19999999999999"/>
    <n v="130"/>
    <n v="126.7"/>
    <n v="116.4"/>
    <n v="125.2"/>
    <n v="130.80000000000001"/>
    <n v="120.9"/>
    <n v="123.8"/>
    <n v="133"/>
    <n v="136.17692307692306"/>
    <n v="128.19999999999999"/>
    <n v="116.4"/>
    <n v="128.19999999999999"/>
    <n v="126.7"/>
    <n v="128"/>
    <n v="122.35"/>
  </r>
  <r>
    <s v="Urban"/>
    <x v="5"/>
    <s v="July"/>
    <n v="123.2"/>
    <n v="134.30000000000001"/>
    <n v="119.5"/>
    <n v="127.7"/>
    <n v="106.3"/>
    <n v="132.80000000000001"/>
    <n v="153.5"/>
    <n v="149.5"/>
    <n v="85.7"/>
    <n v="131.5"/>
    <n v="118.3"/>
    <n v="131.1"/>
    <n v="129.5"/>
    <n v="119.9"/>
    <n v="115.3"/>
    <n v="119.5"/>
    <n v="116"/>
    <n v="111.5"/>
    <n v="116.6"/>
    <n v="125.4"/>
    <n v="111.7"/>
    <n v="116.3"/>
    <n v="122.4"/>
    <n v="126.37692307692306"/>
    <n v="115.3"/>
    <n v="111.5"/>
    <n v="119.7"/>
    <n v="116"/>
    <n v="121"/>
    <n v="114"/>
  </r>
  <r>
    <s v="Rural+Urban"/>
    <x v="5"/>
    <s v="July"/>
    <n v="123.7"/>
    <n v="132.5"/>
    <n v="121"/>
    <n v="128.30000000000001"/>
    <n v="110.9"/>
    <n v="133.1"/>
    <n v="145.1"/>
    <n v="139.1"/>
    <n v="91.3"/>
    <n v="126.1"/>
    <n v="119.9"/>
    <n v="131.4"/>
    <n v="128.19999999999999"/>
    <n v="119.9"/>
    <n v="120.1"/>
    <n v="121.3"/>
    <n v="119"/>
    <n v="112.7"/>
    <n v="117.2"/>
    <n v="124.4"/>
    <n v="112.3"/>
    <n v="117.2"/>
    <n v="123.6"/>
    <n v="125.43076923076924"/>
    <n v="120.1"/>
    <n v="112.7"/>
    <n v="120.6"/>
    <n v="119"/>
    <n v="120.80000000000001"/>
    <n v="114.75"/>
  </r>
  <r>
    <s v="Rural"/>
    <x v="5"/>
    <s v="July"/>
    <n v="124"/>
    <n v="131.5"/>
    <n v="122"/>
    <n v="128.69999999999999"/>
    <n v="113.5"/>
    <n v="133.30000000000001"/>
    <n v="140.80000000000001"/>
    <n v="133.80000000000001"/>
    <n v="94.1"/>
    <n v="123.4"/>
    <n v="121"/>
    <n v="131.69999999999999"/>
    <n v="127.5"/>
    <n v="119.9"/>
    <n v="123"/>
    <n v="123"/>
    <n v="120.8"/>
    <n v="114.1"/>
    <n v="118"/>
    <n v="122.9"/>
    <n v="112.7"/>
    <n v="118.1"/>
    <n v="124.7"/>
    <n v="125.02307692307691"/>
    <n v="123"/>
    <n v="114.1"/>
    <n v="121.45"/>
    <n v="120.8"/>
    <n v="120.45"/>
    <n v="115.4"/>
  </r>
  <r>
    <s v="Rural"/>
    <x v="6"/>
    <s v="July"/>
    <n v="121.7"/>
    <n v="122.5"/>
    <n v="117.7"/>
    <n v="120.6"/>
    <n v="110.4"/>
    <n v="129.1"/>
    <n v="150.1"/>
    <n v="113.2"/>
    <n v="104.8"/>
    <n v="113.3"/>
    <n v="115.6"/>
    <n v="120.9"/>
    <n v="123.3"/>
    <n v="114.8"/>
    <n v="115.3"/>
    <n v="115.4"/>
    <n v="113.4"/>
    <n v="113.2"/>
    <n v="111.8"/>
    <n v="115.5"/>
    <n v="108.8"/>
    <n v="113.1"/>
    <n v="119.5"/>
    <n v="120.24615384615385"/>
    <n v="115.3"/>
    <n v="113.2"/>
    <n v="115.1"/>
    <n v="113.4"/>
    <n v="113.65"/>
    <n v="110.94999999999999"/>
  </r>
  <r>
    <s v="Rural+Urban"/>
    <x v="6"/>
    <s v="July"/>
    <n v="122.4"/>
    <n v="123.9"/>
    <n v="117.8"/>
    <n v="121"/>
    <n v="107.9"/>
    <n v="131.19999999999999"/>
    <n v="157.69999999999999"/>
    <n v="113.2"/>
    <n v="104.1"/>
    <n v="115.5"/>
    <n v="114.8"/>
    <n v="122.1"/>
    <n v="124.7"/>
    <n v="114.8"/>
    <n v="113.9"/>
    <n v="115.2"/>
    <n v="112.7"/>
    <n v="113.1"/>
    <n v="112.1"/>
    <n v="116.8"/>
    <n v="109.2"/>
    <n v="113.3"/>
    <n v="119.2"/>
    <n v="121.25384615384615"/>
    <n v="113.9"/>
    <n v="113.1"/>
    <n v="115"/>
    <n v="112.7"/>
    <n v="114.44999999999999"/>
    <n v="111.25"/>
  </r>
  <r>
    <s v="Urban"/>
    <x v="6"/>
    <s v="July"/>
    <n v="123.8"/>
    <n v="126.4"/>
    <n v="118"/>
    <n v="121.6"/>
    <n v="103.5"/>
    <n v="133.69999999999999"/>
    <n v="172.4"/>
    <n v="113.1"/>
    <n v="102.7"/>
    <n v="120"/>
    <n v="113.8"/>
    <n v="123.4"/>
    <n v="127.1"/>
    <n v="114.8"/>
    <n v="111.6"/>
    <n v="114.9"/>
    <n v="111.5"/>
    <n v="113"/>
    <n v="112.4"/>
    <n v="117.8"/>
    <n v="109.7"/>
    <n v="113.5"/>
    <n v="118.9"/>
    <n v="123.03846153846153"/>
    <n v="111.6"/>
    <n v="113"/>
    <n v="114.85"/>
    <n v="111.5"/>
    <n v="115.1"/>
    <n v="111.6"/>
  </r>
  <r>
    <s v="Rural"/>
    <x v="7"/>
    <s v="July"/>
    <n v="113.4"/>
    <n v="114.9"/>
    <n v="110.5"/>
    <n v="109.3"/>
    <n v="106.2"/>
    <n v="110.3"/>
    <n v="129.19999999999999"/>
    <n v="107.1"/>
    <n v="104.3"/>
    <n v="106.4"/>
    <n v="109.1"/>
    <n v="112.1"/>
    <n v="113.1"/>
    <n v="107.7"/>
    <n v="109.5"/>
    <n v="108.3"/>
    <n v="106.9"/>
    <n v="106.8"/>
    <n v="106.4"/>
    <n v="107.8"/>
    <n v="102.5"/>
    <n v="106.5"/>
    <n v="110.7"/>
    <n v="111.22307692307689"/>
    <n v="109.5"/>
    <n v="106.8"/>
    <n v="108"/>
    <n v="106.9"/>
    <n v="107.1"/>
    <n v="104.5"/>
  </r>
  <r>
    <s v="Rural+Urban"/>
    <x v="7"/>
    <s v="July"/>
    <n v="114.8"/>
    <n v="116.4"/>
    <n v="111.9"/>
    <n v="108.9"/>
    <n v="104.3"/>
    <n v="111.7"/>
    <n v="140"/>
    <n v="106.4"/>
    <n v="103.3"/>
    <n v="106.8"/>
    <n v="109.6"/>
    <n v="112.6"/>
    <n v="114.7"/>
    <n v="107.7"/>
    <n v="109.2"/>
    <n v="108.2"/>
    <n v="107"/>
    <n v="107.1"/>
    <n v="106.1"/>
    <n v="109.1"/>
    <n v="102.8"/>
    <n v="106.9"/>
    <n v="111"/>
    <n v="112.41538461538461"/>
    <n v="109.2"/>
    <n v="107.1"/>
    <n v="107.95"/>
    <n v="107"/>
    <n v="107.6"/>
    <n v="104.85"/>
  </r>
  <r>
    <s v="Urban"/>
    <x v="7"/>
    <s v="July"/>
    <n v="117.8"/>
    <n v="119.2"/>
    <n v="114"/>
    <n v="108.3"/>
    <n v="101.1"/>
    <n v="113.2"/>
    <n v="160.9"/>
    <n v="105.1"/>
    <n v="101.3"/>
    <n v="107.5"/>
    <n v="110.4"/>
    <n v="113.1"/>
    <n v="117.5"/>
    <n v="107.7"/>
    <n v="108.6"/>
    <n v="108.1"/>
    <n v="107.1"/>
    <n v="107.3"/>
    <n v="105.9"/>
    <n v="110.1"/>
    <n v="103.2"/>
    <n v="107.3"/>
    <n v="111.4"/>
    <n v="114.56923076923077"/>
    <n v="108.6"/>
    <n v="107.3"/>
    <n v="107.9"/>
    <n v="107.1"/>
    <n v="108"/>
    <n v="105.25"/>
  </r>
  <r>
    <s v="Urban"/>
    <x v="8"/>
    <s v="January"/>
    <n v="173.3"/>
    <n v="215.2"/>
    <n v="197"/>
    <n v="175.2"/>
    <n v="178"/>
    <n v="160.5"/>
    <n v="175.3"/>
    <n v="171.2"/>
    <n v="122.7"/>
    <n v="204.3"/>
    <n v="163.69999999999999"/>
    <n v="194.3"/>
    <n v="179.5"/>
    <n v="172.1"/>
    <n v="180.1"/>
    <n v="168"/>
    <n v="178.5"/>
    <n v="159.5"/>
    <n v="167.8"/>
    <n v="171.8"/>
    <n v="178.8"/>
    <n v="168.9"/>
    <n v="174.9"/>
    <n v="177.70769230769233"/>
    <n v="180.1"/>
    <n v="159.5"/>
    <n v="170.05"/>
    <n v="178.5"/>
    <n v="169.8"/>
    <n v="173.85000000000002"/>
  </r>
  <r>
    <s v="Rural+Urban"/>
    <x v="8"/>
    <s v="January"/>
    <n v="173.8"/>
    <n v="210.7"/>
    <n v="194.5"/>
    <n v="174.6"/>
    <n v="187.2"/>
    <n v="158.30000000000001"/>
    <n v="153.9"/>
    <n v="170.9"/>
    <n v="121.1"/>
    <n v="208.4"/>
    <n v="171.4"/>
    <n v="191.2"/>
    <n v="176.7"/>
    <n v="172.1"/>
    <n v="182"/>
    <n v="172.9"/>
    <n v="182.3"/>
    <n v="163.6"/>
    <n v="169.5"/>
    <n v="174.3"/>
    <n v="178.6"/>
    <n v="172.8"/>
    <n v="176.5"/>
    <n v="176.36153846153846"/>
    <n v="182"/>
    <n v="163.6"/>
    <n v="172.5"/>
    <n v="182.3"/>
    <n v="171.9"/>
    <n v="175.7"/>
  </r>
  <r>
    <s v="Rural"/>
    <x v="8"/>
    <s v="January"/>
    <n v="174"/>
    <n v="208.3"/>
    <n v="192.9"/>
    <n v="174.3"/>
    <n v="192.6"/>
    <n v="156.30000000000001"/>
    <n v="142.9"/>
    <n v="170.7"/>
    <n v="120.3"/>
    <n v="210.5"/>
    <n v="176.9"/>
    <n v="188.5"/>
    <n v="175"/>
    <n v="172.1"/>
    <n v="183.2"/>
    <n v="177.2"/>
    <n v="184.7"/>
    <n v="168.2"/>
    <n v="171.8"/>
    <n v="177.8"/>
    <n v="178.4"/>
    <n v="176.5"/>
    <n v="177.8"/>
    <n v="175.63076923076926"/>
    <n v="183.2"/>
    <n v="168.2"/>
    <n v="174.64999999999998"/>
    <n v="184.7"/>
    <n v="174.8"/>
    <n v="177.45"/>
  </r>
  <r>
    <s v="Rural"/>
    <x v="0"/>
    <s v="January"/>
    <n v="148.30000000000001"/>
    <n v="196.9"/>
    <n v="178"/>
    <n v="160.5"/>
    <n v="192.6"/>
    <n v="151.19999999999999"/>
    <n v="159.19999999999999"/>
    <n v="164"/>
    <n v="119.3"/>
    <n v="173.3"/>
    <n v="169.8"/>
    <n v="175.8"/>
    <n v="164.1"/>
    <n v="164.5"/>
    <n v="165.8"/>
    <n v="164.9"/>
    <n v="174.7"/>
    <n v="160.80000000000001"/>
    <n v="164.9"/>
    <n v="169.9"/>
    <n v="163.19999999999999"/>
    <n v="166.6"/>
    <n v="166.4"/>
    <n v="165.61538461538461"/>
    <n v="165.8"/>
    <n v="160.80000000000001"/>
    <n v="164.7"/>
    <n v="174.7"/>
    <n v="167.4"/>
    <n v="164.89999999999998"/>
  </r>
  <r>
    <s v="Rural+Urban"/>
    <x v="0"/>
    <s v="January"/>
    <n v="149.5"/>
    <n v="198.7"/>
    <n v="178.8"/>
    <n v="160.5"/>
    <n v="184.7"/>
    <n v="153.69999999999999"/>
    <n v="174.3"/>
    <n v="163.9"/>
    <n v="120"/>
    <n v="172.1"/>
    <n v="164.3"/>
    <n v="177.3"/>
    <n v="166.4"/>
    <n v="164.5"/>
    <n v="164.2"/>
    <n v="161.1"/>
    <n v="171.4"/>
    <n v="156.5"/>
    <n v="161.19999999999999"/>
    <n v="164.7"/>
    <n v="163"/>
    <n v="162.69999999999999"/>
    <n v="165.7"/>
    <n v="166.47692307692307"/>
    <n v="164.2"/>
    <n v="156.5"/>
    <n v="162.80000000000001"/>
    <n v="171.4"/>
    <n v="162.94999999999999"/>
    <n v="162.85"/>
  </r>
  <r>
    <s v="Urban"/>
    <x v="0"/>
    <s v="January"/>
    <n v="152.19999999999999"/>
    <n v="202.1"/>
    <n v="180.1"/>
    <n v="160.4"/>
    <n v="171"/>
    <n v="156.5"/>
    <n v="203.6"/>
    <n v="163.80000000000001"/>
    <n v="121.3"/>
    <n v="169.8"/>
    <n v="156.6"/>
    <n v="179"/>
    <n v="170.3"/>
    <n v="164.5"/>
    <n v="161.6"/>
    <n v="156.80000000000001"/>
    <n v="166.1"/>
    <n v="152.69999999999999"/>
    <n v="158.4"/>
    <n v="161"/>
    <n v="162.80000000000001"/>
    <n v="158.6"/>
    <n v="165"/>
    <n v="168.2076923076923"/>
    <n v="161.6"/>
    <n v="152.69999999999999"/>
    <n v="160.65"/>
    <n v="166.1"/>
    <n v="159.69999999999999"/>
    <n v="160.69999999999999"/>
  </r>
  <r>
    <s v="Rural"/>
    <x v="9"/>
    <s v="October"/>
    <n v="146"/>
    <n v="186.3"/>
    <n v="159.19999999999999"/>
    <n v="153.6"/>
    <n v="142.6"/>
    <n v="147.19999999999999"/>
    <n v="200.6"/>
    <n v="150.30000000000001"/>
    <n v="115.3"/>
    <n v="160.9"/>
    <n v="147.4"/>
    <n v="161.9"/>
    <n v="159.6"/>
    <n v="153"/>
    <n v="146.80000000000001"/>
    <n v="152"/>
    <n v="159.5"/>
    <n v="146.4"/>
    <n v="152.4"/>
    <n v="162.5"/>
    <n v="156.19999999999999"/>
    <n v="154.30000000000001"/>
    <n v="157.5"/>
    <n v="156.22307692307692"/>
    <n v="146.80000000000001"/>
    <n v="146.4"/>
    <n v="152.5"/>
    <n v="159.5"/>
    <n v="157.44999999999999"/>
    <n v="155.25"/>
  </r>
  <r>
    <s v="Rural+Urban"/>
    <x v="9"/>
    <s v="October"/>
    <n v="147.5"/>
    <n v="188.9"/>
    <n v="161.4"/>
    <n v="153.6"/>
    <n v="140.1"/>
    <n v="151.19999999999999"/>
    <n v="209.2"/>
    <n v="150.9"/>
    <n v="116.2"/>
    <n v="161"/>
    <n v="144"/>
    <n v="163.19999999999999"/>
    <n v="161.4"/>
    <n v="156.5"/>
    <n v="143.1"/>
    <n v="148.69999999999999"/>
    <n v="156.30000000000001"/>
    <n v="140.6"/>
    <n v="146.5"/>
    <n v="158.5"/>
    <n v="157"/>
    <n v="150.4"/>
    <n v="156.4"/>
    <n v="157.5846153846154"/>
    <n v="143.1"/>
    <n v="140.6"/>
    <n v="152.6"/>
    <n v="156.30000000000001"/>
    <n v="152.5"/>
    <n v="153.69999999999999"/>
  </r>
  <r>
    <s v="Urban"/>
    <x v="9"/>
    <s v="October"/>
    <n v="150.6"/>
    <n v="193.7"/>
    <n v="164.8"/>
    <n v="153.69999999999999"/>
    <n v="135.69999999999999"/>
    <n v="155.69999999999999"/>
    <n v="226"/>
    <n v="152.19999999999999"/>
    <n v="118.1"/>
    <n v="161.30000000000001"/>
    <n v="139.19999999999999"/>
    <n v="164.8"/>
    <n v="164.4"/>
    <n v="156.5"/>
    <n v="137.1"/>
    <n v="145.1"/>
    <n v="151"/>
    <n v="135.4"/>
    <n v="142"/>
    <n v="155.69999999999999"/>
    <n v="158.1"/>
    <n v="146.19999999999999"/>
    <n v="155.19999999999999"/>
    <n v="160.01538461538459"/>
    <n v="137.1"/>
    <n v="135.4"/>
    <n v="150.80000000000001"/>
    <n v="151"/>
    <n v="148.85"/>
    <n v="152.14999999999998"/>
  </r>
  <r>
    <s v="Rural"/>
    <x v="9"/>
    <s v="September"/>
    <n v="146.9"/>
    <n v="183.9"/>
    <n v="149.5"/>
    <n v="153.4"/>
    <n v="140.4"/>
    <n v="147"/>
    <n v="178.8"/>
    <n v="149.30000000000001"/>
    <n v="115.1"/>
    <n v="160"/>
    <n v="145.4"/>
    <n v="161.6"/>
    <n v="156.1"/>
    <n v="152.19999999999999"/>
    <n v="146.4"/>
    <n v="151.6"/>
    <n v="159.1"/>
    <n v="144.6"/>
    <n v="152.80000000000001"/>
    <n v="161.1"/>
    <n v="157.4"/>
    <n v="153.69999999999999"/>
    <n v="155.4"/>
    <n v="152.87692307692308"/>
    <n v="146.4"/>
    <n v="144.6"/>
    <n v="151.89999999999998"/>
    <n v="159.1"/>
    <n v="156.94999999999999"/>
    <n v="155.55000000000001"/>
  </r>
  <r>
    <s v="Rural+Urban"/>
    <x v="9"/>
    <s v="September"/>
    <n v="148.4"/>
    <n v="187.1"/>
    <n v="152.5"/>
    <n v="153.6"/>
    <n v="138.19999999999999"/>
    <n v="150.9"/>
    <n v="186.7"/>
    <n v="149.80000000000001"/>
    <n v="116.4"/>
    <n v="160.30000000000001"/>
    <n v="142.19999999999999"/>
    <n v="162.9"/>
    <n v="158"/>
    <n v="156.30000000000001"/>
    <n v="142.9"/>
    <n v="148.69999999999999"/>
    <n v="155.6"/>
    <n v="139.6"/>
    <n v="146.6"/>
    <n v="157.5"/>
    <n v="158.4"/>
    <n v="150"/>
    <n v="154.69999999999999"/>
    <n v="154.38461538461539"/>
    <n v="142.9"/>
    <n v="139.6"/>
    <n v="152.5"/>
    <n v="155.6"/>
    <n v="152.05000000000001"/>
    <n v="154.19999999999999"/>
  </r>
  <r>
    <s v="Urban"/>
    <x v="9"/>
    <s v="September"/>
    <n v="151.5"/>
    <n v="193.1"/>
    <n v="157.30000000000001"/>
    <n v="153.9"/>
    <n v="134.4"/>
    <n v="155.4"/>
    <n v="202"/>
    <n v="150.80000000000001"/>
    <n v="118.9"/>
    <n v="160.9"/>
    <n v="137.69999999999999"/>
    <n v="164.4"/>
    <n v="161.30000000000001"/>
    <n v="156.30000000000001"/>
    <n v="137.19999999999999"/>
    <n v="145.4"/>
    <n v="150"/>
    <n v="135.1"/>
    <n v="141.80000000000001"/>
    <n v="154.9"/>
    <n v="159.80000000000001"/>
    <n v="146"/>
    <n v="154"/>
    <n v="157.04615384615386"/>
    <n v="137.19999999999999"/>
    <n v="135.1"/>
    <n v="150.85000000000002"/>
    <n v="150"/>
    <n v="148.35000000000002"/>
    <n v="152.9"/>
  </r>
  <r>
    <s v="Rural"/>
    <x v="10"/>
    <s v="April"/>
    <n v="142.69999999999999"/>
    <n v="195.5"/>
    <n v="163.4"/>
    <n v="155"/>
    <n v="175.2"/>
    <n v="160.6"/>
    <n v="135.1"/>
    <n v="161.1"/>
    <n v="112.2"/>
    <n v="164.4"/>
    <n v="161.9"/>
    <n v="166.8"/>
    <n v="155.6"/>
    <n v="161.4"/>
    <n v="156"/>
    <n v="155.5"/>
    <n v="165.3"/>
    <n v="151.69999999999999"/>
    <n v="158.6"/>
    <n v="164.1"/>
    <n v="154.6"/>
    <n v="158"/>
    <n v="157.6"/>
    <n v="157.65384615384616"/>
    <n v="156"/>
    <n v="151.69999999999999"/>
    <n v="158.44999999999999"/>
    <n v="165.3"/>
    <n v="161.35"/>
    <n v="156.30000000000001"/>
  </r>
  <r>
    <s v="Rural+Urban"/>
    <x v="10"/>
    <s v="April"/>
    <n v="144.30000000000001"/>
    <n v="198"/>
    <n v="164.6"/>
    <n v="155.4"/>
    <n v="170.1"/>
    <n v="164.4"/>
    <n v="144.1"/>
    <n v="161.69999999999999"/>
    <n v="113.1"/>
    <n v="163.9"/>
    <n v="157.6"/>
    <n v="168.9"/>
    <n v="158"/>
    <n v="161.4"/>
    <n v="155.6"/>
    <n v="151.80000000000001"/>
    <n v="162.30000000000001"/>
    <n v="146.6"/>
    <n v="153.19999999999999"/>
    <n v="160.30000000000001"/>
    <n v="155.4"/>
    <n v="154.4"/>
    <n v="157.80000000000001"/>
    <n v="158.77692307692308"/>
    <n v="155.6"/>
    <n v="146.6"/>
    <n v="156.60000000000002"/>
    <n v="162.30000000000001"/>
    <n v="156.75"/>
    <n v="154.9"/>
  </r>
  <r>
    <s v="Urban"/>
    <x v="10"/>
    <s v="April"/>
    <n v="147.6"/>
    <n v="202.5"/>
    <n v="166.4"/>
    <n v="156"/>
    <n v="161.4"/>
    <n v="168.8"/>
    <n v="161.6"/>
    <n v="162.80000000000001"/>
    <n v="114.8"/>
    <n v="162.80000000000001"/>
    <n v="151.5"/>
    <n v="171.4"/>
    <n v="162"/>
    <n v="161.4"/>
    <n v="154.9"/>
    <n v="147.6"/>
    <n v="157.5"/>
    <n v="142.1"/>
    <n v="149.1"/>
    <n v="157.6"/>
    <n v="156.6"/>
    <n v="150.5"/>
    <n v="158"/>
    <n v="160.73846153846154"/>
    <n v="154.9"/>
    <n v="142.1"/>
    <n v="154.5"/>
    <n v="157.5"/>
    <n v="153.35"/>
    <n v="153.55000000000001"/>
  </r>
  <r>
    <s v="Urban"/>
    <x v="2"/>
    <s v="January"/>
    <n v="134.6"/>
    <n v="143.69999999999999"/>
    <n v="143.6"/>
    <n v="139.6"/>
    <n v="116.4"/>
    <n v="133.80000000000001"/>
    <n v="150.5"/>
    <n v="118.4"/>
    <n v="117.3"/>
    <n v="140.5"/>
    <n v="125.9"/>
    <n v="146.80000000000001"/>
    <n v="137.19999999999999"/>
    <n v="140.4"/>
    <n v="127.3"/>
    <n v="129.5"/>
    <n v="129"/>
    <n v="116.3"/>
    <n v="126.2"/>
    <n v="137.1"/>
    <n v="125.5"/>
    <n v="125.8"/>
    <n v="134.1"/>
    <n v="134.48461538461541"/>
    <n v="127.3"/>
    <n v="116.3"/>
    <n v="134.94999999999999"/>
    <n v="129"/>
    <n v="131.65"/>
    <n v="125.65"/>
  </r>
  <r>
    <s v="Rural+Urban"/>
    <x v="2"/>
    <s v="January"/>
    <n v="136"/>
    <n v="144.19999999999999"/>
    <n v="143.69999999999999"/>
    <n v="141.1"/>
    <n v="120.7"/>
    <n v="141.30000000000001"/>
    <n v="151.6"/>
    <n v="127.3"/>
    <n v="118.8"/>
    <n v="137.5"/>
    <n v="129"/>
    <n v="149.5"/>
    <n v="139.19999999999999"/>
    <n v="140.4"/>
    <n v="136.6"/>
    <n v="134.9"/>
    <n v="133.30000000000001"/>
    <n v="119.3"/>
    <n v="129.69999999999999"/>
    <n v="139"/>
    <n v="127.3"/>
    <n v="129.1"/>
    <n v="136.9"/>
    <n v="136.91538461538462"/>
    <n v="136.6"/>
    <n v="119.3"/>
    <n v="137.65"/>
    <n v="133.30000000000001"/>
    <n v="134.35"/>
    <n v="128.19999999999999"/>
  </r>
  <r>
    <s v="Rural"/>
    <x v="2"/>
    <s v="January"/>
    <n v="136.6"/>
    <n v="144.4"/>
    <n v="143.80000000000001"/>
    <n v="142"/>
    <n v="123.2"/>
    <n v="147.9"/>
    <n v="152.1"/>
    <n v="131.80000000000001"/>
    <n v="119.5"/>
    <n v="136"/>
    <n v="131.19999999999999"/>
    <n v="151.80000000000001"/>
    <n v="140.4"/>
    <n v="140.4"/>
    <n v="142.30000000000001"/>
    <n v="139.80000000000001"/>
    <n v="136"/>
    <n v="122.7"/>
    <n v="134.30000000000001"/>
    <n v="141.6"/>
    <n v="128.6"/>
    <n v="132.30000000000001"/>
    <n v="139.30000000000001"/>
    <n v="138.51538461538462"/>
    <n v="142.30000000000001"/>
    <n v="122.7"/>
    <n v="140.10000000000002"/>
    <n v="136"/>
    <n v="137.94999999999999"/>
    <n v="130.44999999999999"/>
  </r>
  <r>
    <s v="Urban"/>
    <x v="3"/>
    <s v="January"/>
    <n v="132.19999999999999"/>
    <n v="138.9"/>
    <n v="132.6"/>
    <n v="133.1"/>
    <n v="114"/>
    <n v="129.6"/>
    <n v="118.7"/>
    <n v="155.1"/>
    <n v="117.3"/>
    <n v="144.9"/>
    <n v="123.2"/>
    <n v="141.6"/>
    <n v="132"/>
    <n v="129.6"/>
    <n v="118"/>
    <n v="125.1"/>
    <n v="122.6"/>
    <n v="115.2"/>
    <n v="122"/>
    <n v="132.4"/>
    <n v="120.9"/>
    <n v="122.1"/>
    <n v="127.8"/>
    <n v="131.78461538461539"/>
    <n v="118"/>
    <n v="115.2"/>
    <n v="127.35"/>
    <n v="122.6"/>
    <n v="127.2"/>
    <n v="121.5"/>
  </r>
  <r>
    <s v="Rural+Urban"/>
    <x v="3"/>
    <s v="January"/>
    <n v="132.80000000000001"/>
    <n v="138.19999999999999"/>
    <n v="132.19999999999999"/>
    <n v="135.4"/>
    <n v="119.1"/>
    <n v="133"/>
    <n v="119.4"/>
    <n v="159.5"/>
    <n v="115.6"/>
    <n v="139.6"/>
    <n v="126.6"/>
    <n v="142.80000000000001"/>
    <n v="133.1"/>
    <n v="129.6"/>
    <n v="126.8"/>
    <n v="129.4"/>
    <n v="127.1"/>
    <n v="117"/>
    <n v="124.2"/>
    <n v="133.30000000000001"/>
    <n v="121.7"/>
    <n v="124.4"/>
    <n v="130.30000000000001"/>
    <n v="132.86923076923074"/>
    <n v="126.8"/>
    <n v="117"/>
    <n v="129.5"/>
    <n v="127.1"/>
    <n v="128.75"/>
    <n v="123.05000000000001"/>
  </r>
  <r>
    <s v="Rural"/>
    <x v="3"/>
    <s v="January"/>
    <n v="133.1"/>
    <n v="137.80000000000001"/>
    <n v="131.9"/>
    <n v="136.69999999999999"/>
    <n v="122"/>
    <n v="136"/>
    <n v="119.8"/>
    <n v="161.69999999999999"/>
    <n v="114.8"/>
    <n v="136.9"/>
    <n v="129"/>
    <n v="143.9"/>
    <n v="133.69999999999999"/>
    <n v="129.6"/>
    <n v="132.1"/>
    <n v="133.19999999999999"/>
    <n v="129.9"/>
    <n v="119.1"/>
    <n v="127"/>
    <n v="134.6"/>
    <n v="122.3"/>
    <n v="126.6"/>
    <n v="132.4"/>
    <n v="133.63846153846154"/>
    <n v="132.1"/>
    <n v="119.1"/>
    <n v="131.39999999999998"/>
    <n v="129.9"/>
    <n v="130.80000000000001"/>
    <n v="124.44999999999999"/>
  </r>
  <r>
    <s v="Urban"/>
    <x v="4"/>
    <s v="January"/>
    <n v="124.7"/>
    <n v="135.9"/>
    <n v="132"/>
    <n v="129.19999999999999"/>
    <n v="109.7"/>
    <n v="119"/>
    <n v="144.1"/>
    <n v="184.2"/>
    <n v="96.7"/>
    <n v="139.5"/>
    <n v="120.5"/>
    <n v="134.69999999999999"/>
    <n v="131.19999999999999"/>
    <n v="123.4"/>
    <n v="116.9"/>
    <n v="121.6"/>
    <n v="119.1"/>
    <n v="108.9"/>
    <n v="118.5"/>
    <n v="126.4"/>
    <n v="114"/>
    <n v="116.8"/>
    <n v="124.2"/>
    <n v="130.87692307692308"/>
    <n v="116.9"/>
    <n v="108.9"/>
    <n v="122.5"/>
    <n v="119.1"/>
    <n v="122.45"/>
    <n v="115.4"/>
  </r>
  <r>
    <s v="Rural+Urban"/>
    <x v="4"/>
    <s v="January"/>
    <n v="126.1"/>
    <n v="134.1"/>
    <n v="128.6"/>
    <n v="129.9"/>
    <n v="115.5"/>
    <n v="125.7"/>
    <n v="141.5"/>
    <n v="170.7"/>
    <n v="97.4"/>
    <n v="132.9"/>
    <n v="122.7"/>
    <n v="135.30000000000001"/>
    <n v="131.30000000000001"/>
    <n v="123.4"/>
    <n v="122.7"/>
    <n v="124.2"/>
    <n v="122"/>
    <n v="111.1"/>
    <n v="119.8"/>
    <n v="126.3"/>
    <n v="114.5"/>
    <n v="118.5"/>
    <n v="126.3"/>
    <n v="130.13076923076923"/>
    <n v="122.7"/>
    <n v="111.1"/>
    <n v="123.80000000000001"/>
    <n v="122"/>
    <n v="123.05"/>
    <n v="116.5"/>
  </r>
  <r>
    <s v="Rural"/>
    <x v="4"/>
    <s v="January"/>
    <n v="126.8"/>
    <n v="133.19999999999999"/>
    <n v="126.5"/>
    <n v="130.30000000000001"/>
    <n v="118.9"/>
    <n v="131.6"/>
    <n v="140.1"/>
    <n v="163.80000000000001"/>
    <n v="97.7"/>
    <n v="129.6"/>
    <n v="124.3"/>
    <n v="135.9"/>
    <n v="131.4"/>
    <n v="123.4"/>
    <n v="126.2"/>
    <n v="126.6"/>
    <n v="123.7"/>
    <n v="113.6"/>
    <n v="121.4"/>
    <n v="126.2"/>
    <n v="114.9"/>
    <n v="120.1"/>
    <n v="128.1"/>
    <n v="130.00769230769231"/>
    <n v="126.2"/>
    <n v="113.6"/>
    <n v="125"/>
    <n v="123.7"/>
    <n v="123.80000000000001"/>
    <n v="117.5"/>
  </r>
  <r>
    <s v="Rural"/>
    <x v="5"/>
    <s v="January"/>
    <n v="123.1"/>
    <n v="123.1"/>
    <n v="122.1"/>
    <n v="124.9"/>
    <n v="111"/>
    <n v="130.4"/>
    <n v="132.30000000000001"/>
    <n v="117.2"/>
    <n v="100.5"/>
    <n v="117.2"/>
    <n v="117.9"/>
    <n v="125.6"/>
    <n v="122.8"/>
    <n v="117.3"/>
    <n v="118.4"/>
    <n v="118.9"/>
    <n v="116.6"/>
    <n v="111"/>
    <n v="114"/>
    <n v="118.2"/>
    <n v="110.2"/>
    <n v="114.5"/>
    <n v="120.3"/>
    <n v="120.62307692307692"/>
    <n v="118.4"/>
    <n v="111"/>
    <n v="118.1"/>
    <n v="116.6"/>
    <n v="116.1"/>
    <n v="112.35"/>
  </r>
  <r>
    <s v="Rural+Urban"/>
    <x v="5"/>
    <s v="January"/>
    <n v="123.4"/>
    <n v="123.9"/>
    <n v="123.8"/>
    <n v="125"/>
    <n v="108.5"/>
    <n v="126.2"/>
    <n v="133"/>
    <n v="119.1"/>
    <n v="99"/>
    <n v="120.3"/>
    <n v="117.3"/>
    <n v="126.7"/>
    <n v="123.1"/>
    <n v="117.3"/>
    <n v="116.5"/>
    <n v="118.1"/>
    <n v="115.5"/>
    <n v="109.4"/>
    <n v="114.3"/>
    <n v="119.7"/>
    <n v="110.7"/>
    <n v="114"/>
    <n v="119.5"/>
    <n v="120.71538461538461"/>
    <n v="116.5"/>
    <n v="109.4"/>
    <n v="117.69999999999999"/>
    <n v="115.5"/>
    <n v="117"/>
    <n v="112.35"/>
  </r>
  <r>
    <s v="Urban"/>
    <x v="5"/>
    <s v="January"/>
    <n v="124"/>
    <n v="125.5"/>
    <n v="126.6"/>
    <n v="125.2"/>
    <n v="104.3"/>
    <n v="121.3"/>
    <n v="134.4"/>
    <n v="122.9"/>
    <n v="96.1"/>
    <n v="126.6"/>
    <n v="116.5"/>
    <n v="128"/>
    <n v="123.5"/>
    <n v="117.3"/>
    <n v="113.4"/>
    <n v="117.2"/>
    <n v="113.7"/>
    <n v="107.9"/>
    <n v="114.6"/>
    <n v="120.8"/>
    <n v="111.4"/>
    <n v="113.4"/>
    <n v="118.5"/>
    <n v="121.14615384615384"/>
    <n v="113.4"/>
    <n v="107.9"/>
    <n v="117.25"/>
    <n v="113.7"/>
    <n v="117.69999999999999"/>
    <n v="112.4"/>
  </r>
  <r>
    <s v="Rural"/>
    <x v="6"/>
    <s v="January"/>
    <n v="118.9"/>
    <n v="117.1"/>
    <n v="120.5"/>
    <n v="114.4"/>
    <n v="109"/>
    <n v="115.5"/>
    <n v="123.9"/>
    <n v="109.6"/>
    <n v="101.8"/>
    <n v="110.2"/>
    <n v="112.4"/>
    <n v="117.3"/>
    <n v="116"/>
    <n v="111.6"/>
    <n v="113"/>
    <n v="112.6"/>
    <n v="110.6"/>
    <n v="110.5"/>
    <n v="109.6"/>
    <n v="111.8"/>
    <n v="108.3"/>
    <n v="110.6"/>
    <n v="114.2"/>
    <n v="114.35384615384616"/>
    <n v="113"/>
    <n v="110.5"/>
    <n v="112.1"/>
    <n v="110.6"/>
    <n v="110.69999999999999"/>
    <n v="109.44999999999999"/>
  </r>
  <r>
    <s v="Rural+Urban"/>
    <x v="6"/>
    <s v="January"/>
    <n v="119.6"/>
    <n v="118.8"/>
    <n v="124.1"/>
    <n v="114.1"/>
    <n v="106.8"/>
    <n v="113.9"/>
    <n v="122.2"/>
    <n v="108.9"/>
    <n v="100.2"/>
    <n v="111"/>
    <n v="112.3"/>
    <n v="118.1"/>
    <n v="115.8"/>
    <n v="111.6"/>
    <n v="112.2"/>
    <n v="112.3"/>
    <n v="110.3"/>
    <n v="110.7"/>
    <n v="109.7"/>
    <n v="111.6"/>
    <n v="108.2"/>
    <n v="110.6"/>
    <n v="113.6"/>
    <n v="114.29230769230767"/>
    <n v="112.2"/>
    <n v="110.7"/>
    <n v="111.94999999999999"/>
    <n v="110.3"/>
    <n v="110.65"/>
    <n v="109.4"/>
  </r>
  <r>
    <s v="Urban"/>
    <x v="6"/>
    <s v="January"/>
    <n v="121.2"/>
    <n v="122"/>
    <n v="129.9"/>
    <n v="113.6"/>
    <n v="102.9"/>
    <n v="112.1"/>
    <n v="118.9"/>
    <n v="107.5"/>
    <n v="96.9"/>
    <n v="112.7"/>
    <n v="112.1"/>
    <n v="119"/>
    <n v="115.5"/>
    <n v="111.6"/>
    <n v="111"/>
    <n v="111.9"/>
    <n v="109.7"/>
    <n v="110.8"/>
    <n v="109.8"/>
    <n v="111.5"/>
    <n v="108"/>
    <n v="110.5"/>
    <n v="112.9"/>
    <n v="114.17692307692307"/>
    <n v="111"/>
    <n v="110.8"/>
    <n v="111.75"/>
    <n v="109.7"/>
    <n v="110.65"/>
    <n v="109.25"/>
  </r>
  <r>
    <s v="Rural"/>
    <x v="7"/>
    <s v="January"/>
    <n v="107.5"/>
    <n v="106.3"/>
    <n v="108.1"/>
    <n v="104.9"/>
    <n v="106.1"/>
    <n v="103.9"/>
    <n v="101.9"/>
    <n v="106.1"/>
    <n v="106.8"/>
    <n v="103.1"/>
    <n v="104.8"/>
    <n v="106.7"/>
    <n v="105.5"/>
    <n v="100.3"/>
    <n v="105.5"/>
    <n v="104.8"/>
    <n v="104"/>
    <n v="103.3"/>
    <n v="103.4"/>
    <n v="103.8"/>
    <n v="104.7"/>
    <n v="104"/>
    <n v="105.1"/>
    <n v="105.5153846153846"/>
    <n v="105.5"/>
    <n v="103.3"/>
    <n v="102.55"/>
    <n v="104"/>
    <n v="103.6"/>
    <n v="104.35"/>
  </r>
  <r>
    <s v="Rural+Urban"/>
    <x v="7"/>
    <s v="January"/>
    <n v="108.4"/>
    <n v="107.3"/>
    <n v="110"/>
    <n v="104.4"/>
    <n v="105.1"/>
    <n v="103.2"/>
    <n v="102.2"/>
    <n v="106"/>
    <n v="106.2"/>
    <n v="102.7"/>
    <n v="104.9"/>
    <n v="107.3"/>
    <n v="105.6"/>
    <n v="100.3"/>
    <n v="105.5"/>
    <n v="104.8"/>
    <n v="104"/>
    <n v="103.2"/>
    <n v="103.1"/>
    <n v="103.6"/>
    <n v="104.5"/>
    <n v="103.9"/>
    <n v="104.6"/>
    <n v="105.63846153846156"/>
    <n v="105.5"/>
    <n v="103.2"/>
    <n v="102.55"/>
    <n v="104"/>
    <n v="103.35"/>
    <n v="104.2"/>
  </r>
  <r>
    <s v="Urban"/>
    <x v="7"/>
    <s v="January"/>
    <n v="110.5"/>
    <n v="109.1"/>
    <n v="113"/>
    <n v="103.6"/>
    <n v="103.4"/>
    <n v="102.3"/>
    <n v="102.9"/>
    <n v="105.8"/>
    <n v="105.1"/>
    <n v="101.8"/>
    <n v="105.1"/>
    <n v="107.9"/>
    <n v="105.9"/>
    <n v="100.3"/>
    <n v="105.4"/>
    <n v="104.8"/>
    <n v="104.1"/>
    <n v="103.2"/>
    <n v="102.9"/>
    <n v="103.5"/>
    <n v="104.3"/>
    <n v="103.7"/>
    <n v="104"/>
    <n v="105.87692307692308"/>
    <n v="105.4"/>
    <n v="103.2"/>
    <n v="102.55"/>
    <n v="104.1"/>
    <n v="103.2"/>
    <n v="104"/>
  </r>
  <r>
    <s v="Rural"/>
    <x v="8"/>
    <s v="February"/>
    <n v="174.2"/>
    <n v="205.2"/>
    <n v="173.9"/>
    <n v="177"/>
    <n v="183.4"/>
    <n v="167.2"/>
    <n v="140.9"/>
    <n v="170.4"/>
    <n v="119.1"/>
    <n v="212.1"/>
    <n v="177.6"/>
    <n v="189.9"/>
    <n v="174.8"/>
    <n v="173.5"/>
    <n v="181.6"/>
    <n v="178.6"/>
    <n v="186.6"/>
    <n v="169"/>
    <n v="172.8"/>
    <n v="178.5"/>
    <n v="180.7"/>
    <n v="177.9"/>
    <n v="178"/>
    <n v="174.28461538461536"/>
    <n v="181.6"/>
    <n v="169"/>
    <n v="176.05"/>
    <n v="186.6"/>
    <n v="175.65"/>
    <n v="179.3"/>
  </r>
  <r>
    <s v="Rural+Urban"/>
    <x v="8"/>
    <s v="February"/>
    <n v="174.4"/>
    <n v="207.7"/>
    <n v="175.2"/>
    <n v="177.3"/>
    <n v="179.3"/>
    <n v="169.5"/>
    <n v="152.69999999999999"/>
    <n v="171"/>
    <n v="120"/>
    <n v="209.7"/>
    <n v="172.3"/>
    <n v="193"/>
    <n v="177"/>
    <n v="173.5"/>
    <n v="182.1"/>
    <n v="174.2"/>
    <n v="184.4"/>
    <n v="164.2"/>
    <n v="170.3"/>
    <n v="175"/>
    <n v="181"/>
    <n v="174.1"/>
    <n v="177.2"/>
    <n v="175.3153846153846"/>
    <n v="182.1"/>
    <n v="164.2"/>
    <n v="173.85"/>
    <n v="184.4"/>
    <n v="172.65"/>
    <n v="177.55"/>
  </r>
  <r>
    <s v="Urban"/>
    <x v="8"/>
    <s v="February"/>
    <n v="174.7"/>
    <n v="212.2"/>
    <n v="177.2"/>
    <n v="177.9"/>
    <n v="172.2"/>
    <n v="172.1"/>
    <n v="175.8"/>
    <n v="172.2"/>
    <n v="121.9"/>
    <n v="204.8"/>
    <n v="164.9"/>
    <n v="196.6"/>
    <n v="180.7"/>
    <n v="173.5"/>
    <n v="182.8"/>
    <n v="169.2"/>
    <n v="180.8"/>
    <n v="159.80000000000001"/>
    <n v="168.4"/>
    <n v="172.5"/>
    <n v="181.4"/>
    <n v="170"/>
    <n v="176.3"/>
    <n v="177.16923076923075"/>
    <n v="182.8"/>
    <n v="159.80000000000001"/>
    <n v="171.35"/>
    <n v="180.8"/>
    <n v="170.45"/>
    <n v="175.7"/>
  </r>
  <r>
    <s v="Rural"/>
    <x v="0"/>
    <s v="February"/>
    <n v="148.80000000000001"/>
    <n v="198.1"/>
    <n v="175.5"/>
    <n v="160.69999999999999"/>
    <n v="192.6"/>
    <n v="151.4"/>
    <n v="155.19999999999999"/>
    <n v="163.9"/>
    <n v="118.1"/>
    <n v="175.4"/>
    <n v="170.5"/>
    <n v="176.3"/>
    <n v="163.9"/>
    <n v="165.5"/>
    <n v="167.4"/>
    <n v="165.7"/>
    <n v="175.3"/>
    <n v="161.19999999999999"/>
    <n v="165.5"/>
    <n v="170.3"/>
    <n v="164.5"/>
    <n v="167.3"/>
    <n v="166.7"/>
    <n v="165.41538461538462"/>
    <n v="167.4"/>
    <n v="161.19999999999999"/>
    <n v="165.6"/>
    <n v="175.3"/>
    <n v="167.9"/>
    <n v="165.9"/>
  </r>
  <r>
    <s v="Rural+Urban"/>
    <x v="0"/>
    <s v="February"/>
    <n v="150"/>
    <n v="200.6"/>
    <n v="175.8"/>
    <n v="160.69999999999999"/>
    <n v="184.9"/>
    <n v="153.69999999999999"/>
    <n v="169.7"/>
    <n v="163.69999999999999"/>
    <n v="118.9"/>
    <n v="174.3"/>
    <n v="164.7"/>
    <n v="178"/>
    <n v="166.2"/>
    <n v="165.5"/>
    <n v="165.7"/>
    <n v="161.80000000000001"/>
    <n v="172.2"/>
    <n v="156.9"/>
    <n v="162.1"/>
    <n v="165.4"/>
    <n v="164.4"/>
    <n v="163.5"/>
    <n v="166.1"/>
    <n v="166.24615384615387"/>
    <n v="165.7"/>
    <n v="156.9"/>
    <n v="163.65"/>
    <n v="172.2"/>
    <n v="163.75"/>
    <n v="163.95"/>
  </r>
  <r>
    <s v="Urban"/>
    <x v="0"/>
    <s v="February"/>
    <n v="152.5"/>
    <n v="205.2"/>
    <n v="176.4"/>
    <n v="160.6"/>
    <n v="171.5"/>
    <n v="156.4"/>
    <n v="198"/>
    <n v="163.19999999999999"/>
    <n v="120.6"/>
    <n v="172.2"/>
    <n v="156.69999999999999"/>
    <n v="180"/>
    <n v="170.2"/>
    <n v="165.5"/>
    <n v="163"/>
    <n v="157.4"/>
    <n v="167.2"/>
    <n v="153.1"/>
    <n v="159.5"/>
    <n v="162"/>
    <n v="164.2"/>
    <n v="159.4"/>
    <n v="165.5"/>
    <n v="167.96153846153845"/>
    <n v="163"/>
    <n v="153.1"/>
    <n v="161.44999999999999"/>
    <n v="167.2"/>
    <n v="160.75"/>
    <n v="161.80000000000001"/>
  </r>
  <r>
    <s v="Rural"/>
    <x v="10"/>
    <s v="August"/>
    <n v="144.9"/>
    <n v="202.3"/>
    <n v="176.5"/>
    <n v="157.5"/>
    <n v="190.9"/>
    <n v="155.69999999999999"/>
    <n v="153.9"/>
    <n v="162.80000000000001"/>
    <n v="115.2"/>
    <n v="169.8"/>
    <n v="167.6"/>
    <n v="171.9"/>
    <n v="161.80000000000001"/>
    <n v="162.1"/>
    <n v="163.1"/>
    <n v="160.9"/>
    <n v="171.1"/>
    <n v="157.69999999999999"/>
    <n v="161.1"/>
    <n v="167.5"/>
    <n v="160.30000000000001"/>
    <n v="163.30000000000001"/>
    <n v="163.6"/>
    <n v="163.90769230769232"/>
    <n v="163.1"/>
    <n v="157.69999999999999"/>
    <n v="161.5"/>
    <n v="171.1"/>
    <n v="164.3"/>
    <n v="161.80000000000001"/>
  </r>
  <r>
    <s v="Rural+Urban"/>
    <x v="10"/>
    <s v="August"/>
    <n v="146.6"/>
    <n v="204"/>
    <n v="172.8"/>
    <n v="158.4"/>
    <n v="188"/>
    <n v="156.80000000000001"/>
    <n v="162.19999999999999"/>
    <n v="164.1"/>
    <n v="119.7"/>
    <n v="168.8"/>
    <n v="162.69999999999999"/>
    <n v="173.9"/>
    <n v="164"/>
    <n v="162.1"/>
    <n v="162.6"/>
    <n v="157.5"/>
    <n v="168.4"/>
    <n v="154"/>
    <n v="157.6"/>
    <n v="163.80000000000001"/>
    <n v="160"/>
    <n v="160"/>
    <n v="163.19999999999999"/>
    <n v="164.76923076923077"/>
    <n v="162.6"/>
    <n v="154"/>
    <n v="159.80000000000001"/>
    <n v="168.4"/>
    <n v="160.69999999999999"/>
    <n v="160"/>
  </r>
  <r>
    <s v="Urban"/>
    <x v="10"/>
    <s v="August"/>
    <n v="149.30000000000001"/>
    <n v="207.4"/>
    <n v="174.1"/>
    <n v="159.19999999999999"/>
    <n v="175"/>
    <n v="161.30000000000001"/>
    <n v="183.3"/>
    <n v="164.5"/>
    <n v="120.4"/>
    <n v="166.2"/>
    <n v="154.80000000000001"/>
    <n v="175.1"/>
    <n v="167.3"/>
    <n v="162.1"/>
    <n v="160.69999999999999"/>
    <n v="153.19999999999999"/>
    <n v="162.80000000000001"/>
    <n v="150.4"/>
    <n v="153.69999999999999"/>
    <n v="160.4"/>
    <n v="159.6"/>
    <n v="156"/>
    <n v="162.30000000000001"/>
    <n v="165.99230769230769"/>
    <n v="160.69999999999999"/>
    <n v="150.4"/>
    <n v="157.64999999999998"/>
    <n v="162.80000000000001"/>
    <n v="157.05000000000001"/>
    <n v="157.80000000000001"/>
  </r>
  <r>
    <s v="Rural"/>
    <x v="10"/>
    <s v="December"/>
    <n v="147.4"/>
    <n v="197"/>
    <n v="176.5"/>
    <n v="159.80000000000001"/>
    <n v="195.8"/>
    <n v="152"/>
    <n v="172.3"/>
    <n v="164.5"/>
    <n v="120.6"/>
    <n v="171.7"/>
    <n v="169.7"/>
    <n v="175.1"/>
    <n v="165.8"/>
    <n v="163.4"/>
    <n v="165.6"/>
    <n v="163.9"/>
    <n v="174"/>
    <n v="160.1"/>
    <n v="164.5"/>
    <n v="169.7"/>
    <n v="162.80000000000001"/>
    <n v="166"/>
    <n v="167"/>
    <n v="166.78461538461536"/>
    <n v="165.6"/>
    <n v="160.1"/>
    <n v="163.65"/>
    <n v="174"/>
    <n v="167.1"/>
    <n v="164.4"/>
  </r>
  <r>
    <s v="Rural+Urban"/>
    <x v="10"/>
    <s v="December"/>
    <n v="148.69999999999999"/>
    <n v="198.8"/>
    <n v="177.9"/>
    <n v="159.9"/>
    <n v="187.6"/>
    <n v="154.9"/>
    <n v="188.3"/>
    <n v="164.4"/>
    <n v="121"/>
    <n v="170.5"/>
    <n v="164.2"/>
    <n v="176.5"/>
    <n v="168.2"/>
    <n v="163.4"/>
    <n v="164.1"/>
    <n v="160.19999999999999"/>
    <n v="170.6"/>
    <n v="155.69999999999999"/>
    <n v="160.6"/>
    <n v="164.4"/>
    <n v="162.6"/>
    <n v="162"/>
    <n v="166.2"/>
    <n v="167.76153846153846"/>
    <n v="164.1"/>
    <n v="155.69999999999999"/>
    <n v="161.80000000000001"/>
    <n v="170.6"/>
    <n v="162.5"/>
    <n v="162.30000000000001"/>
  </r>
  <r>
    <s v="Urban"/>
    <x v="10"/>
    <s v="December"/>
    <n v="151.6"/>
    <n v="202.2"/>
    <n v="180"/>
    <n v="160"/>
    <n v="173.5"/>
    <n v="158.30000000000001"/>
    <n v="219.5"/>
    <n v="164.2"/>
    <n v="121.9"/>
    <n v="168.2"/>
    <n v="156.5"/>
    <n v="178.2"/>
    <n v="172.2"/>
    <n v="163.4"/>
    <n v="161.69999999999999"/>
    <n v="156"/>
    <n v="165.1"/>
    <n v="151.80000000000001"/>
    <n v="157.6"/>
    <n v="160.6"/>
    <n v="162.4"/>
    <n v="157.80000000000001"/>
    <n v="165.2"/>
    <n v="169.71538461538464"/>
    <n v="161.69999999999999"/>
    <n v="151.80000000000001"/>
    <n v="159.69999999999999"/>
    <n v="165.1"/>
    <n v="159.1"/>
    <n v="160.10000000000002"/>
  </r>
  <r>
    <s v="Rural"/>
    <x v="10"/>
    <s v="February"/>
    <n v="142.80000000000001"/>
    <n v="184"/>
    <n v="168"/>
    <n v="154.4"/>
    <n v="163"/>
    <n v="147.80000000000001"/>
    <n v="149.69999999999999"/>
    <n v="158.30000000000001"/>
    <n v="111.8"/>
    <n v="165"/>
    <n v="160"/>
    <n v="165.8"/>
    <n v="154.69999999999999"/>
    <n v="159.80000000000001"/>
    <n v="154.4"/>
    <n v="154.80000000000001"/>
    <n v="164.3"/>
    <n v="150.19999999999999"/>
    <n v="157"/>
    <n v="163.6"/>
    <n v="155.19999999999999"/>
    <n v="157.19999999999999"/>
    <n v="156.69999999999999"/>
    <n v="155.7923076923077"/>
    <n v="154.4"/>
    <n v="150.19999999999999"/>
    <n v="157.30000000000001"/>
    <n v="164.3"/>
    <n v="160.30000000000001"/>
    <n v="156.19999999999999"/>
  </r>
  <r>
    <s v="Rural+Urban"/>
    <x v="10"/>
    <s v="February"/>
    <n v="144.30000000000001"/>
    <n v="186.5"/>
    <n v="168.7"/>
    <n v="154.69999999999999"/>
    <n v="158.69999999999999"/>
    <n v="150.69999999999999"/>
    <n v="160"/>
    <n v="158.80000000000001"/>
    <n v="112.8"/>
    <n v="164.2"/>
    <n v="155.5"/>
    <n v="167.5"/>
    <n v="156.9"/>
    <n v="159.80000000000001"/>
    <n v="152.4"/>
    <n v="150.9"/>
    <n v="161.30000000000001"/>
    <n v="145.1"/>
    <n v="151.5"/>
    <n v="159.5"/>
    <n v="155.80000000000001"/>
    <n v="153.4"/>
    <n v="156.6"/>
    <n v="156.8692307692308"/>
    <n v="152.4"/>
    <n v="145.1"/>
    <n v="155.35000000000002"/>
    <n v="161.30000000000001"/>
    <n v="155.5"/>
    <n v="154.60000000000002"/>
  </r>
  <r>
    <s v="Urban"/>
    <x v="10"/>
    <s v="February"/>
    <n v="147.6"/>
    <n v="191.2"/>
    <n v="169.9"/>
    <n v="155.1"/>
    <n v="151.4"/>
    <n v="154"/>
    <n v="180.2"/>
    <n v="159.80000000000001"/>
    <n v="114.9"/>
    <n v="162.5"/>
    <n v="149.19999999999999"/>
    <n v="169.4"/>
    <n v="160.80000000000001"/>
    <n v="159.80000000000001"/>
    <n v="149.1"/>
    <n v="146.5"/>
    <n v="156.30000000000001"/>
    <n v="140.5"/>
    <n v="147.30000000000001"/>
    <n v="156.6"/>
    <n v="156.69999999999999"/>
    <n v="149.30000000000001"/>
    <n v="156.5"/>
    <n v="158.92307692307693"/>
    <n v="149.1"/>
    <n v="140.5"/>
    <n v="153.15"/>
    <n v="156.30000000000001"/>
    <n v="151.94999999999999"/>
    <n v="153"/>
  </r>
  <r>
    <s v="Urban"/>
    <x v="2"/>
    <s v="February"/>
    <n v="134.80000000000001"/>
    <n v="143"/>
    <n v="139.9"/>
    <n v="139.9"/>
    <n v="116.2"/>
    <n v="135.5"/>
    <n v="136.9"/>
    <n v="117"/>
    <n v="115.4"/>
    <n v="140.69999999999999"/>
    <n v="125.9"/>
    <n v="147.1"/>
    <n v="135.6"/>
    <n v="141.30000000000001"/>
    <n v="127.3"/>
    <n v="129.9"/>
    <n v="129.80000000000001"/>
    <n v="117.4"/>
    <n v="126.5"/>
    <n v="137.19999999999999"/>
    <n v="126.2"/>
    <n v="126.5"/>
    <n v="134"/>
    <n v="132.91538461538462"/>
    <n v="127.3"/>
    <n v="117.4"/>
    <n v="135.60000000000002"/>
    <n v="129.80000000000001"/>
    <n v="131.85"/>
    <n v="126.35"/>
  </r>
  <r>
    <s v="Rural+Urban"/>
    <x v="2"/>
    <s v="February"/>
    <n v="135.9"/>
    <n v="143.5"/>
    <n v="140.30000000000001"/>
    <n v="140.9"/>
    <n v="120.4"/>
    <n v="142.9"/>
    <n v="140.5"/>
    <n v="125.8"/>
    <n v="117.1"/>
    <n v="137.30000000000001"/>
    <n v="128.6"/>
    <n v="149.6"/>
    <n v="137.6"/>
    <n v="141.30000000000001"/>
    <n v="136.69999999999999"/>
    <n v="135.19999999999999"/>
    <n v="133.80000000000001"/>
    <n v="120.2"/>
    <n v="129.9"/>
    <n v="139"/>
    <n v="127.7"/>
    <n v="129.6"/>
    <n v="136.4"/>
    <n v="135.4153846153846"/>
    <n v="136.69999999999999"/>
    <n v="120.2"/>
    <n v="138.25"/>
    <n v="133.80000000000001"/>
    <n v="134.44999999999999"/>
    <n v="128.65"/>
  </r>
  <r>
    <s v="Rural"/>
    <x v="2"/>
    <s v="February"/>
    <n v="136.4"/>
    <n v="143.69999999999999"/>
    <n v="140.6"/>
    <n v="141.5"/>
    <n v="122.9"/>
    <n v="149.4"/>
    <n v="142.4"/>
    <n v="130.19999999999999"/>
    <n v="117.9"/>
    <n v="135.6"/>
    <n v="130.5"/>
    <n v="151.69999999999999"/>
    <n v="138.69999999999999"/>
    <n v="141.30000000000001"/>
    <n v="142.4"/>
    <n v="139.9"/>
    <n v="136.19999999999999"/>
    <n v="123.3"/>
    <n v="134.30000000000001"/>
    <n v="141.5"/>
    <n v="128.80000000000001"/>
    <n v="132.5"/>
    <n v="138.5"/>
    <n v="137.03846153846155"/>
    <n v="142.4"/>
    <n v="123.3"/>
    <n v="140.60000000000002"/>
    <n v="136.19999999999999"/>
    <n v="137.9"/>
    <n v="130.65"/>
  </r>
  <r>
    <s v="Urban"/>
    <x v="3"/>
    <s v="February"/>
    <n v="132.80000000000001"/>
    <n v="139.80000000000001"/>
    <n v="129.30000000000001"/>
    <n v="133.5"/>
    <n v="114.3"/>
    <n v="131.4"/>
    <n v="120.2"/>
    <n v="143.1"/>
    <n v="119.5"/>
    <n v="144"/>
    <n v="123.4"/>
    <n v="141.9"/>
    <n v="132.1"/>
    <n v="130.5"/>
    <n v="119.2"/>
    <n v="125.3"/>
    <n v="122.9"/>
    <n v="115.5"/>
    <n v="122.2"/>
    <n v="132.4"/>
    <n v="121.7"/>
    <n v="122.4"/>
    <n v="128.19999999999999"/>
    <n v="131.17692307692309"/>
    <n v="119.2"/>
    <n v="115.5"/>
    <n v="127.9"/>
    <n v="122.9"/>
    <n v="127.30000000000001"/>
    <n v="122.05000000000001"/>
  </r>
  <r>
    <s v="Rural+Urban"/>
    <x v="3"/>
    <s v="February"/>
    <n v="133.1"/>
    <n v="138.80000000000001"/>
    <n v="129.30000000000001"/>
    <n v="135.80000000000001"/>
    <n v="119.2"/>
    <n v="135.30000000000001"/>
    <n v="119.5"/>
    <n v="152.19999999999999"/>
    <n v="117.3"/>
    <n v="138.69999999999999"/>
    <n v="126.9"/>
    <n v="143.19999999999999"/>
    <n v="133"/>
    <n v="130.5"/>
    <n v="127.9"/>
    <n v="129.69999999999999"/>
    <n v="127.4"/>
    <n v="117.4"/>
    <n v="124.6"/>
    <n v="133.4"/>
    <n v="122.6"/>
    <n v="124.8"/>
    <n v="130.6"/>
    <n v="132.48461538461541"/>
    <n v="127.9"/>
    <n v="117.4"/>
    <n v="130.1"/>
    <n v="127.4"/>
    <n v="129"/>
    <n v="123.69999999999999"/>
  </r>
  <r>
    <s v="Rural"/>
    <x v="3"/>
    <s v="February"/>
    <n v="133.30000000000001"/>
    <n v="138.30000000000001"/>
    <n v="129.30000000000001"/>
    <n v="137.19999999999999"/>
    <n v="122.1"/>
    <n v="138.69999999999999"/>
    <n v="119.1"/>
    <n v="156.9"/>
    <n v="116.2"/>
    <n v="136"/>
    <n v="129.4"/>
    <n v="144.4"/>
    <n v="133.6"/>
    <n v="130.5"/>
    <n v="133.19999999999999"/>
    <n v="133.6"/>
    <n v="130.1"/>
    <n v="119.5"/>
    <n v="127.7"/>
    <n v="134.9"/>
    <n v="123.2"/>
    <n v="127"/>
    <n v="132.6"/>
    <n v="133.42307692307693"/>
    <n v="133.19999999999999"/>
    <n v="119.5"/>
    <n v="132.05000000000001"/>
    <n v="130.1"/>
    <n v="131.30000000000001"/>
    <n v="125.1"/>
  </r>
  <r>
    <s v="Urban"/>
    <x v="4"/>
    <s v="February"/>
    <n v="124.8"/>
    <n v="135.1"/>
    <n v="130.30000000000001"/>
    <n v="129.6"/>
    <n v="108.4"/>
    <n v="118.6"/>
    <n v="129.19999999999999"/>
    <n v="176.4"/>
    <n v="99.1"/>
    <n v="139.69999999999999"/>
    <n v="120.6"/>
    <n v="135.19999999999999"/>
    <n v="129.1"/>
    <n v="124.4"/>
    <n v="116"/>
    <n v="121.8"/>
    <n v="119.5"/>
    <n v="109.1"/>
    <n v="118.8"/>
    <n v="126.3"/>
    <n v="116.2"/>
    <n v="117.2"/>
    <n v="123.8"/>
    <n v="128.93076923076922"/>
    <n v="116"/>
    <n v="109.1"/>
    <n v="123.1"/>
    <n v="119.5"/>
    <n v="122.55"/>
    <n v="116.7"/>
  </r>
  <r>
    <s v="Rural+Urban"/>
    <x v="4"/>
    <s v="February"/>
    <n v="126.4"/>
    <n v="134.19999999999999"/>
    <n v="128.69999999999999"/>
    <n v="130.30000000000001"/>
    <n v="114.8"/>
    <n v="124.9"/>
    <n v="130.30000000000001"/>
    <n v="167.4"/>
    <n v="98.8"/>
    <n v="133.6"/>
    <n v="123"/>
    <n v="135.80000000000001"/>
    <n v="129.9"/>
    <n v="124.4"/>
    <n v="123.1"/>
    <n v="124.6"/>
    <n v="122.5"/>
    <n v="111.4"/>
    <n v="120.3"/>
    <n v="126.6"/>
    <n v="116.6"/>
    <n v="119.1"/>
    <n v="126"/>
    <n v="129.08461538461538"/>
    <n v="123.1"/>
    <n v="111.4"/>
    <n v="124.5"/>
    <n v="122.5"/>
    <n v="123.44999999999999"/>
    <n v="117.85"/>
  </r>
  <r>
    <s v="Rural"/>
    <x v="4"/>
    <s v="February"/>
    <n v="127.1"/>
    <n v="133.69999999999999"/>
    <n v="127.7"/>
    <n v="130.69999999999999"/>
    <n v="118.5"/>
    <n v="130.4"/>
    <n v="130.9"/>
    <n v="162.80000000000001"/>
    <n v="98.7"/>
    <n v="130.6"/>
    <n v="124.8"/>
    <n v="136.4"/>
    <n v="130.30000000000001"/>
    <n v="124.4"/>
    <n v="127.5"/>
    <n v="127.1"/>
    <n v="124.3"/>
    <n v="113.9"/>
    <n v="122.3"/>
    <n v="127.1"/>
    <n v="116.8"/>
    <n v="120.9"/>
    <n v="127.9"/>
    <n v="129.43076923076922"/>
    <n v="127.5"/>
    <n v="113.9"/>
    <n v="125.75"/>
    <n v="124.3"/>
    <n v="124.69999999999999"/>
    <n v="118.85"/>
  </r>
  <r>
    <s v="Rural"/>
    <x v="5"/>
    <s v="February"/>
    <n v="123.4"/>
    <n v="124.4"/>
    <n v="122.1"/>
    <n v="125.8"/>
    <n v="111.5"/>
    <n v="129.4"/>
    <n v="128.19999999999999"/>
    <n v="118.8"/>
    <n v="100"/>
    <n v="118.6"/>
    <n v="118.8"/>
    <n v="126.8"/>
    <n v="122.8"/>
    <n v="118.1"/>
    <n v="120"/>
    <n v="119.6"/>
    <n v="117.7"/>
    <n v="110.9"/>
    <n v="114.8"/>
    <n v="118.7"/>
    <n v="110.8"/>
    <n v="115"/>
    <n v="120.6"/>
    <n v="120.81538461538459"/>
    <n v="120"/>
    <n v="110.9"/>
    <n v="118.85"/>
    <n v="117.7"/>
    <n v="116.75"/>
    <n v="112.9"/>
  </r>
  <r>
    <s v="Rural+Urban"/>
    <x v="5"/>
    <s v="February"/>
    <n v="123.7"/>
    <n v="125.1"/>
    <n v="121.1"/>
    <n v="125.7"/>
    <n v="109.1"/>
    <n v="125.8"/>
    <n v="129.4"/>
    <n v="120.9"/>
    <n v="98.3"/>
    <n v="121.6"/>
    <n v="118"/>
    <n v="127.6"/>
    <n v="123.1"/>
    <n v="118.1"/>
    <n v="117.7"/>
    <n v="118.7"/>
    <n v="116.3"/>
    <n v="108.7"/>
    <n v="114.9"/>
    <n v="119.7"/>
    <n v="111.2"/>
    <n v="114.1"/>
    <n v="119.7"/>
    <n v="120.72307692307689"/>
    <n v="117.7"/>
    <n v="108.7"/>
    <n v="118.4"/>
    <n v="116.3"/>
    <n v="117.30000000000001"/>
    <n v="112.65"/>
  </r>
  <r>
    <s v="Urban"/>
    <x v="5"/>
    <s v="February"/>
    <n v="124.3"/>
    <n v="126.5"/>
    <n v="119.5"/>
    <n v="125.6"/>
    <n v="104.9"/>
    <n v="121.6"/>
    <n v="131.80000000000001"/>
    <n v="125.1"/>
    <n v="95"/>
    <n v="127.7"/>
    <n v="116.8"/>
    <n v="128.6"/>
    <n v="123.7"/>
    <n v="118.1"/>
    <n v="114"/>
    <n v="117.7"/>
    <n v="114.1"/>
    <n v="106.8"/>
    <n v="114.9"/>
    <n v="120.4"/>
    <n v="111.7"/>
    <n v="113.2"/>
    <n v="118.7"/>
    <n v="120.85384615384616"/>
    <n v="114"/>
    <n v="106.8"/>
    <n v="117.9"/>
    <n v="114.1"/>
    <n v="117.65"/>
    <n v="112.45"/>
  </r>
  <r>
    <s v="Rural"/>
    <x v="6"/>
    <s v="February"/>
    <n v="119.4"/>
    <n v="117.7"/>
    <n v="121.2"/>
    <n v="115"/>
    <n v="109"/>
    <n v="116.6"/>
    <n v="116"/>
    <n v="109.8"/>
    <n v="101.1"/>
    <n v="110.4"/>
    <n v="112.9"/>
    <n v="117.8"/>
    <n v="115.3"/>
    <n v="112.5"/>
    <n v="113.2"/>
    <n v="112.9"/>
    <n v="110.9"/>
    <n v="110.8"/>
    <n v="109.9"/>
    <n v="112"/>
    <n v="108.7"/>
    <n v="110.9"/>
    <n v="114"/>
    <n v="114.01538461538462"/>
    <n v="113.2"/>
    <n v="110.8"/>
    <n v="112.7"/>
    <n v="110.9"/>
    <n v="110.95"/>
    <n v="109.80000000000001"/>
  </r>
  <r>
    <s v="Rural+Urban"/>
    <x v="6"/>
    <s v="February"/>
    <n v="120.2"/>
    <n v="119.2"/>
    <n v="122.5"/>
    <n v="115.1"/>
    <n v="106.6"/>
    <n v="115.4"/>
    <n v="114.5"/>
    <n v="109.3"/>
    <n v="99.2"/>
    <n v="111.4"/>
    <n v="112.6"/>
    <n v="118.8"/>
    <n v="115.3"/>
    <n v="112.5"/>
    <n v="112.4"/>
    <n v="112.8"/>
    <n v="110.7"/>
    <n v="111.1"/>
    <n v="110.1"/>
    <n v="111.8"/>
    <n v="108.7"/>
    <n v="110.9"/>
    <n v="113.6"/>
    <n v="113.85384615384615"/>
    <n v="112.4"/>
    <n v="111.1"/>
    <n v="112.65"/>
    <n v="110.7"/>
    <n v="110.94999999999999"/>
    <n v="109.80000000000001"/>
  </r>
  <r>
    <s v="Urban"/>
    <x v="6"/>
    <s v="February"/>
    <n v="121.9"/>
    <n v="122"/>
    <n v="124.5"/>
    <n v="115.2"/>
    <n v="102.5"/>
    <n v="114.1"/>
    <n v="111.5"/>
    <n v="108.2"/>
    <n v="95.4"/>
    <n v="113.5"/>
    <n v="112.1"/>
    <n v="119.9"/>
    <n v="115.2"/>
    <n v="112.5"/>
    <n v="111.1"/>
    <n v="112.6"/>
    <n v="110.4"/>
    <n v="111.3"/>
    <n v="110.3"/>
    <n v="111.6"/>
    <n v="108.7"/>
    <n v="111"/>
    <n v="113.1"/>
    <n v="113.53846153846153"/>
    <n v="111.1"/>
    <n v="111.3"/>
    <n v="112.55"/>
    <n v="110.4"/>
    <n v="110.94999999999999"/>
    <n v="109.85"/>
  </r>
  <r>
    <s v="Rural"/>
    <x v="7"/>
    <s v="February"/>
    <n v="109.2"/>
    <n v="108.7"/>
    <n v="110.2"/>
    <n v="105.4"/>
    <n v="106.7"/>
    <n v="104"/>
    <n v="102.4"/>
    <n v="105.9"/>
    <n v="105.7"/>
    <n v="103.1"/>
    <n v="105.1"/>
    <n v="107.7"/>
    <n v="106.3"/>
    <n v="100.4"/>
    <n v="106.2"/>
    <n v="105.2"/>
    <n v="104.4"/>
    <n v="103.9"/>
    <n v="104"/>
    <n v="104.1"/>
    <n v="104.6"/>
    <n v="104.4"/>
    <n v="105.8"/>
    <n v="106.18461538461537"/>
    <n v="106.2"/>
    <n v="103.9"/>
    <n v="102.80000000000001"/>
    <n v="104.4"/>
    <n v="104.05"/>
    <n v="104.5"/>
  </r>
  <r>
    <s v="Rural+Urban"/>
    <x v="7"/>
    <s v="February"/>
    <n v="110.4"/>
    <n v="110.2"/>
    <n v="112.8"/>
    <n v="104.9"/>
    <n v="105.5"/>
    <n v="103.6"/>
    <n v="103.2"/>
    <n v="105.3"/>
    <n v="105.1"/>
    <n v="102.8"/>
    <n v="105.5"/>
    <n v="108.3"/>
    <n v="106.6"/>
    <n v="100.4"/>
    <n v="106"/>
    <n v="105.2"/>
    <n v="104.5"/>
    <n v="104.2"/>
    <n v="103.6"/>
    <n v="103.9"/>
    <n v="104.5"/>
    <n v="104.4"/>
    <n v="105.3"/>
    <n v="106.47692307692309"/>
    <n v="106"/>
    <n v="104.2"/>
    <n v="102.80000000000001"/>
    <n v="104.5"/>
    <n v="103.75"/>
    <n v="104.45"/>
  </r>
  <r>
    <s v="Urban"/>
    <x v="7"/>
    <s v="February"/>
    <n v="112.9"/>
    <n v="112.9"/>
    <n v="116.9"/>
    <n v="104"/>
    <n v="103.5"/>
    <n v="103.1"/>
    <n v="104.9"/>
    <n v="104.1"/>
    <n v="103.8"/>
    <n v="102.3"/>
    <n v="106"/>
    <n v="109"/>
    <n v="107.2"/>
    <n v="100.4"/>
    <n v="105.7"/>
    <n v="105.2"/>
    <n v="104.7"/>
    <n v="104.4"/>
    <n v="103.3"/>
    <n v="103.7"/>
    <n v="104.3"/>
    <n v="104.3"/>
    <n v="104.7"/>
    <n v="106.96923076923078"/>
    <n v="105.7"/>
    <n v="104.4"/>
    <n v="102.80000000000001"/>
    <n v="104.7"/>
    <n v="103.5"/>
    <n v="104.3"/>
  </r>
  <r>
    <s v="Rural"/>
    <x v="0"/>
    <s v="December"/>
    <n v="168.8"/>
    <n v="206.9"/>
    <n v="189.1"/>
    <n v="173.4"/>
    <n v="193.9"/>
    <n v="156.69999999999999"/>
    <n v="150.19999999999999"/>
    <n v="170.5"/>
    <n v="121.2"/>
    <n v="207.5"/>
    <n v="176.8"/>
    <n v="187.7"/>
    <n v="174.4"/>
    <n v="170.7"/>
    <n v="182.8"/>
    <n v="176.4"/>
    <n v="183.5"/>
    <n v="167.8"/>
    <n v="171.2"/>
    <n v="177.3"/>
    <n v="175.7"/>
    <n v="175.5"/>
    <n v="177.1"/>
    <n v="175.16153846153844"/>
    <n v="182.8"/>
    <n v="167.8"/>
    <n v="173.55"/>
    <n v="183.5"/>
    <n v="174.25"/>
    <n v="175.6"/>
  </r>
  <r>
    <s v="Rural+Urban"/>
    <x v="0"/>
    <s v="December"/>
    <n v="169.2"/>
    <n v="209"/>
    <n v="190.2"/>
    <n v="173.6"/>
    <n v="188.5"/>
    <n v="158"/>
    <n v="159.9"/>
    <n v="170.8"/>
    <n v="121.8"/>
    <n v="205.2"/>
    <n v="171"/>
    <n v="190.3"/>
    <n v="175.9"/>
    <n v="170.7"/>
    <n v="182"/>
    <n v="172.1"/>
    <n v="181.1"/>
    <n v="163.4"/>
    <n v="168.9"/>
    <n v="174.1"/>
    <n v="175.8"/>
    <n v="172"/>
    <n v="175.7"/>
    <n v="175.64615384615385"/>
    <n v="182"/>
    <n v="163.4"/>
    <n v="171.39999999999998"/>
    <n v="181.1"/>
    <n v="171.5"/>
    <n v="173.9"/>
  </r>
  <r>
    <s v="Urban"/>
    <x v="0"/>
    <s v="December"/>
    <n v="170.2"/>
    <n v="212.9"/>
    <n v="191.9"/>
    <n v="173.9"/>
    <n v="179.1"/>
    <n v="159.5"/>
    <n v="178.7"/>
    <n v="171.3"/>
    <n v="123.1"/>
    <n v="200.5"/>
    <n v="162.80000000000001"/>
    <n v="193.3"/>
    <n v="178.6"/>
    <n v="170.7"/>
    <n v="180.6"/>
    <n v="167.3"/>
    <n v="177.2"/>
    <n v="159.4"/>
    <n v="167.1"/>
    <n v="171.8"/>
    <n v="176"/>
    <n v="168.2"/>
    <n v="174.1"/>
    <n v="176.59999999999997"/>
    <n v="180.6"/>
    <n v="159.4"/>
    <n v="169"/>
    <n v="177.2"/>
    <n v="169.45"/>
    <n v="172.1"/>
  </r>
  <r>
    <s v="Rural"/>
    <x v="10"/>
    <s v="January"/>
    <n v="143.4"/>
    <n v="187.5"/>
    <n v="173.4"/>
    <n v="154"/>
    <n v="154.80000000000001"/>
    <n v="147"/>
    <n v="187.8"/>
    <n v="159.5"/>
    <n v="113.8"/>
    <n v="164.5"/>
    <n v="156.1"/>
    <n v="164.3"/>
    <n v="159.6"/>
    <n v="157.69999999999999"/>
    <n v="150.9"/>
    <n v="153.9"/>
    <n v="162.5"/>
    <n v="147.5"/>
    <n v="155.1"/>
    <n v="163.5"/>
    <n v="156.19999999999999"/>
    <n v="155.9"/>
    <n v="158.5"/>
    <n v="158.89999999999998"/>
    <n v="150.9"/>
    <n v="147.5"/>
    <n v="155.80000000000001"/>
    <n v="162.5"/>
    <n v="159.30000000000001"/>
    <n v="156.05000000000001"/>
  </r>
  <r>
    <s v="Rural+Urban"/>
    <x v="10"/>
    <s v="January"/>
    <n v="144.9"/>
    <n v="190.1"/>
    <n v="175.3"/>
    <n v="154.1"/>
    <n v="150.9"/>
    <n v="149.6"/>
    <n v="194.2"/>
    <n v="160.4"/>
    <n v="114.6"/>
    <n v="164"/>
    <n v="151.80000000000001"/>
    <n v="165.6"/>
    <n v="161"/>
    <n v="157.69999999999999"/>
    <n v="147.9"/>
    <n v="150"/>
    <n v="159.30000000000001"/>
    <n v="141.9"/>
    <n v="149.6"/>
    <n v="159.19999999999999"/>
    <n v="156.80000000000001"/>
    <n v="151.9"/>
    <n v="157.30000000000001"/>
    <n v="159.73076923076923"/>
    <n v="147.9"/>
    <n v="141.9"/>
    <n v="153.85"/>
    <n v="159.30000000000001"/>
    <n v="154.39999999999998"/>
    <n v="154.35000000000002"/>
  </r>
  <r>
    <s v="Urban"/>
    <x v="10"/>
    <s v="January"/>
    <n v="148"/>
    <n v="194.8"/>
    <n v="178.4"/>
    <n v="154.4"/>
    <n v="144.1"/>
    <n v="152.6"/>
    <n v="206.8"/>
    <n v="162.1"/>
    <n v="116.3"/>
    <n v="163"/>
    <n v="145.9"/>
    <n v="167.2"/>
    <n v="163.4"/>
    <n v="157.69999999999999"/>
    <n v="142.9"/>
    <n v="145.69999999999999"/>
    <n v="154.1"/>
    <n v="136.9"/>
    <n v="145.4"/>
    <n v="156.1"/>
    <n v="157.69999999999999"/>
    <n v="147.6"/>
    <n v="156"/>
    <n v="161.30769230769232"/>
    <n v="142.9"/>
    <n v="136.9"/>
    <n v="151.69999999999999"/>
    <n v="154.1"/>
    <n v="150.75"/>
    <n v="152.64999999999998"/>
  </r>
  <r>
    <s v="Rural"/>
    <x v="10"/>
    <s v="July"/>
    <n v="145.1"/>
    <n v="204.5"/>
    <n v="180.4"/>
    <n v="157.1"/>
    <n v="188.7"/>
    <n v="157.69999999999999"/>
    <n v="152.80000000000001"/>
    <n v="163.6"/>
    <n v="113.9"/>
    <n v="169.7"/>
    <n v="166.2"/>
    <n v="171"/>
    <n v="161.69999999999999"/>
    <n v="161.5"/>
    <n v="162.5"/>
    <n v="160.30000000000001"/>
    <n v="170.4"/>
    <n v="157.1"/>
    <n v="160.69999999999999"/>
    <n v="167.2"/>
    <n v="160.4"/>
    <n v="162.80000000000001"/>
    <n v="163.19999999999999"/>
    <n v="164.03076923076924"/>
    <n v="162.5"/>
    <n v="157.1"/>
    <n v="160.9"/>
    <n v="170.4"/>
    <n v="163.95"/>
    <n v="161.60000000000002"/>
  </r>
  <r>
    <s v="Rural+Urban"/>
    <x v="10"/>
    <s v="July"/>
    <n v="146.4"/>
    <n v="206.8"/>
    <n v="182.2"/>
    <n v="157.5"/>
    <n v="182.1"/>
    <n v="163.9"/>
    <n v="164.2"/>
    <n v="164"/>
    <n v="114.5"/>
    <n v="168.3"/>
    <n v="160.9"/>
    <n v="172.2"/>
    <n v="164"/>
    <n v="161.5"/>
    <n v="160.69999999999999"/>
    <n v="155.80000000000001"/>
    <n v="167"/>
    <n v="153.1"/>
    <n v="155.30000000000001"/>
    <n v="163.19999999999999"/>
    <n v="160.1"/>
    <n v="159"/>
    <n v="162.5"/>
    <n v="165.15384615384616"/>
    <n v="160.69999999999999"/>
    <n v="153.1"/>
    <n v="158.65"/>
    <n v="167"/>
    <n v="159.25"/>
    <n v="159.55000000000001"/>
  </r>
  <r>
    <s v="Urban"/>
    <x v="10"/>
    <s v="July"/>
    <n v="149.1"/>
    <n v="210.9"/>
    <n v="185"/>
    <n v="158.19999999999999"/>
    <n v="170.6"/>
    <n v="170.9"/>
    <n v="186.4"/>
    <n v="164.7"/>
    <n v="115.7"/>
    <n v="165.5"/>
    <n v="153.4"/>
    <n v="173.5"/>
    <n v="167.9"/>
    <n v="161.5"/>
    <n v="157.69999999999999"/>
    <n v="150.69999999999999"/>
    <n v="161.5"/>
    <n v="149.5"/>
    <n v="151.19999999999999"/>
    <n v="160.30000000000001"/>
    <n v="159.6"/>
    <n v="155"/>
    <n v="161.80000000000001"/>
    <n v="167.06153846153848"/>
    <n v="157.69999999999999"/>
    <n v="149.5"/>
    <n v="156.1"/>
    <n v="161.5"/>
    <n v="155.75"/>
    <n v="157.30000000000001"/>
  </r>
  <r>
    <s v="Rural"/>
    <x v="10"/>
    <s v="June"/>
    <n v="145.6"/>
    <n v="200.1"/>
    <n v="179.3"/>
    <n v="156.1"/>
    <n v="190.4"/>
    <n v="158.6"/>
    <n v="144.69999999999999"/>
    <n v="165.5"/>
    <n v="114.6"/>
    <n v="170"/>
    <n v="165.5"/>
    <n v="171.7"/>
    <n v="160.5"/>
    <n v="160.5"/>
    <n v="162.1"/>
    <n v="159.19999999999999"/>
    <n v="169.7"/>
    <n v="154.19999999999999"/>
    <n v="160.4"/>
    <n v="166.8"/>
    <n v="159.4"/>
    <n v="161.5"/>
    <n v="162.1"/>
    <n v="163.27692307692308"/>
    <n v="162.1"/>
    <n v="154.19999999999999"/>
    <n v="159.85"/>
    <n v="169.7"/>
    <n v="163.60000000000002"/>
    <n v="160.44999999999999"/>
  </r>
  <r>
    <s v="Rural+Urban"/>
    <x v="10"/>
    <s v="June"/>
    <n v="146.69999999999999"/>
    <n v="202"/>
    <n v="180.7"/>
    <n v="156.19999999999999"/>
    <n v="183.7"/>
    <n v="164.6"/>
    <n v="155.4"/>
    <n v="166"/>
    <n v="115.1"/>
    <n v="168.5"/>
    <n v="160"/>
    <n v="172.4"/>
    <n v="162.6"/>
    <n v="160.5"/>
    <n v="159.80000000000001"/>
    <n v="154.80000000000001"/>
    <n v="166.3"/>
    <n v="150.69999999999999"/>
    <n v="154.9"/>
    <n v="161.69999999999999"/>
    <n v="158.80000000000001"/>
    <n v="157.6"/>
    <n v="161.30000000000001"/>
    <n v="164.14615384615385"/>
    <n v="159.80000000000001"/>
    <n v="150.69999999999999"/>
    <n v="157.65"/>
    <n v="166.3"/>
    <n v="158.30000000000001"/>
    <n v="158.19999999999999"/>
  </r>
  <r>
    <s v="Urban"/>
    <x v="10"/>
    <s v="June"/>
    <n v="149.19999999999999"/>
    <n v="205.5"/>
    <n v="182.8"/>
    <n v="156.5"/>
    <n v="172.2"/>
    <n v="171.5"/>
    <n v="176.2"/>
    <n v="166.9"/>
    <n v="116.1"/>
    <n v="165.5"/>
    <n v="152.30000000000001"/>
    <n v="173.3"/>
    <n v="166.2"/>
    <n v="160.5"/>
    <n v="156.1"/>
    <n v="149.80000000000001"/>
    <n v="160.80000000000001"/>
    <n v="147.5"/>
    <n v="150.69999999999999"/>
    <n v="158.1"/>
    <n v="158"/>
    <n v="153.4"/>
    <n v="160.4"/>
    <n v="165.7076923076923"/>
    <n v="156.1"/>
    <n v="147.5"/>
    <n v="155.15"/>
    <n v="160.80000000000001"/>
    <n v="154.39999999999998"/>
    <n v="155.69999999999999"/>
  </r>
  <r>
    <s v="Rural"/>
    <x v="2"/>
    <s v="December"/>
    <n v="137.1"/>
    <n v="151.9"/>
    <n v="137.4"/>
    <n v="142.4"/>
    <n v="124.2"/>
    <n v="140.19999999999999"/>
    <n v="136.6"/>
    <n v="120.9"/>
    <n v="109.9"/>
    <n v="140.19999999999999"/>
    <n v="137.80000000000001"/>
    <n v="156"/>
    <n v="138.5"/>
    <n v="146.5"/>
    <n v="149"/>
    <n v="149.5"/>
    <n v="149.6"/>
    <n v="128.9"/>
    <n v="143.30000000000001"/>
    <n v="155.1"/>
    <n v="133.19999999999999"/>
    <n v="141.6"/>
    <n v="141.9"/>
    <n v="136.3923076923077"/>
    <n v="149"/>
    <n v="128.9"/>
    <n v="148"/>
    <n v="149.6"/>
    <n v="149.19999999999999"/>
    <n v="137.39999999999998"/>
  </r>
  <r>
    <s v="Rural+Urban"/>
    <x v="2"/>
    <s v="December"/>
    <n v="137.5"/>
    <n v="150.5"/>
    <n v="138.80000000000001"/>
    <n v="142.1"/>
    <n v="122"/>
    <n v="139.4"/>
    <n v="135.19999999999999"/>
    <n v="119.8"/>
    <n v="110.3"/>
    <n v="140.6"/>
    <n v="133.80000000000001"/>
    <n v="154.6"/>
    <n v="138.19999999999999"/>
    <n v="146.5"/>
    <n v="142.69999999999999"/>
    <n v="143.19999999999999"/>
    <n v="144.9"/>
    <n v="123.6"/>
    <n v="136.80000000000001"/>
    <n v="150.1"/>
    <n v="132.19999999999999"/>
    <n v="136.80000000000001"/>
    <n v="140.1"/>
    <n v="135.59999999999997"/>
    <n v="142.69999999999999"/>
    <n v="123.6"/>
    <n v="144.85"/>
    <n v="144.9"/>
    <n v="143.44999999999999"/>
    <n v="134.5"/>
  </r>
  <r>
    <s v="Urban"/>
    <x v="2"/>
    <s v="December"/>
    <n v="138.5"/>
    <n v="147.80000000000001"/>
    <n v="141.1"/>
    <n v="141.6"/>
    <n v="118.1"/>
    <n v="138.5"/>
    <n v="132.4"/>
    <n v="117.5"/>
    <n v="111"/>
    <n v="141.5"/>
    <n v="128.1"/>
    <n v="152.9"/>
    <n v="137.6"/>
    <n v="146.5"/>
    <n v="132.4"/>
    <n v="136.19999999999999"/>
    <n v="137.30000000000001"/>
    <n v="118.8"/>
    <n v="131.69999999999999"/>
    <n v="146.5"/>
    <n v="130.80000000000001"/>
    <n v="131.69999999999999"/>
    <n v="138"/>
    <n v="134.35384615384615"/>
    <n v="132.4"/>
    <n v="118.8"/>
    <n v="141.35"/>
    <n v="137.30000000000001"/>
    <n v="139.1"/>
    <n v="131.25"/>
  </r>
  <r>
    <s v="Urban"/>
    <x v="3"/>
    <s v="December"/>
    <n v="134.4"/>
    <n v="142.6"/>
    <n v="145.9"/>
    <n v="139.5"/>
    <n v="115.9"/>
    <n v="135"/>
    <n v="163.19999999999999"/>
    <n v="119.8"/>
    <n v="120.7"/>
    <n v="139.69999999999999"/>
    <n v="125.7"/>
    <n v="146.30000000000001"/>
    <n v="138.80000000000001"/>
    <n v="139.1"/>
    <n v="126.8"/>
    <n v="129.30000000000001"/>
    <n v="128.19999999999999"/>
    <n v="115.3"/>
    <n v="125.6"/>
    <n v="136.69999999999999"/>
    <n v="124.6"/>
    <n v="125.1"/>
    <n v="134.1"/>
    <n v="135.96153846153845"/>
    <n v="126.8"/>
    <n v="115.3"/>
    <n v="134.19999999999999"/>
    <n v="128.19999999999999"/>
    <n v="131.14999999999998"/>
    <n v="124.85"/>
  </r>
  <r>
    <s v="Rural+Urban"/>
    <x v="3"/>
    <s v="December"/>
    <n v="135.80000000000001"/>
    <n v="143.30000000000001"/>
    <n v="145.19999999999999"/>
    <n v="141"/>
    <n v="120.5"/>
    <n v="141.5"/>
    <n v="161.69999999999999"/>
    <n v="129.1"/>
    <n v="121.5"/>
    <n v="137.1"/>
    <n v="128.80000000000001"/>
    <n v="149"/>
    <n v="140.5"/>
    <n v="139.1"/>
    <n v="136.6"/>
    <n v="134.69999999999999"/>
    <n v="133.1"/>
    <n v="118.5"/>
    <n v="129"/>
    <n v="138.5"/>
    <n v="126.5"/>
    <n v="128.6"/>
    <n v="137.19999999999999"/>
    <n v="138.07692307692307"/>
    <n v="136.6"/>
    <n v="118.5"/>
    <n v="136.89999999999998"/>
    <n v="133.1"/>
    <n v="133.75"/>
    <n v="127.55"/>
  </r>
  <r>
    <s v="Rural"/>
    <x v="3"/>
    <s v="December"/>
    <n v="136.4"/>
    <n v="143.69999999999999"/>
    <n v="144.80000000000001"/>
    <n v="141.9"/>
    <n v="123.1"/>
    <n v="147.19999999999999"/>
    <n v="161"/>
    <n v="133.80000000000001"/>
    <n v="121.9"/>
    <n v="135.80000000000001"/>
    <n v="131.1"/>
    <n v="151.4"/>
    <n v="141.5"/>
    <n v="139.1"/>
    <n v="142.6"/>
    <n v="139.5"/>
    <n v="136.1"/>
    <n v="122"/>
    <n v="133.4"/>
    <n v="141.1"/>
    <n v="127.8"/>
    <n v="131.9"/>
    <n v="139.80000000000001"/>
    <n v="139.50769230769231"/>
    <n v="142.6"/>
    <n v="122"/>
    <n v="139.30000000000001"/>
    <n v="136.1"/>
    <n v="137.25"/>
    <n v="129.85"/>
  </r>
  <r>
    <s v="Urban"/>
    <x v="4"/>
    <s v="December"/>
    <n v="131.6"/>
    <n v="138.19999999999999"/>
    <n v="134.9"/>
    <n v="133.1"/>
    <n v="113.5"/>
    <n v="129.30000000000001"/>
    <n v="121.1"/>
    <n v="170.3"/>
    <n v="115.5"/>
    <n v="145.5"/>
    <n v="123.1"/>
    <n v="140.9"/>
    <n v="132.80000000000001"/>
    <n v="128.5"/>
    <n v="117.8"/>
    <n v="125"/>
    <n v="122.3"/>
    <n v="113.7"/>
    <n v="121.8"/>
    <n v="132.30000000000001"/>
    <n v="119.9"/>
    <n v="121.4"/>
    <n v="127.6"/>
    <n v="133.06153846153845"/>
    <n v="117.8"/>
    <n v="113.7"/>
    <n v="126.75"/>
    <n v="122.3"/>
    <n v="127.05000000000001"/>
    <n v="120.65"/>
  </r>
  <r>
    <s v="Rural+Urban"/>
    <x v="4"/>
    <s v="December"/>
    <n v="132.30000000000001"/>
    <n v="137.6"/>
    <n v="132.9"/>
    <n v="135.1"/>
    <n v="118.6"/>
    <n v="132.69999999999999"/>
    <n v="125.3"/>
    <n v="168.7"/>
    <n v="114.4"/>
    <n v="140.19999999999999"/>
    <n v="126.6"/>
    <n v="142.30000000000001"/>
    <n v="134"/>
    <n v="128.5"/>
    <n v="126.6"/>
    <n v="129.19999999999999"/>
    <n v="126.9"/>
    <n v="116"/>
    <n v="124.2"/>
    <n v="133.1"/>
    <n v="121.1"/>
    <n v="123.9"/>
    <n v="130.4"/>
    <n v="133.9"/>
    <n v="126.6"/>
    <n v="116"/>
    <n v="128.85"/>
    <n v="126.9"/>
    <n v="128.65"/>
    <n v="122.5"/>
  </r>
  <r>
    <s v="Rural"/>
    <x v="4"/>
    <s v="December"/>
    <n v="132.6"/>
    <n v="137.30000000000001"/>
    <n v="131.6"/>
    <n v="136.30000000000001"/>
    <n v="121.6"/>
    <n v="135.6"/>
    <n v="127.5"/>
    <n v="167.9"/>
    <n v="113.8"/>
    <n v="137.5"/>
    <n v="129.1"/>
    <n v="143.6"/>
    <n v="134.69999999999999"/>
    <n v="128.5"/>
    <n v="132"/>
    <n v="132.9"/>
    <n v="129.69999999999999"/>
    <n v="118.6"/>
    <n v="127.3"/>
    <n v="134.19999999999999"/>
    <n v="121.9"/>
    <n v="126.3"/>
    <n v="132.80000000000001"/>
    <n v="134.54615384615383"/>
    <n v="132"/>
    <n v="118.6"/>
    <n v="130.69999999999999"/>
    <n v="129.69999999999999"/>
    <n v="130.75"/>
    <n v="124.1"/>
  </r>
  <r>
    <s v="Urban"/>
    <x v="5"/>
    <s v="December"/>
    <n v="124.3"/>
    <n v="131.69999999999999"/>
    <n v="127.1"/>
    <n v="128.6"/>
    <n v="110"/>
    <n v="120.8"/>
    <n v="149"/>
    <n v="190.1"/>
    <n v="92.7"/>
    <n v="138.6"/>
    <n v="120.2"/>
    <n v="134.19999999999999"/>
    <n v="131.5"/>
    <n v="122.4"/>
    <n v="116"/>
    <n v="121"/>
    <n v="118.6"/>
    <n v="109.3"/>
    <n v="118.1"/>
    <n v="126.6"/>
    <n v="113.2"/>
    <n v="116.7"/>
    <n v="124"/>
    <n v="130.67692307692306"/>
    <n v="116"/>
    <n v="109.3"/>
    <n v="121.7"/>
    <n v="118.6"/>
    <n v="122.35"/>
    <n v="114.95"/>
  </r>
  <r>
    <s v="Rural+Urban"/>
    <x v="5"/>
    <s v="December"/>
    <n v="125.7"/>
    <n v="131.4"/>
    <n v="124.8"/>
    <n v="129.4"/>
    <n v="115.3"/>
    <n v="126.6"/>
    <n v="146.69999999999999"/>
    <n v="171.5"/>
    <n v="94.5"/>
    <n v="132.1"/>
    <n v="122"/>
    <n v="134.69999999999999"/>
    <n v="131.4"/>
    <n v="122.4"/>
    <n v="122"/>
    <n v="123.6"/>
    <n v="121.4"/>
    <n v="111.5"/>
    <n v="119.6"/>
    <n v="126.2"/>
    <n v="113.7"/>
    <n v="118.3"/>
    <n v="126.1"/>
    <n v="129.70000000000002"/>
    <n v="122"/>
    <n v="111.5"/>
    <n v="123"/>
    <n v="121.4"/>
    <n v="122.9"/>
    <n v="116"/>
  </r>
  <r>
    <s v="Rural"/>
    <x v="5"/>
    <s v="December"/>
    <n v="126.3"/>
    <n v="131.30000000000001"/>
    <n v="123.3"/>
    <n v="129.80000000000001"/>
    <n v="118.3"/>
    <n v="131.6"/>
    <n v="145.5"/>
    <n v="162.1"/>
    <n v="95.4"/>
    <n v="128.9"/>
    <n v="123.3"/>
    <n v="135.1"/>
    <n v="131.4"/>
    <n v="122.4"/>
    <n v="125.7"/>
    <n v="126"/>
    <n v="123.1"/>
    <n v="114"/>
    <n v="121.6"/>
    <n v="125.6"/>
    <n v="114.1"/>
    <n v="119.8"/>
    <n v="127.9"/>
    <n v="129.40769230769232"/>
    <n v="125.7"/>
    <n v="114"/>
    <n v="124.2"/>
    <n v="123.1"/>
    <n v="123.6"/>
    <n v="116.94999999999999"/>
  </r>
  <r>
    <s v="Rural"/>
    <x v="6"/>
    <s v="December"/>
    <n v="122.4"/>
    <n v="122.4"/>
    <n v="121.8"/>
    <n v="124.2"/>
    <n v="110.2"/>
    <n v="128.6"/>
    <n v="140.30000000000001"/>
    <n v="116.3"/>
    <n v="102"/>
    <n v="116"/>
    <n v="117.3"/>
    <n v="124.8"/>
    <n v="123.3"/>
    <n v="116.5"/>
    <n v="117.4"/>
    <n v="118.2"/>
    <n v="116.2"/>
    <n v="111.5"/>
    <n v="113.3"/>
    <n v="117.7"/>
    <n v="109.4"/>
    <n v="114.2"/>
    <n v="120.3"/>
    <n v="120.73846153846154"/>
    <n v="117.4"/>
    <n v="111.5"/>
    <n v="117.35"/>
    <n v="116.2"/>
    <n v="115.5"/>
    <n v="111.80000000000001"/>
  </r>
  <r>
    <s v="Rural+Urban"/>
    <x v="6"/>
    <s v="December"/>
    <n v="122.9"/>
    <n v="123.2"/>
    <n v="123.5"/>
    <n v="124.5"/>
    <n v="107.6"/>
    <n v="125.7"/>
    <n v="140.5"/>
    <n v="117.6"/>
    <n v="100.6"/>
    <n v="119.1"/>
    <n v="116.8"/>
    <n v="126.1"/>
    <n v="123.6"/>
    <n v="116.5"/>
    <n v="115.7"/>
    <n v="117.5"/>
    <n v="115.1"/>
    <n v="110.1"/>
    <n v="113.9"/>
    <n v="119.5"/>
    <n v="109.8"/>
    <n v="113.8"/>
    <n v="119.4"/>
    <n v="120.89999999999999"/>
    <n v="115.7"/>
    <n v="110.1"/>
    <n v="117"/>
    <n v="115.1"/>
    <n v="116.7"/>
    <n v="111.8"/>
  </r>
  <r>
    <s v="Urban"/>
    <x v="6"/>
    <s v="December"/>
    <n v="124"/>
    <n v="124.7"/>
    <n v="126.3"/>
    <n v="124.9"/>
    <n v="103"/>
    <n v="122.3"/>
    <n v="141"/>
    <n v="120.1"/>
    <n v="97.8"/>
    <n v="125.4"/>
    <n v="116.1"/>
    <n v="127.6"/>
    <n v="124"/>
    <n v="116.5"/>
    <n v="113"/>
    <n v="116.8"/>
    <n v="113.2"/>
    <n v="108.8"/>
    <n v="114.3"/>
    <n v="120.7"/>
    <n v="110.4"/>
    <n v="113.4"/>
    <n v="118.4"/>
    <n v="121.32307692307691"/>
    <n v="113"/>
    <n v="108.8"/>
    <n v="116.65"/>
    <n v="113.2"/>
    <n v="117.5"/>
    <n v="111.9"/>
  </r>
  <r>
    <s v="Rural"/>
    <x v="7"/>
    <s v="December"/>
    <n v="118.4"/>
    <n v="115.9"/>
    <n v="120.4"/>
    <n v="113.8"/>
    <n v="109.5"/>
    <n v="115.5"/>
    <n v="145.69999999999999"/>
    <n v="109.5"/>
    <n v="102.9"/>
    <n v="109.8"/>
    <n v="112.1"/>
    <n v="116.8"/>
    <n v="118.7"/>
    <n v="110.7"/>
    <n v="112.8"/>
    <n v="112.1"/>
    <n v="110.1"/>
    <n v="109.9"/>
    <n v="109.2"/>
    <n v="111.6"/>
    <n v="108.1"/>
    <n v="110.1"/>
    <n v="115.5"/>
    <n v="116.07692307692308"/>
    <n v="112.8"/>
    <n v="109.9"/>
    <n v="111.4"/>
    <n v="110.1"/>
    <n v="110.4"/>
    <n v="109.1"/>
  </r>
  <r>
    <s v="Rural+Urban"/>
    <x v="7"/>
    <s v="December"/>
    <n v="119.1"/>
    <n v="116.7"/>
    <n v="123.5"/>
    <n v="113.4"/>
    <n v="107.3"/>
    <n v="113.3"/>
    <n v="145.4"/>
    <n v="108.7"/>
    <n v="101.5"/>
    <n v="110.5"/>
    <n v="112.1"/>
    <n v="117.4"/>
    <n v="118.4"/>
    <n v="110.7"/>
    <n v="111.9"/>
    <n v="111.7"/>
    <n v="109.7"/>
    <n v="109.8"/>
    <n v="109"/>
    <n v="111.5"/>
    <n v="107.9"/>
    <n v="110"/>
    <n v="114.5"/>
    <n v="115.94615384615386"/>
    <n v="111.9"/>
    <n v="109.8"/>
    <n v="111.2"/>
    <n v="109.7"/>
    <n v="110.25"/>
    <n v="108.95"/>
  </r>
  <r>
    <s v="Urban"/>
    <x v="7"/>
    <s v="December"/>
    <n v="120.5"/>
    <n v="118.1"/>
    <n v="128.5"/>
    <n v="112.8"/>
    <n v="103.4"/>
    <n v="110.7"/>
    <n v="144.80000000000001"/>
    <n v="107.1"/>
    <n v="98.6"/>
    <n v="111.9"/>
    <n v="112.1"/>
    <n v="118.1"/>
    <n v="117.8"/>
    <n v="110.7"/>
    <n v="110.4"/>
    <n v="111.3"/>
    <n v="109"/>
    <n v="109.7"/>
    <n v="108.9"/>
    <n v="111.4"/>
    <n v="107.7"/>
    <n v="109.8"/>
    <n v="113.3"/>
    <n v="115.72307692307693"/>
    <n v="110.4"/>
    <n v="109.7"/>
    <n v="111"/>
    <n v="109"/>
    <n v="110.15"/>
    <n v="108.75"/>
  </r>
  <r>
    <s v="Rural"/>
    <x v="0"/>
    <s v="August"/>
    <n v="159.5"/>
    <n v="204.1"/>
    <n v="168.3"/>
    <n v="167.9"/>
    <n v="198.1"/>
    <n v="169.2"/>
    <n v="173.1"/>
    <n v="167.1"/>
    <n v="120.2"/>
    <n v="195.6"/>
    <n v="174.8"/>
    <n v="184"/>
    <n v="173.9"/>
    <n v="169"/>
    <n v="179.1"/>
    <n v="172.3"/>
    <n v="179.4"/>
    <n v="166.6"/>
    <n v="169.3"/>
    <n v="175.7"/>
    <n v="171.1"/>
    <n v="172.6"/>
    <n v="175.3"/>
    <n v="173.5230769230769"/>
    <n v="179.1"/>
    <n v="166.6"/>
    <n v="170.65"/>
    <n v="179.4"/>
    <n v="172.5"/>
    <n v="171.85"/>
  </r>
  <r>
    <s v="Rural+Urban"/>
    <x v="0"/>
    <s v="August"/>
    <n v="160.30000000000001"/>
    <n v="206.5"/>
    <n v="169.2"/>
    <n v="168.1"/>
    <n v="192.4"/>
    <n v="172.9"/>
    <n v="186.7"/>
    <n v="167.2"/>
    <n v="120.9"/>
    <n v="193.6"/>
    <n v="168.8"/>
    <n v="186.3"/>
    <n v="176.3"/>
    <n v="169"/>
    <n v="178.8"/>
    <n v="168.5"/>
    <n v="176.8"/>
    <n v="161.9"/>
    <n v="166.9"/>
    <n v="172.3"/>
    <n v="171.2"/>
    <n v="169.1"/>
    <n v="174.3"/>
    <n v="174.55384615384617"/>
    <n v="178.8"/>
    <n v="161.9"/>
    <n v="168.75"/>
    <n v="176.8"/>
    <n v="169.60000000000002"/>
    <n v="170.14999999999998"/>
  </r>
  <r>
    <s v="Urban"/>
    <x v="0"/>
    <s v="August"/>
    <n v="162.1"/>
    <n v="210.9"/>
    <n v="170.6"/>
    <n v="168.4"/>
    <n v="182.5"/>
    <n v="177.1"/>
    <n v="213.1"/>
    <n v="167.3"/>
    <n v="122.2"/>
    <n v="189.7"/>
    <n v="160.5"/>
    <n v="188.9"/>
    <n v="180.4"/>
    <n v="169"/>
    <n v="178.4"/>
    <n v="164.2"/>
    <n v="172.6"/>
    <n v="157.69999999999999"/>
    <n v="165.1"/>
    <n v="169.9"/>
    <n v="171.4"/>
    <n v="165.4"/>
    <n v="173.1"/>
    <n v="176.43846153846152"/>
    <n v="178.4"/>
    <n v="157.69999999999999"/>
    <n v="166.6"/>
    <n v="172.6"/>
    <n v="167.5"/>
    <n v="168.4"/>
  </r>
  <r>
    <s v="Rural"/>
    <x v="10"/>
    <s v="March"/>
    <n v="142.5"/>
    <n v="189.4"/>
    <n v="163.19999999999999"/>
    <n v="154.5"/>
    <n v="168.2"/>
    <n v="150.5"/>
    <n v="141"/>
    <n v="159.19999999999999"/>
    <n v="111.7"/>
    <n v="164"/>
    <n v="160.6"/>
    <n v="166.4"/>
    <n v="154.5"/>
    <n v="159.9"/>
    <n v="156"/>
    <n v="154.80000000000001"/>
    <n v="164.6"/>
    <n v="151.30000000000001"/>
    <n v="157.80000000000001"/>
    <n v="163.80000000000001"/>
    <n v="153.1"/>
    <n v="157.30000000000001"/>
    <n v="156.69999999999999"/>
    <n v="155.82307692307694"/>
    <n v="156"/>
    <n v="151.30000000000001"/>
    <n v="157.35000000000002"/>
    <n v="164.6"/>
    <n v="160.80000000000001"/>
    <n v="155.19999999999999"/>
  </r>
  <r>
    <s v="Rural+Urban"/>
    <x v="10"/>
    <s v="March"/>
    <n v="144.1"/>
    <n v="192.2"/>
    <n v="163.80000000000001"/>
    <n v="154.9"/>
    <n v="163.9"/>
    <n v="153.69999999999999"/>
    <n v="149.5"/>
    <n v="159.80000000000001"/>
    <n v="112.6"/>
    <n v="163.5"/>
    <n v="156.5"/>
    <n v="168.2"/>
    <n v="156.69999999999999"/>
    <n v="159.9"/>
    <n v="155.5"/>
    <n v="151.19999999999999"/>
    <n v="161.69999999999999"/>
    <n v="146.19999999999999"/>
    <n v="152.6"/>
    <n v="160.19999999999999"/>
    <n v="153.80000000000001"/>
    <n v="153.80000000000001"/>
    <n v="156.80000000000001"/>
    <n v="156.87692307692308"/>
    <n v="155.5"/>
    <n v="146.19999999999999"/>
    <n v="155.55000000000001"/>
    <n v="161.69999999999999"/>
    <n v="156.39999999999998"/>
    <n v="153.80000000000001"/>
  </r>
  <r>
    <s v="Urban"/>
    <x v="10"/>
    <s v="March"/>
    <n v="147.5"/>
    <n v="197.5"/>
    <n v="164.7"/>
    <n v="155.6"/>
    <n v="156.4"/>
    <n v="157.30000000000001"/>
    <n v="166.1"/>
    <n v="161.1"/>
    <n v="114.3"/>
    <n v="162.6"/>
    <n v="150.69999999999999"/>
    <n v="170.3"/>
    <n v="160.4"/>
    <n v="159.9"/>
    <n v="154.80000000000001"/>
    <n v="147.19999999999999"/>
    <n v="156.9"/>
    <n v="141.69999999999999"/>
    <n v="148.6"/>
    <n v="157.6"/>
    <n v="154.9"/>
    <n v="150"/>
    <n v="156.9"/>
    <n v="158.80769230769226"/>
    <n v="154.80000000000001"/>
    <n v="141.69999999999999"/>
    <n v="153.55000000000001"/>
    <n v="156.9"/>
    <n v="153.1"/>
    <n v="152.44999999999999"/>
  </r>
  <r>
    <s v="Rural"/>
    <x v="10"/>
    <s v="May"/>
    <n v="145.1"/>
    <n v="198.5"/>
    <n v="168.6"/>
    <n v="155.80000000000001"/>
    <n v="184.4"/>
    <n v="162.30000000000001"/>
    <n v="138.4"/>
    <n v="165.1"/>
    <n v="114.3"/>
    <n v="169.7"/>
    <n v="164.6"/>
    <n v="169.8"/>
    <n v="158.69999999999999"/>
    <n v="150.1"/>
    <n v="161.69999999999999"/>
    <n v="158.80000000000001"/>
    <n v="169.1"/>
    <n v="153.19999999999999"/>
    <n v="160"/>
    <n v="167.6"/>
    <n v="159.30000000000001"/>
    <n v="161.1"/>
    <n v="161.1"/>
    <n v="161.17692307692306"/>
    <n v="161.69999999999999"/>
    <n v="153.19999999999999"/>
    <n v="154.44999999999999"/>
    <n v="169.1"/>
    <n v="163.80000000000001"/>
    <n v="160.19999999999999"/>
  </r>
  <r>
    <s v="Rural+Urban"/>
    <x v="10"/>
    <s v="May"/>
    <n v="146.30000000000001"/>
    <n v="200.5"/>
    <n v="170.3"/>
    <n v="156.1"/>
    <n v="178.7"/>
    <n v="167.1"/>
    <n v="147.9"/>
    <n v="165.4"/>
    <n v="114.8"/>
    <n v="168.2"/>
    <n v="159.30000000000001"/>
    <n v="170.4"/>
    <n v="160.69999999999999"/>
    <n v="161.6"/>
    <n v="159.4"/>
    <n v="154.69999999999999"/>
    <n v="165.8"/>
    <n v="148.9"/>
    <n v="155.80000000000001"/>
    <n v="161.19999999999999"/>
    <n v="158.6"/>
    <n v="156.80000000000001"/>
    <n v="160.4"/>
    <n v="161.9769230769231"/>
    <n v="159.4"/>
    <n v="148.9"/>
    <n v="158.14999999999998"/>
    <n v="165.8"/>
    <n v="158.5"/>
    <n v="157.69999999999999"/>
  </r>
  <r>
    <s v="Urban"/>
    <x v="10"/>
    <s v="May"/>
    <n v="148.80000000000001"/>
    <n v="204.3"/>
    <n v="173"/>
    <n v="156.5"/>
    <n v="168.8"/>
    <n v="172.5"/>
    <n v="166.5"/>
    <n v="165.9"/>
    <n v="115.9"/>
    <n v="165.2"/>
    <n v="152"/>
    <n v="171.1"/>
    <n v="164.2"/>
    <n v="161.6"/>
    <n v="155.5"/>
    <n v="150.1"/>
    <n v="160.4"/>
    <n v="145"/>
    <n v="152.6"/>
    <n v="156.6"/>
    <n v="157.5"/>
    <n v="152.30000000000001"/>
    <n v="159.5"/>
    <n v="163.43846153846155"/>
    <n v="155.5"/>
    <n v="145"/>
    <n v="155.85"/>
    <n v="160.4"/>
    <n v="154.6"/>
    <n v="154.9"/>
  </r>
  <r>
    <s v="Rural"/>
    <x v="10"/>
    <s v="November"/>
    <n v="146.9"/>
    <n v="199.8"/>
    <n v="171.5"/>
    <n v="159.1"/>
    <n v="198.4"/>
    <n v="153.19999999999999"/>
    <n v="183.9"/>
    <n v="165.4"/>
    <n v="122.1"/>
    <n v="170.8"/>
    <n v="169.1"/>
    <n v="174.3"/>
    <n v="167.5"/>
    <n v="158"/>
    <n v="165.3"/>
    <n v="162.9"/>
    <n v="173.4"/>
    <n v="158.9"/>
    <n v="163.80000000000001"/>
    <n v="169.3"/>
    <n v="162.4"/>
    <n v="165.2"/>
    <n v="167.6"/>
    <n v="167.84615384615384"/>
    <n v="165.3"/>
    <n v="158.9"/>
    <n v="160.44999999999999"/>
    <n v="173.4"/>
    <n v="166.55"/>
    <n v="163.80000000000001"/>
  </r>
  <r>
    <s v="Rural+Urban"/>
    <x v="10"/>
    <s v="November"/>
    <n v="148.19999999999999"/>
    <n v="201.6"/>
    <n v="173"/>
    <n v="159.30000000000001"/>
    <n v="190.1"/>
    <n v="156.5"/>
    <n v="199.2"/>
    <n v="165.3"/>
    <n v="122.4"/>
    <n v="169.6"/>
    <n v="163.69999999999999"/>
    <n v="175.5"/>
    <n v="169.7"/>
    <n v="164.2"/>
    <n v="163.9"/>
    <n v="159.30000000000001"/>
    <n v="169.9"/>
    <n v="154.80000000000001"/>
    <n v="159.80000000000001"/>
    <n v="164.3"/>
    <n v="162.19999999999999"/>
    <n v="161.4"/>
    <n v="166.7"/>
    <n v="168.77692307692308"/>
    <n v="163.9"/>
    <n v="154.80000000000001"/>
    <n v="161.75"/>
    <n v="169.9"/>
    <n v="162.05000000000001"/>
    <n v="161.80000000000001"/>
  </r>
  <r>
    <s v="Urban"/>
    <x v="10"/>
    <s v="November"/>
    <n v="151"/>
    <n v="204.9"/>
    <n v="175.4"/>
    <n v="159.6"/>
    <n v="175.8"/>
    <n v="160.30000000000001"/>
    <n v="229.1"/>
    <n v="165.1"/>
    <n v="123.1"/>
    <n v="167.2"/>
    <n v="156.1"/>
    <n v="176.8"/>
    <n v="173.5"/>
    <n v="164.2"/>
    <n v="161.6"/>
    <n v="155.19999999999999"/>
    <n v="164.2"/>
    <n v="151.19999999999999"/>
    <n v="156.69999999999999"/>
    <n v="160.80000000000001"/>
    <n v="161.80000000000001"/>
    <n v="157.30000000000001"/>
    <n v="165.6"/>
    <n v="170.60769230769228"/>
    <n v="161.6"/>
    <n v="151.19999999999999"/>
    <n v="159.69999999999999"/>
    <n v="164.2"/>
    <n v="158.75"/>
    <n v="159.55000000000001"/>
  </r>
  <r>
    <s v="Urban"/>
    <x v="2"/>
    <s v="August"/>
    <n v="136.5"/>
    <n v="146.4"/>
    <n v="136.6"/>
    <n v="141.19999999999999"/>
    <n v="117.4"/>
    <n v="146.30000000000001"/>
    <n v="157.30000000000001"/>
    <n v="113.6"/>
    <n v="113.3"/>
    <n v="141.1"/>
    <n v="127.4"/>
    <n v="150.4"/>
    <n v="140.1"/>
    <n v="144.6"/>
    <n v="129.80000000000001"/>
    <n v="134.4"/>
    <n v="134.9"/>
    <n v="120.7"/>
    <n v="129.80000000000001"/>
    <n v="145.30000000000001"/>
    <n v="128.30000000000001"/>
    <n v="131"/>
    <n v="138"/>
    <n v="135.96923076923076"/>
    <n v="129.80000000000001"/>
    <n v="120.7"/>
    <n v="139.5"/>
    <n v="134.9"/>
    <n v="137.55000000000001"/>
    <n v="129.65"/>
  </r>
  <r>
    <s v="Rural+Urban"/>
    <x v="2"/>
    <s v="August"/>
    <n v="138.30000000000001"/>
    <n v="148"/>
    <n v="138.1"/>
    <n v="142.6"/>
    <n v="122.2"/>
    <n v="150.6"/>
    <n v="156.6"/>
    <n v="122.4"/>
    <n v="114.7"/>
    <n v="139.4"/>
    <n v="131.1"/>
    <n v="153"/>
    <n v="141.69999999999999"/>
    <n v="144.6"/>
    <n v="140.9"/>
    <n v="139.4"/>
    <n v="137.69999999999999"/>
    <n v="124.3"/>
    <n v="133.6"/>
    <n v="146"/>
    <n v="130.1"/>
    <n v="133.9"/>
    <n v="140.4"/>
    <n v="138.36153846153849"/>
    <n v="140.9"/>
    <n v="124.3"/>
    <n v="142"/>
    <n v="137.69999999999999"/>
    <n v="139.80000000000001"/>
    <n v="132"/>
  </r>
  <r>
    <s v="Rural"/>
    <x v="2"/>
    <s v="August"/>
    <n v="139.19999999999999"/>
    <n v="148.80000000000001"/>
    <n v="139.1"/>
    <n v="143.5"/>
    <n v="125"/>
    <n v="154.4"/>
    <n v="156.30000000000001"/>
    <n v="126.8"/>
    <n v="115.4"/>
    <n v="138.6"/>
    <n v="133.80000000000001"/>
    <n v="155.19999999999999"/>
    <n v="142.69999999999999"/>
    <n v="144.6"/>
    <n v="147.69999999999999"/>
    <n v="143.80000000000001"/>
    <n v="139.4"/>
    <n v="128.30000000000001"/>
    <n v="138.6"/>
    <n v="146.9"/>
    <n v="131.30000000000001"/>
    <n v="136.6"/>
    <n v="142.5"/>
    <n v="139.90769230769232"/>
    <n v="147.69999999999999"/>
    <n v="128.30000000000001"/>
    <n v="144.19999999999999"/>
    <n v="139.4"/>
    <n v="142.75"/>
    <n v="133.94999999999999"/>
  </r>
  <r>
    <s v="Urban"/>
    <x v="3"/>
    <s v="August"/>
    <n v="133.19999999999999"/>
    <n v="143.9"/>
    <n v="128.30000000000001"/>
    <n v="138.30000000000001"/>
    <n v="114.1"/>
    <n v="142.69999999999999"/>
    <n v="179.8"/>
    <n v="123.5"/>
    <n v="122.1"/>
    <n v="137.5"/>
    <n v="124.6"/>
    <n v="144.5"/>
    <n v="140.5"/>
    <n v="134.4"/>
    <n v="118.9"/>
    <n v="127.7"/>
    <n v="125.7"/>
    <n v="114.6"/>
    <n v="124.1"/>
    <n v="135.69999999999999"/>
    <n v="123.3"/>
    <n v="123.8"/>
    <n v="132.69999999999999"/>
    <n v="136.38461538461536"/>
    <n v="118.9"/>
    <n v="114.6"/>
    <n v="131.05000000000001"/>
    <n v="125.7"/>
    <n v="129.89999999999998"/>
    <n v="123.55"/>
  </r>
  <r>
    <s v="Rural+Urban"/>
    <x v="3"/>
    <s v="August"/>
    <n v="134.30000000000001"/>
    <n v="143.4"/>
    <n v="129.30000000000001"/>
    <n v="139"/>
    <n v="118.1"/>
    <n v="145.5"/>
    <n v="168.6"/>
    <n v="132.69999999999999"/>
    <n v="121.2"/>
    <n v="135.6"/>
    <n v="128.69999999999999"/>
    <n v="146.80000000000001"/>
    <n v="140.6"/>
    <n v="134.4"/>
    <n v="129.80000000000001"/>
    <n v="132.80000000000001"/>
    <n v="130.19999999999999"/>
    <n v="117.3"/>
    <n v="127.3"/>
    <n v="137.6"/>
    <n v="124.5"/>
    <n v="126.8"/>
    <n v="135.4"/>
    <n v="137.21538461538461"/>
    <n v="129.80000000000001"/>
    <n v="117.3"/>
    <n v="133.60000000000002"/>
    <n v="130.19999999999999"/>
    <n v="132.44999999999999"/>
    <n v="125.65"/>
  </r>
  <r>
    <s v="Rural"/>
    <x v="3"/>
    <s v="August"/>
    <n v="134.80000000000001"/>
    <n v="143.1"/>
    <n v="130"/>
    <n v="139.4"/>
    <n v="120.5"/>
    <n v="148"/>
    <n v="162.9"/>
    <n v="137.4"/>
    <n v="120.8"/>
    <n v="134.69999999999999"/>
    <n v="131.6"/>
    <n v="148.69999999999999"/>
    <n v="140.6"/>
    <n v="134.4"/>
    <n v="136.4"/>
    <n v="137.30000000000001"/>
    <n v="133"/>
    <n v="120.3"/>
    <n v="131.5"/>
    <n v="140.19999999999999"/>
    <n v="125.4"/>
    <n v="129.69999999999999"/>
    <n v="137.80000000000001"/>
    <n v="137.88461538461536"/>
    <n v="136.4"/>
    <n v="120.3"/>
    <n v="135.85000000000002"/>
    <n v="133"/>
    <n v="135.85"/>
    <n v="127.55"/>
  </r>
  <r>
    <s v="Urban"/>
    <x v="4"/>
    <s v="August"/>
    <n v="127.6"/>
    <n v="140.30000000000001"/>
    <n v="133.69999999999999"/>
    <n v="132.19999999999999"/>
    <n v="111.8"/>
    <n v="135.80000000000001"/>
    <n v="163.5"/>
    <n v="182.3"/>
    <n v="114.6"/>
    <n v="144.6"/>
    <n v="121.9"/>
    <n v="138.1"/>
    <n v="137.6"/>
    <n v="127.3"/>
    <n v="114.7"/>
    <n v="123.9"/>
    <n v="121.2"/>
    <n v="110.4"/>
    <n v="120.6"/>
    <n v="131.5"/>
    <n v="120.9"/>
    <n v="119.9"/>
    <n v="128.4"/>
    <n v="137.2307692307692"/>
    <n v="114.7"/>
    <n v="110.4"/>
    <n v="125.6"/>
    <n v="121.2"/>
    <n v="126.05"/>
    <n v="120.4"/>
  </r>
  <r>
    <s v="Rural+Urban"/>
    <x v="4"/>
    <s v="August"/>
    <n v="129.30000000000001"/>
    <n v="139.30000000000001"/>
    <n v="131.6"/>
    <n v="134.1"/>
    <n v="116.9"/>
    <n v="138.1"/>
    <n v="159.1"/>
    <n v="175.6"/>
    <n v="112.9"/>
    <n v="138.1"/>
    <n v="125.5"/>
    <n v="139.5"/>
    <n v="137.9"/>
    <n v="127.3"/>
    <n v="123.6"/>
    <n v="127.4"/>
    <n v="124.8"/>
    <n v="113.1"/>
    <n v="122.7"/>
    <n v="131.69999999999999"/>
    <n v="121.5"/>
    <n v="122.1"/>
    <n v="131.1"/>
    <n v="136.76153846153846"/>
    <n v="123.6"/>
    <n v="113.1"/>
    <n v="127.35"/>
    <n v="124.8"/>
    <n v="127.19999999999999"/>
    <n v="121.8"/>
  </r>
  <r>
    <s v="Rural"/>
    <x v="4"/>
    <s v="August"/>
    <n v="130.1"/>
    <n v="138.80000000000001"/>
    <n v="130.30000000000001"/>
    <n v="135.30000000000001"/>
    <n v="119.9"/>
    <n v="140.19999999999999"/>
    <n v="156.9"/>
    <n v="172.2"/>
    <n v="112.1"/>
    <n v="134.9"/>
    <n v="128.1"/>
    <n v="140.69999999999999"/>
    <n v="138"/>
    <n v="127.3"/>
    <n v="129.1"/>
    <n v="130.6"/>
    <n v="127"/>
    <n v="116"/>
    <n v="125.5"/>
    <n v="131.9"/>
    <n v="122"/>
    <n v="124.2"/>
    <n v="133.5"/>
    <n v="136.73076923076923"/>
    <n v="129.1"/>
    <n v="116"/>
    <n v="128.94999999999999"/>
    <n v="127"/>
    <n v="128.69999999999999"/>
    <n v="123.1"/>
  </r>
  <r>
    <s v="Urban"/>
    <x v="5"/>
    <s v="August"/>
    <n v="123.1"/>
    <n v="131.69999999999999"/>
    <n v="118.1"/>
    <n v="128"/>
    <n v="106.8"/>
    <n v="130.1"/>
    <n v="165.5"/>
    <n v="156"/>
    <n v="85.3"/>
    <n v="132.69999999999999"/>
    <n v="118.8"/>
    <n v="131.69999999999999"/>
    <n v="131.1"/>
    <n v="120.9"/>
    <n v="115.3"/>
    <n v="120"/>
    <n v="116.6"/>
    <n v="109.9"/>
    <n v="117.2"/>
    <n v="126.2"/>
    <n v="112"/>
    <n v="116.2"/>
    <n v="123.2"/>
    <n v="127.6076923076923"/>
    <n v="115.3"/>
    <n v="109.9"/>
    <n v="120.45"/>
    <n v="116.6"/>
    <n v="121.7"/>
    <n v="114.1"/>
  </r>
  <r>
    <s v="Rural+Urban"/>
    <x v="5"/>
    <s v="August"/>
    <n v="124.2"/>
    <n v="131.4"/>
    <n v="120.1"/>
    <n v="128.5"/>
    <n v="111.4"/>
    <n v="132.30000000000001"/>
    <n v="157.6"/>
    <n v="144"/>
    <n v="90.5"/>
    <n v="126.8"/>
    <n v="120.4"/>
    <n v="132.1"/>
    <n v="130.30000000000001"/>
    <n v="120.9"/>
    <n v="120.6"/>
    <n v="122"/>
    <n v="119.4"/>
    <n v="111.7"/>
    <n v="117.8"/>
    <n v="125.1"/>
    <n v="112.3"/>
    <n v="117.2"/>
    <n v="124.8"/>
    <n v="126.89230769230768"/>
    <n v="120.6"/>
    <n v="111.7"/>
    <n v="121.45"/>
    <n v="119.4"/>
    <n v="121.44999999999999"/>
    <n v="114.75"/>
  </r>
  <r>
    <s v="Rural"/>
    <x v="5"/>
    <s v="August"/>
    <n v="124.7"/>
    <n v="131.30000000000001"/>
    <n v="121.3"/>
    <n v="128.80000000000001"/>
    <n v="114"/>
    <n v="134.19999999999999"/>
    <n v="153.6"/>
    <n v="137.9"/>
    <n v="93.1"/>
    <n v="123.9"/>
    <n v="121.5"/>
    <n v="132.5"/>
    <n v="129.80000000000001"/>
    <n v="120.9"/>
    <n v="123.8"/>
    <n v="123.7"/>
    <n v="121.1"/>
    <n v="113.6"/>
    <n v="118.5"/>
    <n v="123.6"/>
    <n v="112.5"/>
    <n v="118.2"/>
    <n v="126.1"/>
    <n v="126.66153846153846"/>
    <n v="123.8"/>
    <n v="113.6"/>
    <n v="122.30000000000001"/>
    <n v="121.1"/>
    <n v="121.05"/>
    <n v="115.35"/>
  </r>
  <r>
    <s v="Rural"/>
    <x v="6"/>
    <s v="August"/>
    <n v="121.8"/>
    <n v="122.8"/>
    <n v="117.8"/>
    <n v="121.9"/>
    <n v="110.6"/>
    <n v="129.69999999999999"/>
    <n v="161.1"/>
    <n v="114.1"/>
    <n v="105.1"/>
    <n v="114.6"/>
    <n v="115.8"/>
    <n v="121.7"/>
    <n v="125.3"/>
    <n v="115.5"/>
    <n v="115.4"/>
    <n v="115.9"/>
    <n v="114"/>
    <n v="113.2"/>
    <n v="112.2"/>
    <n v="116.2"/>
    <n v="109.4"/>
    <n v="113.5"/>
    <n v="120.7"/>
    <n v="121.71538461538459"/>
    <n v="115.4"/>
    <n v="113.2"/>
    <n v="115.7"/>
    <n v="114"/>
    <n v="114.2"/>
    <n v="111.45"/>
  </r>
  <r>
    <s v="Rural+Urban"/>
    <x v="6"/>
    <s v="August"/>
    <n v="122.7"/>
    <n v="124.4"/>
    <n v="117.3"/>
    <n v="122"/>
    <n v="108"/>
    <n v="131.1"/>
    <n v="168.2"/>
    <n v="114.5"/>
    <n v="104.3"/>
    <n v="117.1"/>
    <n v="115.2"/>
    <n v="123.1"/>
    <n v="126.6"/>
    <n v="115.5"/>
    <n v="114"/>
    <n v="115.6"/>
    <n v="113.3"/>
    <n v="112.8"/>
    <n v="112.6"/>
    <n v="118"/>
    <n v="109.9"/>
    <n v="113.7"/>
    <n v="120.3"/>
    <n v="122.65384615384613"/>
    <n v="114"/>
    <n v="112.8"/>
    <n v="115.55"/>
    <n v="113.3"/>
    <n v="115.3"/>
    <n v="111.80000000000001"/>
  </r>
  <r>
    <s v="Urban"/>
    <x v="6"/>
    <s v="August"/>
    <n v="124.8"/>
    <n v="127.3"/>
    <n v="116.5"/>
    <n v="122.2"/>
    <n v="103.6"/>
    <n v="132.69999999999999"/>
    <n v="181.9"/>
    <n v="115.2"/>
    <n v="102.7"/>
    <n v="122.1"/>
    <n v="114.4"/>
    <n v="124.7"/>
    <n v="128.9"/>
    <n v="115.5"/>
    <n v="111.8"/>
    <n v="115.3"/>
    <n v="112.2"/>
    <n v="112.5"/>
    <n v="112.9"/>
    <n v="119.2"/>
    <n v="110.5"/>
    <n v="113.9"/>
    <n v="119.9"/>
    <n v="124.38461538461539"/>
    <n v="111.8"/>
    <n v="112.5"/>
    <n v="115.4"/>
    <n v="112.2"/>
    <n v="116.05000000000001"/>
    <n v="112.2"/>
  </r>
  <r>
    <s v="Rural"/>
    <x v="7"/>
    <s v="August"/>
    <n v="114.3"/>
    <n v="115.4"/>
    <n v="111.1"/>
    <n v="110"/>
    <n v="106.4"/>
    <n v="110.8"/>
    <n v="138.9"/>
    <n v="107.4"/>
    <n v="104.1"/>
    <n v="106.9"/>
    <n v="109.7"/>
    <n v="112.6"/>
    <n v="114.9"/>
    <n v="108.9"/>
    <n v="109.9"/>
    <n v="108.7"/>
    <n v="107.5"/>
    <n v="107.8"/>
    <n v="106.8"/>
    <n v="108.7"/>
    <n v="105"/>
    <n v="107.5"/>
    <n v="112.1"/>
    <n v="112.5"/>
    <n v="109.9"/>
    <n v="107.8"/>
    <n v="108.80000000000001"/>
    <n v="107.5"/>
    <n v="107.75"/>
    <n v="106.25"/>
  </r>
  <r>
    <s v="Rural+Urban"/>
    <x v="7"/>
    <s v="August"/>
    <n v="115.6"/>
    <n v="117.2"/>
    <n v="111.7"/>
    <n v="109.6"/>
    <n v="104.5"/>
    <n v="109.8"/>
    <n v="151.80000000000001"/>
    <n v="106.5"/>
    <n v="103.1"/>
    <n v="107.4"/>
    <n v="110.2"/>
    <n v="113.4"/>
    <n v="116.6"/>
    <n v="108.9"/>
    <n v="109.7"/>
    <n v="108.7"/>
    <n v="107.5"/>
    <n v="108"/>
    <n v="106.6"/>
    <n v="109.9"/>
    <n v="105.4"/>
    <n v="107.9"/>
    <n v="112.4"/>
    <n v="113.64615384615385"/>
    <n v="109.7"/>
    <n v="108"/>
    <n v="108.80000000000001"/>
    <n v="107.5"/>
    <n v="108.25"/>
    <n v="106.65"/>
  </r>
  <r>
    <s v="Urban"/>
    <x v="7"/>
    <s v="August"/>
    <n v="118.3"/>
    <n v="120.4"/>
    <n v="112.7"/>
    <n v="108.9"/>
    <n v="101.1"/>
    <n v="108.7"/>
    <n v="177"/>
    <n v="104.7"/>
    <n v="101"/>
    <n v="108.5"/>
    <n v="110.9"/>
    <n v="114.3"/>
    <n v="119.6"/>
    <n v="108.9"/>
    <n v="109.3"/>
    <n v="108.7"/>
    <n v="107.6"/>
    <n v="108.1"/>
    <n v="106.5"/>
    <n v="110.8"/>
    <n v="106"/>
    <n v="108.3"/>
    <n v="112.7"/>
    <n v="115.85384615384616"/>
    <n v="109.3"/>
    <n v="108.1"/>
    <n v="108.80000000000001"/>
    <n v="107.6"/>
    <n v="108.65"/>
    <n v="107.15"/>
  </r>
  <r>
    <s v="Rural"/>
    <x v="8"/>
    <s v="April"/>
    <n v="173.3"/>
    <n v="206.9"/>
    <n v="167.9"/>
    <n v="178.2"/>
    <n v="178.5"/>
    <n v="173.7"/>
    <n v="142.80000000000001"/>
    <n v="172.8"/>
    <n v="120.4"/>
    <n v="215.5"/>
    <n v="178.2"/>
    <n v="190.5"/>
    <n v="175.5"/>
    <n v="175.2"/>
    <n v="181.5"/>
    <n v="179.1"/>
    <n v="187.2"/>
    <n v="169.4"/>
    <n v="173.2"/>
    <n v="179.4"/>
    <n v="183.8"/>
    <n v="178.9"/>
    <n v="178.8"/>
    <n v="174.93846153846152"/>
    <n v="181.5"/>
    <n v="169.4"/>
    <n v="177.14999999999998"/>
    <n v="187.2"/>
    <n v="176.3"/>
    <n v="181.35000000000002"/>
  </r>
  <r>
    <s v="Rural+Urban"/>
    <x v="8"/>
    <s v="April"/>
    <n v="173.8"/>
    <n v="209.3"/>
    <n v="169.6"/>
    <n v="178.4"/>
    <n v="174.9"/>
    <n v="176.3"/>
    <n v="155.4"/>
    <n v="173.4"/>
    <n v="121.3"/>
    <n v="212.9"/>
    <n v="172.9"/>
    <n v="193.5"/>
    <n v="177.9"/>
    <n v="175.2"/>
    <n v="181.7"/>
    <n v="174.6"/>
    <n v="185"/>
    <n v="164.5"/>
    <n v="170.7"/>
    <n v="176.4"/>
    <n v="184"/>
    <n v="175"/>
    <n v="178.1"/>
    <n v="176.12307692307695"/>
    <n v="181.7"/>
    <n v="164.5"/>
    <n v="174.89999999999998"/>
    <n v="185"/>
    <n v="173.55"/>
    <n v="179.5"/>
  </r>
  <r>
    <s v="Urban"/>
    <x v="8"/>
    <s v="April"/>
    <n v="174.8"/>
    <n v="213.7"/>
    <n v="172.4"/>
    <n v="178.8"/>
    <n v="168.7"/>
    <n v="179.2"/>
    <n v="179.9"/>
    <n v="174.7"/>
    <n v="123.1"/>
    <n v="207.8"/>
    <n v="165.5"/>
    <n v="197"/>
    <n v="182.1"/>
    <n v="175.2"/>
    <n v="182.1"/>
    <n v="169.6"/>
    <n v="181.5"/>
    <n v="160.1"/>
    <n v="168.8"/>
    <n v="174.2"/>
    <n v="184.4"/>
    <n v="170.9"/>
    <n v="177.4"/>
    <n v="178.28461538461539"/>
    <n v="182.1"/>
    <n v="160.1"/>
    <n v="172.39999999999998"/>
    <n v="181.5"/>
    <n v="171.5"/>
    <n v="177.65"/>
  </r>
  <r>
    <s v="Rural"/>
    <x v="0"/>
    <s v="April"/>
    <n v="151.80000000000001"/>
    <n v="209.7"/>
    <n v="164.5"/>
    <n v="163.80000000000001"/>
    <n v="207.4"/>
    <n v="169.7"/>
    <n v="153.6"/>
    <n v="165.1"/>
    <n v="118.2"/>
    <n v="182.9"/>
    <n v="172.4"/>
    <n v="178.9"/>
    <n v="168.6"/>
    <n v="167"/>
    <n v="173.3"/>
    <n v="167.7"/>
    <n v="177"/>
    <n v="166.2"/>
    <n v="167.2"/>
    <n v="170.9"/>
    <n v="169"/>
    <n v="170.2"/>
    <n v="170.8"/>
    <n v="169.73846153846154"/>
    <n v="173.3"/>
    <n v="166.2"/>
    <n v="167.35"/>
    <n v="177"/>
    <n v="169.05"/>
    <n v="169.6"/>
  </r>
  <r>
    <s v="Rural+Urban"/>
    <x v="0"/>
    <s v="April"/>
    <n v="152.9"/>
    <n v="211.8"/>
    <n v="164.5"/>
    <n v="163.9"/>
    <n v="199.5"/>
    <n v="172.6"/>
    <n v="166.2"/>
    <n v="164.7"/>
    <n v="119"/>
    <n v="181.3"/>
    <n v="166.2"/>
    <n v="180.9"/>
    <n v="170.8"/>
    <n v="167"/>
    <n v="172.2"/>
    <n v="164"/>
    <n v="174"/>
    <n v="162.6"/>
    <n v="164.4"/>
    <n v="166.9"/>
    <n v="168.8"/>
    <n v="166.8"/>
    <n v="170.1"/>
    <n v="170.33076923076925"/>
    <n v="172.2"/>
    <n v="162.6"/>
    <n v="165.5"/>
    <n v="174"/>
    <n v="165.65"/>
    <n v="167.8"/>
  </r>
  <r>
    <s v="Urban"/>
    <x v="0"/>
    <s v="April"/>
    <n v="155.4"/>
    <n v="215.8"/>
    <n v="164.6"/>
    <n v="164.2"/>
    <n v="186"/>
    <n v="175.9"/>
    <n v="190.7"/>
    <n v="164"/>
    <n v="120.5"/>
    <n v="178"/>
    <n v="157.5"/>
    <n v="183.3"/>
    <n v="174.5"/>
    <n v="167"/>
    <n v="170.5"/>
    <n v="159.80000000000001"/>
    <n v="169"/>
    <n v="159.30000000000001"/>
    <n v="162.19999999999999"/>
    <n v="164"/>
    <n v="168.4"/>
    <n v="163.1"/>
    <n v="169.2"/>
    <n v="171.56923076923078"/>
    <n v="170.5"/>
    <n v="159.30000000000001"/>
    <n v="163.4"/>
    <n v="169"/>
    <n v="163.1"/>
    <n v="165.75"/>
  </r>
  <r>
    <s v="Rural"/>
    <x v="10"/>
    <s v="October"/>
    <n v="146.1"/>
    <n v="202.5"/>
    <n v="170.1"/>
    <n v="158.4"/>
    <n v="198.8"/>
    <n v="152.6"/>
    <n v="170.4"/>
    <n v="165.2"/>
    <n v="121.6"/>
    <n v="170.6"/>
    <n v="168.8"/>
    <n v="173.6"/>
    <n v="165.5"/>
    <n v="156.5"/>
    <n v="165.5"/>
    <n v="162"/>
    <n v="172.5"/>
    <n v="159.5"/>
    <n v="163.19999999999999"/>
    <n v="169"/>
    <n v="161.1"/>
    <n v="164.7"/>
    <n v="166.3"/>
    <n v="166.47692307692307"/>
    <n v="165.5"/>
    <n v="159.5"/>
    <n v="159.25"/>
    <n v="172.5"/>
    <n v="166.1"/>
    <n v="162.89999999999998"/>
  </r>
  <r>
    <s v="Rural+Urban"/>
    <x v="10"/>
    <s v="October"/>
    <n v="147.4"/>
    <n v="204.6"/>
    <n v="171.2"/>
    <n v="158.69999999999999"/>
    <n v="190.6"/>
    <n v="155.69999999999999"/>
    <n v="185.3"/>
    <n v="165.2"/>
    <n v="121.9"/>
    <n v="169.3"/>
    <n v="163.19999999999999"/>
    <n v="174.7"/>
    <n v="167.7"/>
    <n v="163.6"/>
    <n v="164.2"/>
    <n v="158.4"/>
    <n v="169.1"/>
    <n v="155.69999999999999"/>
    <n v="158.6"/>
    <n v="163.9"/>
    <n v="160.80000000000001"/>
    <n v="161"/>
    <n v="165.5"/>
    <n v="167.34615384615384"/>
    <n v="164.2"/>
    <n v="155.69999999999999"/>
    <n v="161"/>
    <n v="169.1"/>
    <n v="161.25"/>
    <n v="160.9"/>
  </r>
  <r>
    <s v="Urban"/>
    <x v="10"/>
    <s v="October"/>
    <n v="150.1"/>
    <n v="208.4"/>
    <n v="173"/>
    <n v="159.19999999999999"/>
    <n v="176.6"/>
    <n v="159.30000000000001"/>
    <n v="214.4"/>
    <n v="165.3"/>
    <n v="122.5"/>
    <n v="166.8"/>
    <n v="155.4"/>
    <n v="175.9"/>
    <n v="171.5"/>
    <n v="163.6"/>
    <n v="162.19999999999999"/>
    <n v="154.30000000000001"/>
    <n v="163.5"/>
    <n v="152.19999999999999"/>
    <n v="155.1"/>
    <n v="160.30000000000001"/>
    <n v="160.30000000000001"/>
    <n v="157"/>
    <n v="164.6"/>
    <n v="169.10769230769236"/>
    <n v="162.19999999999999"/>
    <n v="152.19999999999999"/>
    <n v="158.94999999999999"/>
    <n v="163.5"/>
    <n v="157.69999999999999"/>
    <n v="158.65"/>
  </r>
  <r>
    <s v="Rural"/>
    <x v="10"/>
    <s v="September"/>
    <n v="145.4"/>
    <n v="202.1"/>
    <n v="172"/>
    <n v="158"/>
    <n v="195.5"/>
    <n v="152.69999999999999"/>
    <n v="151.4"/>
    <n v="163.9"/>
    <n v="119.3"/>
    <n v="170.1"/>
    <n v="168.3"/>
    <n v="172.8"/>
    <n v="162.1"/>
    <n v="156.30000000000001"/>
    <n v="163.69999999999999"/>
    <n v="161.30000000000001"/>
    <n v="171.9"/>
    <n v="157.80000000000001"/>
    <n v="162.69999999999999"/>
    <n v="168.5"/>
    <n v="160.19999999999999"/>
    <n v="163.80000000000001"/>
    <n v="164"/>
    <n v="164.12307692307692"/>
    <n v="163.69999999999999"/>
    <n v="157.80000000000001"/>
    <n v="158.80000000000001"/>
    <n v="171.9"/>
    <n v="165.6"/>
    <n v="162"/>
  </r>
  <r>
    <s v="Rural+Urban"/>
    <x v="10"/>
    <s v="September"/>
    <n v="146.6"/>
    <n v="204"/>
    <n v="172.8"/>
    <n v="158.4"/>
    <n v="188"/>
    <n v="156.69999999999999"/>
    <n v="162.30000000000001"/>
    <n v="164.1"/>
    <n v="119.7"/>
    <n v="168.8"/>
    <n v="162.69999999999999"/>
    <n v="173.9"/>
    <n v="164"/>
    <n v="162.1"/>
    <n v="162.6"/>
    <n v="157.5"/>
    <n v="168.4"/>
    <n v="154"/>
    <n v="157.69999999999999"/>
    <n v="163.69999999999999"/>
    <n v="160"/>
    <n v="160"/>
    <n v="163.19999999999999"/>
    <n v="164.76923076923077"/>
    <n v="162.6"/>
    <n v="154"/>
    <n v="159.80000000000001"/>
    <n v="168.4"/>
    <n v="160.69999999999999"/>
    <n v="160"/>
  </r>
  <r>
    <s v="Urban"/>
    <x v="10"/>
    <s v="September"/>
    <n v="149.30000000000001"/>
    <n v="207.4"/>
    <n v="174.1"/>
    <n v="159.1"/>
    <n v="175"/>
    <n v="161.19999999999999"/>
    <n v="183.5"/>
    <n v="164.5"/>
    <n v="120.4"/>
    <n v="166.2"/>
    <n v="154.80000000000001"/>
    <n v="175.1"/>
    <n v="167.3"/>
    <n v="162.1"/>
    <n v="160.80000000000001"/>
    <n v="153.30000000000001"/>
    <n v="162.80000000000001"/>
    <n v="150.5"/>
    <n v="153.9"/>
    <n v="160.30000000000001"/>
    <n v="159.6"/>
    <n v="156"/>
    <n v="162.30000000000001"/>
    <n v="165.99230769230769"/>
    <n v="160.80000000000001"/>
    <n v="150.5"/>
    <n v="157.69999999999999"/>
    <n v="162.80000000000001"/>
    <n v="157.10000000000002"/>
    <n v="157.80000000000001"/>
  </r>
  <r>
    <s v="Urban"/>
    <x v="2"/>
    <s v="April"/>
    <n v="135"/>
    <n v="144.30000000000001"/>
    <n v="130.80000000000001"/>
    <n v="140.30000000000001"/>
    <n v="116.6"/>
    <n v="150.1"/>
    <n v="127.6"/>
    <n v="114"/>
    <n v="110.6"/>
    <n v="140.19999999999999"/>
    <n v="126.5"/>
    <n v="148.30000000000001"/>
    <n v="135.69999999999999"/>
    <n v="142.9"/>
    <n v="124.6"/>
    <n v="131.80000000000001"/>
    <n v="131.30000000000001"/>
    <n v="118.9"/>
    <n v="127.6"/>
    <n v="139.69999999999999"/>
    <n v="127.6"/>
    <n v="128.19999999999999"/>
    <n v="134.80000000000001"/>
    <n v="132.30769230769232"/>
    <n v="124.6"/>
    <n v="118.9"/>
    <n v="137.35000000000002"/>
    <n v="131.30000000000001"/>
    <n v="133.64999999999998"/>
    <n v="127.89999999999999"/>
  </r>
  <r>
    <s v="Rural+Urban"/>
    <x v="2"/>
    <s v="April"/>
    <n v="136.4"/>
    <n v="144.4"/>
    <n v="133.9"/>
    <n v="141.6"/>
    <n v="121"/>
    <n v="153.5"/>
    <n v="132.6"/>
    <n v="123.5"/>
    <n v="113.7"/>
    <n v="138.19999999999999"/>
    <n v="129.6"/>
    <n v="151.19999999999999"/>
    <n v="137.5"/>
    <n v="142.9"/>
    <n v="136.5"/>
    <n v="136.6"/>
    <n v="135.19999999999999"/>
    <n v="121.9"/>
    <n v="131.30000000000001"/>
    <n v="141.4"/>
    <n v="129.19999999999999"/>
    <n v="131.30000000000001"/>
    <n v="137.1"/>
    <n v="135.16153846153847"/>
    <n v="136.5"/>
    <n v="121.9"/>
    <n v="139.75"/>
    <n v="135.19999999999999"/>
    <n v="136.35000000000002"/>
    <n v="130.25"/>
  </r>
  <r>
    <s v="Rural"/>
    <x v="2"/>
    <s v="April"/>
    <n v="137.1"/>
    <n v="144.5"/>
    <n v="135.9"/>
    <n v="142.4"/>
    <n v="123.5"/>
    <n v="156.4"/>
    <n v="135.1"/>
    <n v="128.4"/>
    <n v="115.2"/>
    <n v="137.19999999999999"/>
    <n v="131.9"/>
    <n v="153.80000000000001"/>
    <n v="138.6"/>
    <n v="142.9"/>
    <n v="143.80000000000001"/>
    <n v="140.9"/>
    <n v="137.6"/>
    <n v="125.3"/>
    <n v="136"/>
    <n v="143.69999999999999"/>
    <n v="130.4"/>
    <n v="134.19999999999999"/>
    <n v="139.1"/>
    <n v="136.92307692307693"/>
    <n v="143.80000000000001"/>
    <n v="125.3"/>
    <n v="141.9"/>
    <n v="137.6"/>
    <n v="139.85"/>
    <n v="132.30000000000001"/>
  </r>
  <r>
    <s v="Urban"/>
    <x v="3"/>
    <s v="April"/>
    <n v="132.69999999999999"/>
    <n v="140.6"/>
    <n v="124.5"/>
    <n v="136.30000000000001"/>
    <n v="113.5"/>
    <n v="137.69999999999999"/>
    <n v="127.1"/>
    <n v="133.80000000000001"/>
    <n v="120.8"/>
    <n v="141.30000000000001"/>
    <n v="123.8"/>
    <n v="142.6"/>
    <n v="133.4"/>
    <n v="131.69999999999999"/>
    <n v="121.4"/>
    <n v="126"/>
    <n v="123.4"/>
    <n v="114.3"/>
    <n v="122.6"/>
    <n v="133.6"/>
    <n v="122.2"/>
    <n v="122.5"/>
    <n v="129.1"/>
    <n v="131.3923076923077"/>
    <n v="121.4"/>
    <n v="114.3"/>
    <n v="128.85"/>
    <n v="123.4"/>
    <n v="128.1"/>
    <n v="122.35"/>
  </r>
  <r>
    <s v="Rural+Urban"/>
    <x v="3"/>
    <s v="April"/>
    <n v="133"/>
    <n v="139.4"/>
    <n v="126.1"/>
    <n v="137.19999999999999"/>
    <n v="118.4"/>
    <n v="139.9"/>
    <n v="123.4"/>
    <n v="140.9"/>
    <n v="118.5"/>
    <n v="136.5"/>
    <n v="127.4"/>
    <n v="144.19999999999999"/>
    <n v="133.5"/>
    <n v="131.69999999999999"/>
    <n v="129.80000000000001"/>
    <n v="130.4"/>
    <n v="128.1"/>
    <n v="116.6"/>
    <n v="125.1"/>
    <n v="134.5"/>
    <n v="123.1"/>
    <n v="125.1"/>
    <n v="131.1"/>
    <n v="132.1846153846154"/>
    <n v="129.80000000000001"/>
    <n v="116.6"/>
    <n v="131.05000000000001"/>
    <n v="128.1"/>
    <n v="129.80000000000001"/>
    <n v="124.1"/>
  </r>
  <r>
    <s v="Rural"/>
    <x v="3"/>
    <s v="April"/>
    <n v="133.19999999999999"/>
    <n v="138.69999999999999"/>
    <n v="127.1"/>
    <n v="137.69999999999999"/>
    <n v="121.3"/>
    <n v="141.80000000000001"/>
    <n v="121.5"/>
    <n v="144.5"/>
    <n v="117.4"/>
    <n v="134.1"/>
    <n v="130"/>
    <n v="145.5"/>
    <n v="133.5"/>
    <n v="131.69999999999999"/>
    <n v="135"/>
    <n v="134.30000000000001"/>
    <n v="131"/>
    <n v="119.2"/>
    <n v="128.30000000000001"/>
    <n v="135.69999999999999"/>
    <n v="123.7"/>
    <n v="127.5"/>
    <n v="132.9"/>
    <n v="132.7923076923077"/>
    <n v="135"/>
    <n v="119.2"/>
    <n v="133"/>
    <n v="131"/>
    <n v="132"/>
    <n v="125.6"/>
  </r>
  <r>
    <s v="Urban"/>
    <x v="4"/>
    <s v="April"/>
    <n v="124.9"/>
    <n v="139.30000000000001"/>
    <n v="119.9"/>
    <n v="130.19999999999999"/>
    <n v="108.9"/>
    <n v="131.1"/>
    <n v="136.80000000000001"/>
    <n v="176.9"/>
    <n v="109.1"/>
    <n v="140.4"/>
    <n v="121.1"/>
    <n v="135.9"/>
    <n v="131.80000000000001"/>
    <n v="125.6"/>
    <n v="114.6"/>
    <n v="122.8"/>
    <n v="120"/>
    <n v="110"/>
    <n v="119.5"/>
    <n v="127.6"/>
    <n v="117.6"/>
    <n v="118.2"/>
    <n v="125.3"/>
    <n v="131.25384615384615"/>
    <n v="114.6"/>
    <n v="110"/>
    <n v="124.19999999999999"/>
    <n v="120"/>
    <n v="123.55"/>
    <n v="117.9"/>
  </r>
  <r>
    <s v="Rural+Urban"/>
    <x v="4"/>
    <s v="April"/>
    <n v="126.6"/>
    <n v="136.80000000000001"/>
    <n v="122"/>
    <n v="130.9"/>
    <n v="114.8"/>
    <n v="134.80000000000001"/>
    <n v="135"/>
    <n v="167.5"/>
    <n v="106.4"/>
    <n v="134.4"/>
    <n v="123.6"/>
    <n v="136.69999999999999"/>
    <n v="131.80000000000001"/>
    <n v="125.6"/>
    <n v="122.3"/>
    <n v="125.5"/>
    <n v="123.2"/>
    <n v="112.1"/>
    <n v="121.1"/>
    <n v="127.7"/>
    <n v="118.1"/>
    <n v="120"/>
    <n v="127.3"/>
    <n v="130.86923076923077"/>
    <n v="122.3"/>
    <n v="112.1"/>
    <n v="125.55"/>
    <n v="123.2"/>
    <n v="124.4"/>
    <n v="119.05"/>
  </r>
  <r>
    <s v="Rural"/>
    <x v="4"/>
    <s v="April"/>
    <n v="127.4"/>
    <n v="135.4"/>
    <n v="123.4"/>
    <n v="131.30000000000001"/>
    <n v="118.2"/>
    <n v="138.1"/>
    <n v="134.1"/>
    <n v="162.69999999999999"/>
    <n v="105"/>
    <n v="131.4"/>
    <n v="125.4"/>
    <n v="137.4"/>
    <n v="131.80000000000001"/>
    <n v="125.6"/>
    <n v="127"/>
    <n v="128"/>
    <n v="125.2"/>
    <n v="114.4"/>
    <n v="123.2"/>
    <n v="127.9"/>
    <n v="118.4"/>
    <n v="121.7"/>
    <n v="129"/>
    <n v="130.89230769230772"/>
    <n v="127"/>
    <n v="114.4"/>
    <n v="126.8"/>
    <n v="125.2"/>
    <n v="125.55000000000001"/>
    <n v="120.05000000000001"/>
  </r>
  <r>
    <s v="Rural"/>
    <x v="5"/>
    <s v="April"/>
    <n v="123.3"/>
    <n v="125.5"/>
    <n v="117.2"/>
    <n v="126.8"/>
    <n v="111.9"/>
    <n v="134.19999999999999"/>
    <n v="127.5"/>
    <n v="121.5"/>
    <n v="97.8"/>
    <n v="119.8"/>
    <n v="119.4"/>
    <n v="128.69999999999999"/>
    <n v="123.6"/>
    <n v="119.2"/>
    <n v="121.2"/>
    <n v="120.9"/>
    <n v="118.6"/>
    <n v="111.9"/>
    <n v="116.2"/>
    <n v="119.9"/>
    <n v="111.6"/>
    <n v="116"/>
    <n v="121.5"/>
    <n v="121.32307692307693"/>
    <n v="121.2"/>
    <n v="111.9"/>
    <n v="120.05000000000001"/>
    <n v="118.6"/>
    <n v="118.05000000000001"/>
    <n v="113.8"/>
  </r>
  <r>
    <s v="Rural+Urban"/>
    <x v="5"/>
    <s v="April"/>
    <n v="123.5"/>
    <n v="126.4"/>
    <n v="114.4"/>
    <n v="126.6"/>
    <n v="109.2"/>
    <n v="132.5"/>
    <n v="128.6"/>
    <n v="124.8"/>
    <n v="95.7"/>
    <n v="122.4"/>
    <n v="118.5"/>
    <n v="129.1"/>
    <n v="124"/>
    <n v="119.2"/>
    <n v="118.7"/>
    <n v="119.7"/>
    <n v="117.1"/>
    <n v="110.1"/>
    <n v="115.9"/>
    <n v="121"/>
    <n v="111.7"/>
    <n v="115.1"/>
    <n v="120.7"/>
    <n v="121.20769230769231"/>
    <n v="118.7"/>
    <n v="110.1"/>
    <n v="119.45"/>
    <n v="117.1"/>
    <n v="118.45"/>
    <n v="113.4"/>
  </r>
  <r>
    <s v="Urban"/>
    <x v="5"/>
    <s v="April"/>
    <n v="123.8"/>
    <n v="128.19999999999999"/>
    <n v="110"/>
    <n v="126.3"/>
    <n v="104.5"/>
    <n v="130.6"/>
    <n v="130.80000000000001"/>
    <n v="131.30000000000001"/>
    <n v="91.6"/>
    <n v="127.7"/>
    <n v="117.2"/>
    <n v="129.5"/>
    <n v="124.6"/>
    <n v="119.2"/>
    <n v="114.7"/>
    <n v="118.4"/>
    <n v="114.6"/>
    <n v="108.4"/>
    <n v="115.6"/>
    <n v="121.7"/>
    <n v="111.8"/>
    <n v="114.2"/>
    <n v="119.7"/>
    <n v="121.23846153846154"/>
    <n v="114.7"/>
    <n v="108.4"/>
    <n v="118.80000000000001"/>
    <n v="114.6"/>
    <n v="118.65"/>
    <n v="113"/>
  </r>
  <r>
    <s v="Rural"/>
    <x v="6"/>
    <s v="April"/>
    <n v="120.2"/>
    <n v="118.9"/>
    <n v="118.1"/>
    <n v="117"/>
    <n v="109.7"/>
    <n v="125.5"/>
    <n v="120.5"/>
    <n v="111"/>
    <n v="102.6"/>
    <n v="111.2"/>
    <n v="113.5"/>
    <n v="118.7"/>
    <n v="117.2"/>
    <n v="113.9"/>
    <n v="113.4"/>
    <n v="113.7"/>
    <n v="111.8"/>
    <n v="111.2"/>
    <n v="110.5"/>
    <n v="113"/>
    <n v="108.9"/>
    <n v="111.5"/>
    <n v="115.4"/>
    <n v="115.70000000000002"/>
    <n v="113.4"/>
    <n v="111.2"/>
    <n v="113.80000000000001"/>
    <n v="111.8"/>
    <n v="111.75"/>
    <n v="110.2"/>
  </r>
  <r>
    <s v="Rural+Urban"/>
    <x v="6"/>
    <s v="April"/>
    <n v="120.9"/>
    <n v="119.9"/>
    <n v="116.2"/>
    <n v="117"/>
    <n v="107.3"/>
    <n v="126.1"/>
    <n v="120.7"/>
    <n v="111"/>
    <n v="101.8"/>
    <n v="112.6"/>
    <n v="113.2"/>
    <n v="119.8"/>
    <n v="117.6"/>
    <n v="113.9"/>
    <n v="112.5"/>
    <n v="113.6"/>
    <n v="111.5"/>
    <n v="111.2"/>
    <n v="110.9"/>
    <n v="112.7"/>
    <n v="109"/>
    <n v="111.5"/>
    <n v="115.1"/>
    <n v="115.69999999999999"/>
    <n v="112.5"/>
    <n v="111.2"/>
    <n v="113.75"/>
    <n v="111.5"/>
    <n v="111.80000000000001"/>
    <n v="110.25"/>
  </r>
  <r>
    <s v="Urban"/>
    <x v="6"/>
    <s v="April"/>
    <n v="122.5"/>
    <n v="121.7"/>
    <n v="113.3"/>
    <n v="117"/>
    <n v="103.1"/>
    <n v="126.7"/>
    <n v="121.2"/>
    <n v="111"/>
    <n v="100.3"/>
    <n v="115.3"/>
    <n v="112.7"/>
    <n v="121"/>
    <n v="118.2"/>
    <n v="113.9"/>
    <n v="110.9"/>
    <n v="113.4"/>
    <n v="111"/>
    <n v="111.2"/>
    <n v="111.2"/>
    <n v="112.5"/>
    <n v="109.1"/>
    <n v="111.4"/>
    <n v="114.7"/>
    <n v="115.69230769230771"/>
    <n v="110.9"/>
    <n v="111.2"/>
    <n v="113.65"/>
    <n v="111"/>
    <n v="111.85"/>
    <n v="110.25"/>
  </r>
  <r>
    <s v="Rural"/>
    <x v="7"/>
    <s v="April"/>
    <n v="110.2"/>
    <n v="109.5"/>
    <n v="106.9"/>
    <n v="106.3"/>
    <n v="105.7"/>
    <n v="108.3"/>
    <n v="103.4"/>
    <n v="105.7"/>
    <n v="104.2"/>
    <n v="103.2"/>
    <n v="106.5"/>
    <n v="108.8"/>
    <n v="107.1"/>
    <n v="100.5"/>
    <n v="106.5"/>
    <n v="106.1"/>
    <n v="105.1"/>
    <n v="104.4"/>
    <n v="104.5"/>
    <n v="104.8"/>
    <n v="102.7"/>
    <n v="104.6"/>
    <n v="106.4"/>
    <n v="106.6"/>
    <n v="106.5"/>
    <n v="104.4"/>
    <n v="103.3"/>
    <n v="105.1"/>
    <n v="104.65"/>
    <n v="103.65"/>
  </r>
  <r>
    <s v="Rural+Urban"/>
    <x v="7"/>
    <s v="April"/>
    <n v="111.6"/>
    <n v="110.9"/>
    <n v="106.6"/>
    <n v="105.7"/>
    <n v="104.4"/>
    <n v="108.9"/>
    <n v="105.5"/>
    <n v="105.3"/>
    <n v="103.5"/>
    <n v="103.3"/>
    <n v="107.2"/>
    <n v="109.6"/>
    <n v="107.7"/>
    <n v="100.5"/>
    <n v="106.5"/>
    <n v="106.3"/>
    <n v="105.3"/>
    <n v="104.7"/>
    <n v="104.2"/>
    <n v="105"/>
    <n v="102.9"/>
    <n v="104.8"/>
    <n v="106.1"/>
    <n v="106.93846153846154"/>
    <n v="106.5"/>
    <n v="104.7"/>
    <n v="103.4"/>
    <n v="105.3"/>
    <n v="104.6"/>
    <n v="103.85"/>
  </r>
  <r>
    <s v="Urban"/>
    <x v="7"/>
    <s v="April"/>
    <n v="114.6"/>
    <n v="113.4"/>
    <n v="106"/>
    <n v="104.7"/>
    <n v="102.1"/>
    <n v="109.5"/>
    <n v="109.7"/>
    <n v="104.6"/>
    <n v="102"/>
    <n v="103.5"/>
    <n v="108.2"/>
    <n v="110.6"/>
    <n v="108.8"/>
    <n v="100.5"/>
    <n v="106.4"/>
    <n v="106.5"/>
    <n v="105.7"/>
    <n v="105"/>
    <n v="104"/>
    <n v="105.2"/>
    <n v="103.2"/>
    <n v="105.1"/>
    <n v="105.7"/>
    <n v="107.5153846153846"/>
    <n v="106.4"/>
    <n v="105"/>
    <n v="103.5"/>
    <n v="105.7"/>
    <n v="104.6"/>
    <n v="104.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7492C3-107E-414A-B5F4-14025BA6D97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2">
    <pivotField showAll="0">
      <items count="6">
        <item h="1" x="2"/>
        <item h="1" x="3"/>
        <item h="1" x="1"/>
        <item x="4"/>
        <item h="1" x="0"/>
        <item t="default"/>
      </items>
    </pivotField>
    <pivotField showAll="0">
      <items count="5">
        <item h="1" x="3"/>
        <item x="1"/>
        <item h="1" x="2"/>
        <item h="1"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8486A3-B20D-49A6-B04B-832C9B69F0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3" firstHeaderRow="0" firstDataRow="1" firstDataCol="1" rowPageCount="1" colPageCount="1"/>
  <pivotFields count="33">
    <pivotField showAll="0"/>
    <pivotField showAll="0"/>
    <pivotField axis="axisPage" multipleItemSelectionAllowed="1" showAll="0">
      <items count="15">
        <item h="1" x="5"/>
        <item h="1" x="3"/>
        <item h="1" x="10"/>
        <item h="1" x="12"/>
        <item h="1" x="11"/>
        <item h="1" x="7"/>
        <item h="1" x="6"/>
        <item h="1" x="1"/>
        <item h="1" x="0"/>
        <item h="1" x="4"/>
        <item h="1" x="9"/>
        <item x="2"/>
        <item h="1" x="13"/>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2" showAll="0">
      <items count="363">
        <item x="239"/>
        <item x="240"/>
        <item x="241"/>
        <item x="272"/>
        <item x="150"/>
        <item x="151"/>
        <item x="273"/>
        <item x="359"/>
        <item x="152"/>
        <item x="360"/>
        <item x="274"/>
        <item x="117"/>
        <item x="361"/>
        <item x="118"/>
        <item x="119"/>
        <item x="177"/>
        <item x="178"/>
        <item x="206"/>
        <item x="207"/>
        <item x="332"/>
        <item x="179"/>
        <item x="271"/>
        <item x="333"/>
        <item x="270"/>
        <item x="269"/>
        <item x="149"/>
        <item x="238"/>
        <item x="237"/>
        <item x="236"/>
        <item x="120"/>
        <item x="27"/>
        <item x="208"/>
        <item x="148"/>
        <item x="28"/>
        <item x="29"/>
        <item x="358"/>
        <item x="357"/>
        <item x="356"/>
        <item x="304"/>
        <item x="334"/>
        <item x="303"/>
        <item x="57"/>
        <item x="302"/>
        <item x="58"/>
        <item x="114"/>
        <item x="59"/>
        <item x="115"/>
        <item x="116"/>
        <item x="174"/>
        <item x="175"/>
        <item x="60"/>
        <item x="86"/>
        <item x="87"/>
        <item x="176"/>
        <item x="203"/>
        <item x="147"/>
        <item x="233"/>
        <item x="146"/>
        <item x="234"/>
        <item x="267"/>
        <item x="299"/>
        <item x="266"/>
        <item x="268"/>
        <item x="145"/>
        <item x="300"/>
        <item x="235"/>
        <item x="354"/>
        <item x="355"/>
        <item x="204"/>
        <item x="301"/>
        <item x="353"/>
        <item x="54"/>
        <item x="84"/>
        <item x="329"/>
        <item x="55"/>
        <item x="24"/>
        <item x="25"/>
        <item x="56"/>
        <item x="111"/>
        <item x="85"/>
        <item x="112"/>
        <item x="26"/>
        <item x="330"/>
        <item x="113"/>
        <item x="205"/>
        <item x="331"/>
        <item x="173"/>
        <item x="172"/>
        <item x="202"/>
        <item x="201"/>
        <item x="171"/>
        <item x="200"/>
        <item x="328"/>
        <item x="327"/>
        <item x="23"/>
        <item x="22"/>
        <item x="326"/>
        <item x="21"/>
        <item x="142"/>
        <item x="53"/>
        <item x="143"/>
        <item x="263"/>
        <item x="264"/>
        <item x="52"/>
        <item x="298"/>
        <item x="265"/>
        <item x="144"/>
        <item x="297"/>
        <item x="83"/>
        <item x="232"/>
        <item x="231"/>
        <item x="82"/>
        <item x="51"/>
        <item x="296"/>
        <item x="351"/>
        <item x="230"/>
        <item x="352"/>
        <item x="260"/>
        <item x="139"/>
        <item x="350"/>
        <item x="347"/>
        <item x="81"/>
        <item x="105"/>
        <item x="227"/>
        <item x="136"/>
        <item x="348"/>
        <item x="140"/>
        <item x="106"/>
        <item x="344"/>
        <item x="261"/>
        <item x="103"/>
        <item x="110"/>
        <item x="349"/>
        <item x="228"/>
        <item x="107"/>
        <item x="257"/>
        <item x="141"/>
        <item x="293"/>
        <item x="109"/>
        <item x="165"/>
        <item x="262"/>
        <item x="166"/>
        <item x="229"/>
        <item x="167"/>
        <item x="294"/>
        <item x="35"/>
        <item x="289"/>
        <item x="108"/>
        <item x="162"/>
        <item x="224"/>
        <item x="12"/>
        <item x="170"/>
        <item x="295"/>
        <item x="15"/>
        <item x="34"/>
        <item x="43"/>
        <item x="11"/>
        <item x="78"/>
        <item x="137"/>
        <item x="18"/>
        <item x="10"/>
        <item x="345"/>
        <item x="74"/>
        <item x="33"/>
        <item x="79"/>
        <item x="9"/>
        <item x="258"/>
        <item x="169"/>
        <item x="64"/>
        <item x="288"/>
        <item x="48"/>
        <item x="19"/>
        <item x="80"/>
        <item x="45"/>
        <item x="49"/>
        <item x="290"/>
        <item x="317"/>
        <item x="195"/>
        <item x="65"/>
        <item x="196"/>
        <item x="16"/>
        <item x="199"/>
        <item x="20"/>
        <item x="192"/>
        <item x="50"/>
        <item x="197"/>
        <item x="320"/>
        <item x="287"/>
        <item x="163"/>
        <item x="73"/>
        <item x="42"/>
        <item x="325"/>
        <item x="324"/>
        <item x="13"/>
        <item x="46"/>
        <item x="225"/>
        <item x="346"/>
        <item x="259"/>
        <item x="138"/>
        <item x="66"/>
        <item x="44"/>
        <item x="104"/>
        <item x="198"/>
        <item x="321"/>
        <item x="323"/>
        <item x="17"/>
        <item x="168"/>
        <item x="72"/>
        <item x="164"/>
        <item x="47"/>
        <item x="67"/>
        <item x="322"/>
        <item x="291"/>
        <item x="193"/>
        <item x="75"/>
        <item x="318"/>
        <item x="14"/>
        <item x="226"/>
        <item x="186"/>
        <item x="188"/>
        <item x="39"/>
        <item x="187"/>
        <item x="76"/>
        <item x="194"/>
        <item x="68"/>
        <item x="292"/>
        <item x="40"/>
        <item x="77"/>
        <item x="319"/>
        <item x="36"/>
        <item x="41"/>
        <item x="3"/>
        <item x="37"/>
        <item x="4"/>
        <item x="97"/>
        <item x="38"/>
        <item x="98"/>
        <item x="5"/>
        <item x="99"/>
        <item x="94"/>
        <item x="95"/>
        <item x="183"/>
        <item x="184"/>
        <item x="185"/>
        <item x="96"/>
        <item x="69"/>
        <item x="133"/>
        <item x="70"/>
        <item x="134"/>
        <item x="100"/>
        <item x="135"/>
        <item x="101"/>
        <item x="71"/>
        <item x="102"/>
        <item x="156"/>
        <item x="157"/>
        <item x="6"/>
        <item x="158"/>
        <item x="7"/>
        <item x="159"/>
        <item x="8"/>
        <item x="160"/>
        <item x="127"/>
        <item x="218"/>
        <item x="161"/>
        <item x="128"/>
        <item x="219"/>
        <item x="129"/>
        <item x="254"/>
        <item x="308"/>
        <item x="215"/>
        <item x="255"/>
        <item x="309"/>
        <item x="220"/>
        <item x="216"/>
        <item x="221"/>
        <item x="222"/>
        <item x="310"/>
        <item x="278"/>
        <item x="256"/>
        <item x="279"/>
        <item x="217"/>
        <item x="189"/>
        <item x="223"/>
        <item x="311"/>
        <item x="190"/>
        <item x="280"/>
        <item x="130"/>
        <item x="312"/>
        <item x="131"/>
        <item x="191"/>
        <item x="284"/>
        <item x="313"/>
        <item x="132"/>
        <item x="248"/>
        <item x="281"/>
        <item x="343"/>
        <item x="285"/>
        <item x="249"/>
        <item x="282"/>
        <item x="245"/>
        <item x="212"/>
        <item x="286"/>
        <item x="250"/>
        <item x="246"/>
        <item x="213"/>
        <item x="251"/>
        <item x="283"/>
        <item x="341"/>
        <item x="124"/>
        <item x="252"/>
        <item x="314"/>
        <item x="247"/>
        <item x="125"/>
        <item x="214"/>
        <item x="315"/>
        <item x="126"/>
        <item x="342"/>
        <item x="253"/>
        <item x="338"/>
        <item x="339"/>
        <item x="316"/>
        <item x="91"/>
        <item x="340"/>
        <item x="92"/>
        <item x="153"/>
        <item x="180"/>
        <item x="305"/>
        <item x="154"/>
        <item x="93"/>
        <item x="242"/>
        <item x="121"/>
        <item x="181"/>
        <item x="0"/>
        <item x="306"/>
        <item x="335"/>
        <item x="275"/>
        <item x="243"/>
        <item x="122"/>
        <item x="1"/>
        <item x="211"/>
        <item x="276"/>
        <item x="30"/>
        <item x="155"/>
        <item x="61"/>
        <item x="336"/>
        <item x="88"/>
        <item x="182"/>
        <item x="210"/>
        <item x="307"/>
        <item x="277"/>
        <item x="62"/>
        <item x="31"/>
        <item x="244"/>
        <item x="123"/>
        <item x="2"/>
        <item x="89"/>
        <item x="209"/>
        <item x="63"/>
        <item x="337"/>
        <item x="32"/>
        <item x="90"/>
        <item t="default"/>
      </items>
    </pivotField>
    <pivotField axis="axisRow" dataField="1" numFmtId="2" showAll="0">
      <items count="277">
        <item x="197"/>
        <item x="196"/>
        <item x="223"/>
        <item x="134"/>
        <item x="133"/>
        <item x="222"/>
        <item x="275"/>
        <item x="274"/>
        <item x="110"/>
        <item x="109"/>
        <item x="108"/>
        <item x="152"/>
        <item x="151"/>
        <item x="150"/>
        <item x="171"/>
        <item x="170"/>
        <item x="257"/>
        <item x="29"/>
        <item x="58"/>
        <item x="256"/>
        <item x="82"/>
        <item x="241"/>
        <item x="28"/>
        <item x="57"/>
        <item x="195"/>
        <item x="27"/>
        <item x="149"/>
        <item x="56"/>
        <item x="26"/>
        <item x="240"/>
        <item x="55"/>
        <item x="194"/>
        <item x="221"/>
        <item x="107"/>
        <item x="59"/>
        <item x="239"/>
        <item x="193"/>
        <item x="148"/>
        <item x="106"/>
        <item x="169"/>
        <item x="220"/>
        <item x="25"/>
        <item x="132"/>
        <item x="270"/>
        <item x="54"/>
        <item x="18"/>
        <item x="50"/>
        <item x="101"/>
        <item x="21"/>
        <item x="47"/>
        <item x="167"/>
        <item x="255"/>
        <item x="81"/>
        <item x="238"/>
        <item x="24"/>
        <item x="215"/>
        <item x="75"/>
        <item x="53"/>
        <item x="192"/>
        <item x="189"/>
        <item x="80"/>
        <item x="237"/>
        <item x="219"/>
        <item x="234"/>
        <item x="186"/>
        <item x="131"/>
        <item x="191"/>
        <item x="273"/>
        <item x="251"/>
        <item x="143"/>
        <item x="105"/>
        <item x="164"/>
        <item x="147"/>
        <item x="218"/>
        <item x="99"/>
        <item x="22"/>
        <item x="15"/>
        <item x="51"/>
        <item x="272"/>
        <item x="269"/>
        <item x="78"/>
        <item x="104"/>
        <item x="236"/>
        <item x="271"/>
        <item x="130"/>
        <item x="44"/>
        <item x="102"/>
        <item x="168"/>
        <item x="216"/>
        <item x="145"/>
        <item x="165"/>
        <item x="253"/>
        <item x="23"/>
        <item x="254"/>
        <item x="19"/>
        <item x="48"/>
        <item x="52"/>
        <item x="267"/>
        <item x="96"/>
        <item x="76"/>
        <item x="5"/>
        <item x="79"/>
        <item x="72"/>
        <item x="190"/>
        <item x="125"/>
        <item x="142"/>
        <item x="93"/>
        <item x="187"/>
        <item x="38"/>
        <item x="11"/>
        <item x="184"/>
        <item x="103"/>
        <item x="217"/>
        <item x="213"/>
        <item x="146"/>
        <item x="163"/>
        <item x="166"/>
        <item x="35"/>
        <item x="64"/>
        <item x="91"/>
        <item x="128"/>
        <item x="67"/>
        <item x="20"/>
        <item x="49"/>
        <item x="77"/>
        <item x="41"/>
        <item x="16"/>
        <item x="12"/>
        <item x="235"/>
        <item x="188"/>
        <item x="45"/>
        <item x="233"/>
        <item x="214"/>
        <item x="42"/>
        <item x="8"/>
        <item x="129"/>
        <item x="144"/>
        <item x="100"/>
        <item x="139"/>
        <item x="73"/>
        <item x="252"/>
        <item x="126"/>
        <item x="185"/>
        <item x="71"/>
        <item x="97"/>
        <item x="95"/>
        <item x="180"/>
        <item x="162"/>
        <item x="17"/>
        <item x="121"/>
        <item x="46"/>
        <item x="118"/>
        <item x="10"/>
        <item x="4"/>
        <item x="159"/>
        <item x="124"/>
        <item x="92"/>
        <item x="37"/>
        <item x="34"/>
        <item x="63"/>
        <item x="66"/>
        <item x="90"/>
        <item x="158"/>
        <item x="250"/>
        <item x="74"/>
        <item x="40"/>
        <item x="156"/>
        <item x="141"/>
        <item x="13"/>
        <item x="212"/>
        <item x="127"/>
        <item x="232"/>
        <item x="179"/>
        <item x="117"/>
        <item x="178"/>
        <item x="161"/>
        <item x="7"/>
        <item x="268"/>
        <item x="94"/>
        <item x="98"/>
        <item x="120"/>
        <item x="140"/>
        <item x="70"/>
        <item x="9"/>
        <item x="157"/>
        <item x="116"/>
        <item x="33"/>
        <item x="3"/>
        <item x="36"/>
        <item x="65"/>
        <item x="123"/>
        <item x="160"/>
        <item x="89"/>
        <item x="39"/>
        <item x="226"/>
        <item x="68"/>
        <item x="119"/>
        <item x="155"/>
        <item x="14"/>
        <item x="211"/>
        <item x="43"/>
        <item x="6"/>
        <item x="69"/>
        <item x="138"/>
        <item x="225"/>
        <item x="122"/>
        <item x="210"/>
        <item x="154"/>
        <item x="209"/>
        <item x="246"/>
        <item x="183"/>
        <item x="245"/>
        <item x="182"/>
        <item x="181"/>
        <item x="231"/>
        <item x="228"/>
        <item x="247"/>
        <item x="230"/>
        <item x="205"/>
        <item x="266"/>
        <item x="177"/>
        <item x="208"/>
        <item x="229"/>
        <item x="264"/>
        <item x="227"/>
        <item x="204"/>
        <item x="202"/>
        <item x="203"/>
        <item x="265"/>
        <item x="249"/>
        <item x="207"/>
        <item x="176"/>
        <item x="115"/>
        <item x="248"/>
        <item x="263"/>
        <item x="206"/>
        <item x="201"/>
        <item x="175"/>
        <item x="114"/>
        <item x="200"/>
        <item x="113"/>
        <item x="262"/>
        <item x="261"/>
        <item x="260"/>
        <item x="88"/>
        <item x="87"/>
        <item x="137"/>
        <item x="86"/>
        <item x="136"/>
        <item x="135"/>
        <item x="244"/>
        <item x="243"/>
        <item x="242"/>
        <item x="2"/>
        <item x="1"/>
        <item x="153"/>
        <item x="0"/>
        <item x="32"/>
        <item x="172"/>
        <item x="62"/>
        <item x="31"/>
        <item x="224"/>
        <item x="30"/>
        <item x="61"/>
        <item x="111"/>
        <item x="258"/>
        <item x="198"/>
        <item x="259"/>
        <item x="60"/>
        <item x="173"/>
        <item x="199"/>
        <item x="83"/>
        <item x="112"/>
        <item x="84"/>
        <item x="174"/>
        <item x="85"/>
        <item t="default"/>
      </items>
    </pivotField>
    <pivotField axis="axisRow" dataField="1" numFmtId="2" showAll="0">
      <items count="256">
        <item x="182"/>
        <item x="181"/>
        <item x="94"/>
        <item x="93"/>
        <item x="92"/>
        <item x="200"/>
        <item x="201"/>
        <item x="115"/>
        <item x="254"/>
        <item x="136"/>
        <item x="116"/>
        <item x="137"/>
        <item x="117"/>
        <item x="157"/>
        <item x="158"/>
        <item x="159"/>
        <item x="235"/>
        <item x="179"/>
        <item x="236"/>
        <item x="237"/>
        <item x="114"/>
        <item x="110"/>
        <item x="199"/>
        <item x="216"/>
        <item x="176"/>
        <item x="21"/>
        <item x="27"/>
        <item x="178"/>
        <item x="51"/>
        <item x="53"/>
        <item x="52"/>
        <item x="217"/>
        <item x="28"/>
        <item x="250"/>
        <item x="215"/>
        <item x="29"/>
        <item x="180"/>
        <item x="89"/>
        <item x="70"/>
        <item x="111"/>
        <item x="50"/>
        <item x="177"/>
        <item x="26"/>
        <item x="22"/>
        <item x="48"/>
        <item x="68"/>
        <item x="113"/>
        <item x="133"/>
        <item x="18"/>
        <item x="253"/>
        <item x="25"/>
        <item x="251"/>
        <item x="135"/>
        <item x="130"/>
        <item x="234"/>
        <item x="49"/>
        <item x="153"/>
        <item x="24"/>
        <item x="134"/>
        <item x="156"/>
        <item x="155"/>
        <item x="149"/>
        <item x="91"/>
        <item x="66"/>
        <item x="112"/>
        <item x="214"/>
        <item x="23"/>
        <item x="128"/>
        <item x="69"/>
        <item x="154"/>
        <item x="131"/>
        <item x="19"/>
        <item x="252"/>
        <item x="231"/>
        <item x="44"/>
        <item x="90"/>
        <item x="47"/>
        <item x="64"/>
        <item x="197"/>
        <item x="108"/>
        <item x="15"/>
        <item x="150"/>
        <item x="132"/>
        <item x="152"/>
        <item x="129"/>
        <item x="249"/>
        <item x="87"/>
        <item x="20"/>
        <item x="232"/>
        <item x="195"/>
        <item x="109"/>
        <item x="45"/>
        <item x="67"/>
        <item x="16"/>
        <item x="212"/>
        <item x="35"/>
        <item x="211"/>
        <item x="246"/>
        <item x="151"/>
        <item x="11"/>
        <item x="174"/>
        <item x="88"/>
        <item x="198"/>
        <item x="41"/>
        <item x="84"/>
        <item x="57"/>
        <item x="59"/>
        <item x="196"/>
        <item x="233"/>
        <item x="125"/>
        <item x="38"/>
        <item x="228"/>
        <item x="5"/>
        <item x="46"/>
        <item x="17"/>
        <item x="78"/>
        <item x="65"/>
        <item x="62"/>
        <item x="247"/>
        <item x="213"/>
        <item x="12"/>
        <item x="175"/>
        <item x="85"/>
        <item x="34"/>
        <item x="81"/>
        <item x="126"/>
        <item x="10"/>
        <item x="83"/>
        <item x="229"/>
        <item x="82"/>
        <item x="40"/>
        <item x="58"/>
        <item x="8"/>
        <item x="248"/>
        <item x="42"/>
        <item x="37"/>
        <item x="4"/>
        <item x="13"/>
        <item x="80"/>
        <item x="77"/>
        <item x="86"/>
        <item x="61"/>
        <item x="127"/>
        <item x="148"/>
        <item x="144"/>
        <item x="230"/>
        <item x="33"/>
        <item x="210"/>
        <item x="9"/>
        <item x="124"/>
        <item x="7"/>
        <item x="14"/>
        <item x="39"/>
        <item x="63"/>
        <item x="43"/>
        <item x="122"/>
        <item x="143"/>
        <item x="36"/>
        <item x="3"/>
        <item x="79"/>
        <item x="76"/>
        <item x="60"/>
        <item x="103"/>
        <item x="6"/>
        <item x="170"/>
        <item x="147"/>
        <item x="142"/>
        <item x="167"/>
        <item x="106"/>
        <item x="141"/>
        <item x="107"/>
        <item x="121"/>
        <item x="206"/>
        <item x="102"/>
        <item x="169"/>
        <item x="146"/>
        <item x="194"/>
        <item x="166"/>
        <item x="105"/>
        <item x="123"/>
        <item x="222"/>
        <item x="205"/>
        <item x="173"/>
        <item x="101"/>
        <item x="168"/>
        <item x="225"/>
        <item x="193"/>
        <item x="145"/>
        <item x="221"/>
        <item x="104"/>
        <item x="172"/>
        <item x="204"/>
        <item x="224"/>
        <item x="208"/>
        <item x="192"/>
        <item x="188"/>
        <item x="245"/>
        <item x="209"/>
        <item x="227"/>
        <item x="220"/>
        <item x="171"/>
        <item x="191"/>
        <item x="243"/>
        <item x="165"/>
        <item x="185"/>
        <item x="223"/>
        <item x="187"/>
        <item x="100"/>
        <item x="226"/>
        <item x="190"/>
        <item x="164"/>
        <item x="184"/>
        <item x="207"/>
        <item x="120"/>
        <item x="140"/>
        <item x="186"/>
        <item x="244"/>
        <item x="99"/>
        <item x="2"/>
        <item x="32"/>
        <item x="56"/>
        <item x="242"/>
        <item x="75"/>
        <item x="160"/>
        <item x="97"/>
        <item x="189"/>
        <item x="73"/>
        <item x="163"/>
        <item x="119"/>
        <item x="183"/>
        <item x="139"/>
        <item x="219"/>
        <item x="98"/>
        <item x="1"/>
        <item x="241"/>
        <item x="31"/>
        <item x="55"/>
        <item x="203"/>
        <item x="161"/>
        <item x="96"/>
        <item x="239"/>
        <item x="72"/>
        <item x="118"/>
        <item x="240"/>
        <item x="138"/>
        <item x="218"/>
        <item x="0"/>
        <item x="74"/>
        <item x="30"/>
        <item x="54"/>
        <item x="202"/>
        <item x="162"/>
        <item x="95"/>
        <item x="238"/>
        <item x="71"/>
        <item t="default"/>
      </items>
    </pivotField>
    <pivotField numFmtId="2" showAll="0">
      <items count="329">
        <item x="227"/>
        <item x="251"/>
        <item x="142"/>
        <item x="143"/>
        <item x="325"/>
        <item x="326"/>
        <item x="327"/>
        <item x="113"/>
        <item x="114"/>
        <item x="168"/>
        <item x="169"/>
        <item x="170"/>
        <item x="110"/>
        <item x="200"/>
        <item x="199"/>
        <item x="198"/>
        <item x="300"/>
        <item x="26"/>
        <item x="56"/>
        <item x="55"/>
        <item x="83"/>
        <item x="82"/>
        <item x="276"/>
        <item x="275"/>
        <item x="226"/>
        <item x="225"/>
        <item x="224"/>
        <item x="250"/>
        <item x="249"/>
        <item x="248"/>
        <item x="141"/>
        <item x="23"/>
        <item x="140"/>
        <item x="324"/>
        <item x="323"/>
        <item x="322"/>
        <item x="51"/>
        <item x="167"/>
        <item x="111"/>
        <item x="166"/>
        <item x="165"/>
        <item x="79"/>
        <item x="197"/>
        <item x="196"/>
        <item x="195"/>
        <item x="299"/>
        <item x="298"/>
        <item x="297"/>
        <item x="25"/>
        <item x="24"/>
        <item x="53"/>
        <item x="274"/>
        <item x="52"/>
        <item x="81"/>
        <item x="273"/>
        <item x="80"/>
        <item x="223"/>
        <item x="272"/>
        <item x="222"/>
        <item x="107"/>
        <item x="221"/>
        <item x="139"/>
        <item x="247"/>
        <item x="321"/>
        <item x="246"/>
        <item x="138"/>
        <item x="162"/>
        <item x="109"/>
        <item x="137"/>
        <item x="320"/>
        <item x="192"/>
        <item x="108"/>
        <item x="163"/>
        <item x="319"/>
        <item x="295"/>
        <item x="193"/>
        <item x="164"/>
        <item x="20"/>
        <item x="194"/>
        <item x="48"/>
        <item x="269"/>
        <item x="76"/>
        <item x="21"/>
        <item x="296"/>
        <item x="219"/>
        <item x="49"/>
        <item x="270"/>
        <item x="22"/>
        <item x="243"/>
        <item x="77"/>
        <item x="134"/>
        <item x="50"/>
        <item x="220"/>
        <item x="316"/>
        <item x="271"/>
        <item x="78"/>
        <item x="159"/>
        <item x="244"/>
        <item x="104"/>
        <item x="189"/>
        <item x="135"/>
        <item x="317"/>
        <item x="293"/>
        <item x="245"/>
        <item x="160"/>
        <item x="105"/>
        <item x="17"/>
        <item x="136"/>
        <item x="45"/>
        <item x="190"/>
        <item x="267"/>
        <item x="318"/>
        <item x="73"/>
        <item x="106"/>
        <item x="217"/>
        <item x="161"/>
        <item x="18"/>
        <item x="191"/>
        <item x="132"/>
        <item x="46"/>
        <item x="74"/>
        <item x="294"/>
        <item x="156"/>
        <item x="101"/>
        <item x="19"/>
        <item x="186"/>
        <item x="241"/>
        <item x="47"/>
        <item x="75"/>
        <item x="268"/>
        <item x="290"/>
        <item x="157"/>
        <item x="218"/>
        <item x="102"/>
        <item x="14"/>
        <item x="242"/>
        <item x="187"/>
        <item x="133"/>
        <item x="42"/>
        <item x="315"/>
        <item x="158"/>
        <item x="103"/>
        <item x="291"/>
        <item x="70"/>
        <item x="265"/>
        <item x="188"/>
        <item x="15"/>
        <item x="215"/>
        <item x="43"/>
        <item x="238"/>
        <item x="292"/>
        <item x="129"/>
        <item x="71"/>
        <item x="16"/>
        <item x="266"/>
        <item x="312"/>
        <item x="216"/>
        <item x="153"/>
        <item x="99"/>
        <item x="44"/>
        <item x="239"/>
        <item x="183"/>
        <item x="130"/>
        <item x="72"/>
        <item x="112"/>
        <item x="288"/>
        <item x="313"/>
        <item x="54"/>
        <item x="11"/>
        <item x="154"/>
        <item x="100"/>
        <item x="240"/>
        <item x="40"/>
        <item x="131"/>
        <item x="184"/>
        <item x="57"/>
        <item x="264"/>
        <item x="69"/>
        <item x="314"/>
        <item x="32"/>
        <item x="155"/>
        <item x="12"/>
        <item x="10"/>
        <item x="62"/>
        <item x="68"/>
        <item x="185"/>
        <item x="38"/>
        <item x="65"/>
        <item x="35"/>
        <item x="289"/>
        <item x="39"/>
        <item x="13"/>
        <item x="5"/>
        <item x="95"/>
        <item x="31"/>
        <item x="179"/>
        <item x="92"/>
        <item x="9"/>
        <item x="8"/>
        <item x="61"/>
        <item x="37"/>
        <item x="64"/>
        <item x="178"/>
        <item x="149"/>
        <item x="41"/>
        <item x="96"/>
        <item x="34"/>
        <item x="98"/>
        <item x="152"/>
        <item x="128"/>
        <item x="176"/>
        <item x="97"/>
        <item x="93"/>
        <item x="263"/>
        <item x="4"/>
        <item x="94"/>
        <item x="90"/>
        <item x="177"/>
        <item x="30"/>
        <item x="66"/>
        <item x="91"/>
        <item x="7"/>
        <item x="67"/>
        <item x="36"/>
        <item x="63"/>
        <item x="123"/>
        <item x="148"/>
        <item x="33"/>
        <item x="175"/>
        <item x="151"/>
        <item x="127"/>
        <item x="209"/>
        <item x="211"/>
        <item x="3"/>
        <item x="182"/>
        <item x="256"/>
        <item x="210"/>
        <item x="122"/>
        <item x="6"/>
        <item x="207"/>
        <item x="208"/>
        <item x="147"/>
        <item x="174"/>
        <item x="180"/>
        <item x="150"/>
        <item x="126"/>
        <item x="282"/>
        <item x="181"/>
        <item x="121"/>
        <item x="255"/>
        <item x="125"/>
        <item x="283"/>
        <item x="214"/>
        <item x="262"/>
        <item x="237"/>
        <item x="281"/>
        <item x="254"/>
        <item x="285"/>
        <item x="124"/>
        <item x="259"/>
        <item x="213"/>
        <item x="236"/>
        <item x="280"/>
        <item x="233"/>
        <item x="261"/>
        <item x="311"/>
        <item x="284"/>
        <item x="212"/>
        <item x="258"/>
        <item x="310"/>
        <item x="309"/>
        <item x="307"/>
        <item x="235"/>
        <item x="232"/>
        <item x="260"/>
        <item x="286"/>
        <item x="206"/>
        <item x="257"/>
        <item x="308"/>
        <item x="230"/>
        <item x="231"/>
        <item x="287"/>
        <item x="234"/>
        <item x="120"/>
        <item x="205"/>
        <item x="306"/>
        <item x="229"/>
        <item x="119"/>
        <item x="89"/>
        <item x="146"/>
        <item x="204"/>
        <item x="173"/>
        <item x="305"/>
        <item x="228"/>
        <item x="118"/>
        <item x="88"/>
        <item x="279"/>
        <item x="145"/>
        <item x="2"/>
        <item x="304"/>
        <item x="172"/>
        <item x="0"/>
        <item x="87"/>
        <item x="144"/>
        <item x="29"/>
        <item x="278"/>
        <item x="27"/>
        <item x="60"/>
        <item x="1"/>
        <item x="171"/>
        <item x="58"/>
        <item x="201"/>
        <item x="277"/>
        <item x="28"/>
        <item x="117"/>
        <item x="253"/>
        <item x="59"/>
        <item x="303"/>
        <item x="202"/>
        <item x="86"/>
        <item x="252"/>
        <item x="116"/>
        <item x="203"/>
        <item x="302"/>
        <item x="85"/>
        <item x="115"/>
        <item x="301"/>
        <item x="84"/>
        <item t="default"/>
      </items>
    </pivotField>
    <pivotField numFmtId="2" showAll="0">
      <items count="310">
        <item x="212"/>
        <item x="213"/>
        <item x="236"/>
        <item x="237"/>
        <item x="138"/>
        <item x="139"/>
        <item x="307"/>
        <item x="140"/>
        <item x="308"/>
        <item x="110"/>
        <item x="111"/>
        <item x="112"/>
        <item x="158"/>
        <item x="159"/>
        <item x="160"/>
        <item x="187"/>
        <item x="188"/>
        <item x="189"/>
        <item x="287"/>
        <item x="288"/>
        <item x="28"/>
        <item x="27"/>
        <item x="57"/>
        <item x="26"/>
        <item x="56"/>
        <item x="55"/>
        <item x="263"/>
        <item x="83"/>
        <item x="58"/>
        <item x="262"/>
        <item x="211"/>
        <item x="235"/>
        <item x="210"/>
        <item x="234"/>
        <item x="137"/>
        <item x="233"/>
        <item x="306"/>
        <item x="109"/>
        <item x="136"/>
        <item x="186"/>
        <item x="108"/>
        <item x="107"/>
        <item x="286"/>
        <item x="25"/>
        <item x="54"/>
        <item x="185"/>
        <item x="157"/>
        <item x="82"/>
        <item x="261"/>
        <item x="285"/>
        <item x="184"/>
        <item x="24"/>
        <item x="284"/>
        <item x="232"/>
        <item x="53"/>
        <item x="23"/>
        <item x="305"/>
        <item x="81"/>
        <item x="106"/>
        <item x="260"/>
        <item x="52"/>
        <item x="155"/>
        <item x="209"/>
        <item x="80"/>
        <item x="181"/>
        <item x="259"/>
        <item x="231"/>
        <item x="208"/>
        <item x="135"/>
        <item x="21"/>
        <item x="49"/>
        <item x="77"/>
        <item x="134"/>
        <item x="156"/>
        <item x="258"/>
        <item x="182"/>
        <item x="207"/>
        <item x="105"/>
        <item x="228"/>
        <item x="131"/>
        <item x="22"/>
        <item x="302"/>
        <item x="102"/>
        <item x="50"/>
        <item x="152"/>
        <item x="183"/>
        <item x="78"/>
        <item x="283"/>
        <item x="281"/>
        <item x="18"/>
        <item x="47"/>
        <item x="51"/>
        <item x="74"/>
        <item x="255"/>
        <item x="229"/>
        <item x="79"/>
        <item x="132"/>
        <item x="130"/>
        <item x="303"/>
        <item x="299"/>
        <item x="99"/>
        <item x="103"/>
        <item x="150"/>
        <item x="153"/>
        <item x="230"/>
        <item x="179"/>
        <item x="133"/>
        <item x="176"/>
        <item x="304"/>
        <item x="19"/>
        <item x="278"/>
        <item x="104"/>
        <item x="15"/>
        <item x="154"/>
        <item x="75"/>
        <item x="44"/>
        <item x="180"/>
        <item x="256"/>
        <item x="282"/>
        <item x="205"/>
        <item x="71"/>
        <item x="20"/>
        <item x="300"/>
        <item x="252"/>
        <item x="100"/>
        <item x="151"/>
        <item x="48"/>
        <item x="203"/>
        <item x="76"/>
        <item x="177"/>
        <item x="257"/>
        <item x="225"/>
        <item x="206"/>
        <item x="227"/>
        <item x="279"/>
        <item x="127"/>
        <item x="16"/>
        <item x="301"/>
        <item x="45"/>
        <item x="101"/>
        <item x="97"/>
        <item x="178"/>
        <item x="72"/>
        <item x="280"/>
        <item x="253"/>
        <item x="204"/>
        <item x="17"/>
        <item x="173"/>
        <item x="226"/>
        <item x="46"/>
        <item x="128"/>
        <item x="275"/>
        <item x="297"/>
        <item x="12"/>
        <item x="73"/>
        <item x="98"/>
        <item x="254"/>
        <item x="42"/>
        <item x="129"/>
        <item x="70"/>
        <item x="174"/>
        <item x="251"/>
        <item x="298"/>
        <item x="276"/>
        <item x="34"/>
        <item x="13"/>
        <item x="11"/>
        <item x="175"/>
        <item x="63"/>
        <item x="277"/>
        <item x="66"/>
        <item x="14"/>
        <item x="40"/>
        <item x="37"/>
        <item x="5"/>
        <item x="95"/>
        <item x="41"/>
        <item x="92"/>
        <item x="68"/>
        <item x="8"/>
        <item x="146"/>
        <item x="126"/>
        <item x="43"/>
        <item x="250"/>
        <item x="166"/>
        <item x="169"/>
        <item x="33"/>
        <item x="69"/>
        <item x="10"/>
        <item x="62"/>
        <item x="65"/>
        <item x="39"/>
        <item x="36"/>
        <item x="149"/>
        <item x="4"/>
        <item x="121"/>
        <item x="94"/>
        <item x="168"/>
        <item x="91"/>
        <item x="32"/>
        <item x="9"/>
        <item x="199"/>
        <item x="7"/>
        <item x="96"/>
        <item x="196"/>
        <item x="145"/>
        <item x="64"/>
        <item x="38"/>
        <item x="172"/>
        <item x="35"/>
        <item x="165"/>
        <item x="3"/>
        <item x="124"/>
        <item x="93"/>
        <item x="90"/>
        <item x="167"/>
        <item x="243"/>
        <item x="67"/>
        <item x="148"/>
        <item x="6"/>
        <item x="120"/>
        <item x="198"/>
        <item x="144"/>
        <item x="125"/>
        <item x="195"/>
        <item x="164"/>
        <item x="269"/>
        <item x="171"/>
        <item x="202"/>
        <item x="147"/>
        <item x="123"/>
        <item x="119"/>
        <item x="197"/>
        <item x="242"/>
        <item x="194"/>
        <item x="170"/>
        <item x="249"/>
        <item x="224"/>
        <item x="246"/>
        <item x="122"/>
        <item x="268"/>
        <item x="201"/>
        <item x="241"/>
        <item x="219"/>
        <item x="295"/>
        <item x="274"/>
        <item x="223"/>
        <item x="267"/>
        <item x="222"/>
        <item x="200"/>
        <item x="271"/>
        <item x="193"/>
        <item x="248"/>
        <item x="245"/>
        <item x="216"/>
        <item x="118"/>
        <item x="218"/>
        <item x="293"/>
        <item x="270"/>
        <item x="247"/>
        <item x="273"/>
        <item x="89"/>
        <item x="244"/>
        <item x="221"/>
        <item x="143"/>
        <item x="217"/>
        <item x="192"/>
        <item x="163"/>
        <item x="296"/>
        <item x="215"/>
        <item x="294"/>
        <item x="266"/>
        <item x="117"/>
        <item x="272"/>
        <item x="2"/>
        <item x="220"/>
        <item x="31"/>
        <item x="88"/>
        <item x="214"/>
        <item x="142"/>
        <item x="61"/>
        <item x="116"/>
        <item x="162"/>
        <item x="265"/>
        <item x="292"/>
        <item x="240"/>
        <item x="87"/>
        <item x="1"/>
        <item x="141"/>
        <item x="190"/>
        <item x="30"/>
        <item x="161"/>
        <item x="264"/>
        <item x="60"/>
        <item x="0"/>
        <item x="115"/>
        <item x="239"/>
        <item x="29"/>
        <item x="291"/>
        <item x="86"/>
        <item x="59"/>
        <item x="238"/>
        <item x="114"/>
        <item x="191"/>
        <item x="290"/>
        <item x="85"/>
        <item x="113"/>
        <item x="289"/>
        <item x="84"/>
        <item t="default"/>
      </items>
    </pivotField>
    <pivotField numFmtId="2" showAll="0">
      <items count="343">
        <item x="232"/>
        <item x="231"/>
        <item x="261"/>
        <item x="230"/>
        <item x="150"/>
        <item x="260"/>
        <item x="149"/>
        <item x="259"/>
        <item x="148"/>
        <item x="341"/>
        <item x="340"/>
        <item x="119"/>
        <item x="118"/>
        <item x="117"/>
        <item x="172"/>
        <item x="173"/>
        <item x="174"/>
        <item x="201"/>
        <item x="202"/>
        <item x="315"/>
        <item x="203"/>
        <item x="316"/>
        <item x="317"/>
        <item x="27"/>
        <item x="28"/>
        <item x="56"/>
        <item x="29"/>
        <item x="57"/>
        <item x="58"/>
        <item x="59"/>
        <item x="86"/>
        <item x="287"/>
        <item x="286"/>
        <item x="285"/>
        <item x="229"/>
        <item x="228"/>
        <item x="258"/>
        <item x="257"/>
        <item x="120"/>
        <item x="146"/>
        <item x="147"/>
        <item x="337"/>
        <item x="338"/>
        <item x="339"/>
        <item x="114"/>
        <item x="115"/>
        <item x="116"/>
        <item x="169"/>
        <item x="170"/>
        <item x="171"/>
        <item x="198"/>
        <item x="312"/>
        <item x="199"/>
        <item x="24"/>
        <item x="53"/>
        <item x="200"/>
        <item x="83"/>
        <item x="313"/>
        <item x="283"/>
        <item x="25"/>
        <item x="54"/>
        <item x="314"/>
        <item x="225"/>
        <item x="84"/>
        <item x="26"/>
        <item x="254"/>
        <item x="55"/>
        <item x="226"/>
        <item x="85"/>
        <item x="255"/>
        <item x="143"/>
        <item x="284"/>
        <item x="256"/>
        <item x="227"/>
        <item x="144"/>
        <item x="145"/>
        <item x="334"/>
        <item x="335"/>
        <item x="111"/>
        <item x="336"/>
        <item x="112"/>
        <item x="113"/>
        <item x="168"/>
        <item x="167"/>
        <item x="197"/>
        <item x="196"/>
        <item x="195"/>
        <item x="311"/>
        <item x="310"/>
        <item x="309"/>
        <item x="21"/>
        <item x="22"/>
        <item x="23"/>
        <item x="50"/>
        <item x="80"/>
        <item x="51"/>
        <item x="280"/>
        <item x="222"/>
        <item x="251"/>
        <item x="52"/>
        <item x="81"/>
        <item x="281"/>
        <item x="223"/>
        <item x="82"/>
        <item x="252"/>
        <item x="332"/>
        <item x="282"/>
        <item x="142"/>
        <item x="224"/>
        <item x="108"/>
        <item x="333"/>
        <item x="164"/>
        <item x="253"/>
        <item x="109"/>
        <item x="192"/>
        <item x="165"/>
        <item x="306"/>
        <item x="18"/>
        <item x="110"/>
        <item x="47"/>
        <item x="193"/>
        <item x="77"/>
        <item x="277"/>
        <item x="166"/>
        <item x="307"/>
        <item x="219"/>
        <item x="248"/>
        <item x="19"/>
        <item x="139"/>
        <item x="48"/>
        <item x="194"/>
        <item x="329"/>
        <item x="105"/>
        <item x="78"/>
        <item x="161"/>
        <item x="278"/>
        <item x="308"/>
        <item x="220"/>
        <item x="20"/>
        <item x="249"/>
        <item x="140"/>
        <item x="189"/>
        <item x="49"/>
        <item x="330"/>
        <item x="303"/>
        <item x="15"/>
        <item x="106"/>
        <item x="79"/>
        <item x="44"/>
        <item x="162"/>
        <item x="279"/>
        <item x="221"/>
        <item x="74"/>
        <item x="275"/>
        <item x="250"/>
        <item x="216"/>
        <item x="190"/>
        <item x="141"/>
        <item x="245"/>
        <item x="331"/>
        <item x="136"/>
        <item x="304"/>
        <item x="16"/>
        <item x="107"/>
        <item x="45"/>
        <item x="163"/>
        <item x="327"/>
        <item x="75"/>
        <item x="102"/>
        <item x="217"/>
        <item x="246"/>
        <item x="191"/>
        <item x="159"/>
        <item x="137"/>
        <item x="305"/>
        <item x="17"/>
        <item x="328"/>
        <item x="187"/>
        <item x="46"/>
        <item x="103"/>
        <item x="276"/>
        <item x="300"/>
        <item x="76"/>
        <item x="12"/>
        <item x="247"/>
        <item x="218"/>
        <item x="42"/>
        <item x="99"/>
        <item x="101"/>
        <item x="73"/>
        <item x="138"/>
        <item x="100"/>
        <item x="274"/>
        <item x="34"/>
        <item x="11"/>
        <item x="301"/>
        <item x="65"/>
        <item x="13"/>
        <item x="104"/>
        <item x="68"/>
        <item x="160"/>
        <item x="40"/>
        <item x="188"/>
        <item x="41"/>
        <item x="37"/>
        <item x="302"/>
        <item x="5"/>
        <item x="10"/>
        <item x="98"/>
        <item x="14"/>
        <item x="95"/>
        <item x="64"/>
        <item x="43"/>
        <item x="71"/>
        <item x="8"/>
        <item x="155"/>
        <item x="135"/>
        <item x="183"/>
        <item x="180"/>
        <item x="67"/>
        <item x="39"/>
        <item x="72"/>
        <item x="36"/>
        <item x="4"/>
        <item x="182"/>
        <item x="97"/>
        <item x="129"/>
        <item x="212"/>
        <item x="158"/>
        <item x="94"/>
        <item x="70"/>
        <item x="210"/>
        <item x="7"/>
        <item x="33"/>
        <item x="273"/>
        <item x="9"/>
        <item x="63"/>
        <item x="134"/>
        <item x="179"/>
        <item x="186"/>
        <item x="132"/>
        <item x="267"/>
        <item x="66"/>
        <item x="244"/>
        <item x="38"/>
        <item x="181"/>
        <item x="128"/>
        <item x="157"/>
        <item x="209"/>
        <item x="293"/>
        <item x="35"/>
        <item x="215"/>
        <item x="185"/>
        <item x="3"/>
        <item x="131"/>
        <item x="96"/>
        <item x="266"/>
        <item x="296"/>
        <item x="93"/>
        <item x="69"/>
        <item x="6"/>
        <item x="243"/>
        <item x="270"/>
        <item x="154"/>
        <item x="133"/>
        <item x="178"/>
        <item x="292"/>
        <item x="214"/>
        <item x="211"/>
        <item x="238"/>
        <item x="326"/>
        <item x="127"/>
        <item x="156"/>
        <item x="184"/>
        <item x="324"/>
        <item x="272"/>
        <item x="130"/>
        <item x="295"/>
        <item x="299"/>
        <item x="241"/>
        <item x="269"/>
        <item x="265"/>
        <item x="208"/>
        <item x="242"/>
        <item x="237"/>
        <item x="235"/>
        <item x="291"/>
        <item x="323"/>
        <item x="213"/>
        <item x="126"/>
        <item x="298"/>
        <item x="240"/>
        <item x="207"/>
        <item x="321"/>
        <item x="271"/>
        <item x="234"/>
        <item x="294"/>
        <item x="268"/>
        <item x="92"/>
        <item x="236"/>
        <item x="125"/>
        <item x="153"/>
        <item x="325"/>
        <item x="320"/>
        <item x="322"/>
        <item x="91"/>
        <item x="297"/>
        <item x="177"/>
        <item x="239"/>
        <item x="152"/>
        <item x="290"/>
        <item x="233"/>
        <item x="2"/>
        <item x="124"/>
        <item x="32"/>
        <item x="176"/>
        <item x="319"/>
        <item x="62"/>
        <item x="264"/>
        <item x="289"/>
        <item x="90"/>
        <item x="204"/>
        <item x="151"/>
        <item x="1"/>
        <item x="123"/>
        <item x="31"/>
        <item x="61"/>
        <item x="263"/>
        <item x="175"/>
        <item x="205"/>
        <item x="89"/>
        <item x="288"/>
        <item x="122"/>
        <item x="0"/>
        <item x="30"/>
        <item x="60"/>
        <item x="88"/>
        <item x="262"/>
        <item x="206"/>
        <item x="121"/>
        <item x="318"/>
        <item x="87"/>
        <item t="default"/>
      </items>
    </pivotField>
    <pivotField numFmtId="2" showAll="0"/>
  </pivotFields>
  <rowFields count="3">
    <field x="28"/>
    <field x="26"/>
    <field x="27"/>
  </rowFields>
  <rowItems count="90">
    <i>
      <x v="23"/>
    </i>
    <i r="1">
      <x v="69"/>
    </i>
    <i r="2">
      <x v="36"/>
    </i>
    <i>
      <x v="26"/>
    </i>
    <i r="1">
      <x v="113"/>
    </i>
    <i r="2">
      <x v="55"/>
    </i>
    <i>
      <x v="30"/>
    </i>
    <i r="1">
      <x v="38"/>
    </i>
    <i r="2">
      <x v="21"/>
    </i>
    <i>
      <x v="31"/>
    </i>
    <i r="1">
      <x v="40"/>
    </i>
    <i r="2">
      <x v="29"/>
    </i>
    <i>
      <x v="32"/>
    </i>
    <i r="1">
      <x v="42"/>
    </i>
    <i r="2">
      <x v="35"/>
    </i>
    <i>
      <x v="34"/>
    </i>
    <i r="1">
      <x v="64"/>
    </i>
    <i r="2">
      <x v="53"/>
    </i>
    <i>
      <x v="45"/>
    </i>
    <i r="1">
      <x v="60"/>
    </i>
    <i r="2">
      <x v="61"/>
    </i>
    <i r="1">
      <x v="107"/>
    </i>
    <i r="2">
      <x v="82"/>
    </i>
    <i>
      <x v="65"/>
    </i>
    <i r="1">
      <x v="137"/>
    </i>
    <i r="2">
      <x v="63"/>
    </i>
    <i>
      <x v="68"/>
    </i>
    <i r="1">
      <x v="104"/>
    </i>
    <i r="2">
      <x v="102"/>
    </i>
    <i>
      <x v="77"/>
    </i>
    <i r="1">
      <x v="175"/>
    </i>
    <i r="2">
      <x v="107"/>
    </i>
    <i>
      <x v="81"/>
    </i>
    <i r="1">
      <x v="144"/>
    </i>
    <i r="2">
      <x v="106"/>
    </i>
    <i>
      <x v="94"/>
    </i>
    <i r="1">
      <x v="212"/>
    </i>
    <i r="2">
      <x v="142"/>
    </i>
    <i>
      <x v="95"/>
    </i>
    <i r="1">
      <x v="152"/>
    </i>
    <i r="2">
      <x v="128"/>
    </i>
    <i>
      <x v="96"/>
    </i>
    <i r="1">
      <x v="146"/>
    </i>
    <i r="2">
      <x v="131"/>
    </i>
    <i>
      <x v="119"/>
    </i>
    <i r="1">
      <x v="225"/>
    </i>
    <i r="2">
      <x v="170"/>
    </i>
    <i>
      <x v="124"/>
    </i>
    <i r="1">
      <x v="169"/>
    </i>
    <i r="2">
      <x v="171"/>
    </i>
    <i>
      <x v="132"/>
    </i>
    <i r="1">
      <x v="260"/>
    </i>
    <i r="2">
      <x v="134"/>
    </i>
    <i>
      <x v="147"/>
    </i>
    <i r="1">
      <x v="187"/>
    </i>
    <i r="2">
      <x v="198"/>
    </i>
    <i>
      <x v="150"/>
    </i>
    <i r="1">
      <x v="258"/>
    </i>
    <i r="2">
      <x v="176"/>
    </i>
    <i>
      <x v="163"/>
    </i>
    <i r="1">
      <x v="256"/>
    </i>
    <i r="2">
      <x v="201"/>
    </i>
    <i>
      <x v="168"/>
    </i>
    <i r="1">
      <x v="293"/>
    </i>
    <i r="2">
      <x v="149"/>
    </i>
    <i>
      <x v="178"/>
    </i>
    <i r="1">
      <x v="289"/>
    </i>
    <i r="2">
      <x v="180"/>
    </i>
    <i>
      <x v="189"/>
    </i>
    <i r="1">
      <x v="287"/>
    </i>
    <i r="2">
      <x v="196"/>
    </i>
    <i>
      <x v="201"/>
    </i>
    <i r="1">
      <x v="318"/>
    </i>
    <i r="2">
      <x v="221"/>
    </i>
    <i>
      <x v="209"/>
    </i>
    <i r="1">
      <x v="310"/>
    </i>
    <i r="2">
      <x v="230"/>
    </i>
    <i>
      <x v="222"/>
    </i>
    <i r="1">
      <x v="350"/>
    </i>
    <i r="2">
      <x v="261"/>
    </i>
    <i>
      <x v="225"/>
    </i>
    <i r="1">
      <x v="306"/>
    </i>
    <i r="2">
      <x v="235"/>
    </i>
    <i>
      <x v="237"/>
    </i>
    <i r="1">
      <x v="341"/>
    </i>
    <i r="2">
      <x v="269"/>
    </i>
    <i>
      <x v="250"/>
    </i>
    <i r="1">
      <x v="336"/>
    </i>
    <i r="2">
      <x v="273"/>
    </i>
    <i t="grand">
      <x/>
    </i>
  </rowItems>
  <colFields count="1">
    <field x="-2"/>
  </colFields>
  <colItems count="3">
    <i>
      <x/>
    </i>
    <i i="1">
      <x v="1"/>
    </i>
    <i i="2">
      <x v="2"/>
    </i>
  </colItems>
  <pageFields count="1">
    <pageField fld="2" hier="-1"/>
  </pageFields>
  <dataFields count="3">
    <dataField name="Sum of Transportation2" fld="28" baseField="0" baseItem="0" numFmtId="2"/>
    <dataField name="Sum of Food" fld="26" baseField="0" baseItem="0" numFmtId="2"/>
    <dataField name="Sum of Energy/Fuel" fld="2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53458A-C94E-462F-80DD-7916F0C4531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33">
    <pivotField showAll="0"/>
    <pivotField axis="axisRow" multipleItemSelectionAllowed="1" showAll="0">
      <items count="12">
        <item h="1" x="7"/>
        <item h="1" x="6"/>
        <item h="1" x="5"/>
        <item h="1" x="4"/>
        <item x="3"/>
        <item x="2"/>
        <item x="1"/>
        <item x="9"/>
        <item x="10"/>
        <item x="0"/>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2" showAll="0"/>
    <pivotField numFmtId="2" showAll="0"/>
    <pivotField dataField="1" numFmtId="2" showAll="0"/>
    <pivotField dataField="1" numFmtId="2" showAll="0"/>
    <pivotField numFmtId="2" showAll="0"/>
    <pivotField numFmtId="2" showAll="0"/>
  </pivotFields>
  <rowFields count="1">
    <field x="1"/>
  </rowFields>
  <rowItems count="7">
    <i>
      <x v="4"/>
    </i>
    <i>
      <x v="5"/>
    </i>
    <i>
      <x v="6"/>
    </i>
    <i>
      <x v="7"/>
    </i>
    <i>
      <x v="8"/>
    </i>
    <i>
      <x v="9"/>
    </i>
    <i t="grand">
      <x/>
    </i>
  </rowItems>
  <colFields count="1">
    <field x="-2"/>
  </colFields>
  <colItems count="3">
    <i>
      <x/>
    </i>
    <i i="1">
      <x v="1"/>
    </i>
    <i i="2">
      <x v="2"/>
    </i>
  </colItems>
  <dataFields count="3">
    <dataField name="Average of Food" fld="26" subtotal="average" baseField="1" baseItem="4" numFmtId="2"/>
    <dataField name="Average of Healthcare" fld="30" subtotal="average" baseField="1" baseItem="4" numFmtId="2"/>
    <dataField name="Average of Housing " fld="29" subtotal="average" baseField="1" baseItem="4"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EB66F-5EF9-4CF6-874E-7D265810CCC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20:G27" firstHeaderRow="0" firstDataRow="1" firstDataCol="1"/>
  <pivotFields count="33">
    <pivotField showAll="0"/>
    <pivotField axis="axisRow" multipleItemSelectionAllowed="1" showAll="0">
      <items count="12">
        <item h="1" x="7"/>
        <item h="1" x="6"/>
        <item h="1" x="5"/>
        <item h="1" x="4"/>
        <item x="3"/>
        <item x="2"/>
        <item x="1"/>
        <item x="9"/>
        <item x="10"/>
        <item x="0"/>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2" showAll="0"/>
    <pivotField numFmtId="2" showAll="0"/>
    <pivotField dataField="1" numFmtId="2" showAll="0"/>
    <pivotField dataField="1" numFmtId="2" showAll="0"/>
    <pivotField numFmtId="2" showAll="0"/>
    <pivotField numFmtId="2" showAll="0"/>
  </pivotFields>
  <rowFields count="1">
    <field x="1"/>
  </rowFields>
  <rowItems count="7">
    <i>
      <x v="4"/>
    </i>
    <i>
      <x v="5"/>
    </i>
    <i>
      <x v="6"/>
    </i>
    <i>
      <x v="7"/>
    </i>
    <i>
      <x v="8"/>
    </i>
    <i>
      <x v="9"/>
    </i>
    <i t="grand">
      <x/>
    </i>
  </rowItems>
  <colFields count="1">
    <field x="-2"/>
  </colFields>
  <colItems count="3">
    <i>
      <x/>
    </i>
    <i i="1">
      <x v="1"/>
    </i>
    <i i="2">
      <x v="2"/>
    </i>
  </colItems>
  <dataFields count="3">
    <dataField name="Average of Food" fld="26" subtotal="average" baseField="1" baseItem="4" numFmtId="2"/>
    <dataField name="Average of Healthcare" fld="30" subtotal="average" baseField="1" baseItem="4" numFmtId="2"/>
    <dataField name="Average of Housing " fld="29" subtotal="average" baseField="1" baseItem="4" numFmtId="2"/>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culate_Each_Price_Index_Category_Percentage_Value" xr10:uid="{52EB9CC8-F02F-49DA-A477-1CD569C31B6F}" sourceName="Calculate Each Price Index Category Percentage Value ">
  <pivotTables>
    <pivotTable tabId="6" name="PivotTable4"/>
  </pivotTables>
  <data>
    <tabular pivotCacheId="1506757668">
      <items count="5">
        <i x="1"/>
        <i x="2" nd="1"/>
        <i x="3" nd="1"/>
        <i x="4" s="1"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_of_Categories" xr10:uid="{A43B5F32-EC73-4EEE-A5A3-9DA97A64E132}" sourceName="List of Categories">
  <pivotTables>
    <pivotTable tabId="6" name="PivotTable4"/>
  </pivotTables>
  <data>
    <tabular pivotCacheId="1506757668">
      <items count="4">
        <i x="0"/>
        <i x="3" nd="1"/>
        <i x="1" s="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culate Each Price Index Category Percentage Value " xr10:uid="{CF512CA8-5C11-49E7-B696-D13C58EEF381}" cache="Slicer_Calculate_Each_Price_Index_Category_Percentage_Value" caption="Calculate Each Price Index Category Percentage Value " rowHeight="234950"/>
  <slicer name="List of Categories" xr10:uid="{1D935EC9-C06C-4A52-9142-DCE98587486D}" cache="Slicer_List_of_Categories" caption="List of Categories" style="SlicerStyleLight4"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D8A6A2-F6B2-487B-A4EC-06FB70F1DC5F}" name="Table14" displayName="Table14" ref="A1:AG373" totalsRowShown="0">
  <autoFilter ref="A1:AG373" xr:uid="{C3D8A6A2-F6B2-487B-A4EC-06FB70F1DC5F}">
    <filterColumn colId="0">
      <filters>
        <filter val="Rural"/>
      </filters>
    </filterColumn>
    <filterColumn colId="1">
      <filters>
        <filter val="2022"/>
      </filters>
    </filterColumn>
    <filterColumn colId="2">
      <filters>
        <filter val="August"/>
        <filter val="December"/>
        <filter val="July"/>
        <filter val="June"/>
        <filter val="May"/>
        <filter val="November"/>
        <filter val="October"/>
        <filter val="September"/>
      </filters>
    </filterColumn>
  </autoFilter>
  <tableColumns count="33">
    <tableColumn id="2" xr3:uid="{2F7DD5FB-49CE-4B5F-8CC2-08C54269863A}" name="Sector"/>
    <tableColumn id="3" xr3:uid="{16D63718-6FD3-453F-B1DC-1CAB560B7EB0}" name="Year"/>
    <tableColumn id="4" xr3:uid="{93C928BF-2D9F-4AD9-9151-D76F74024F36}" name="Month"/>
    <tableColumn id="5" xr3:uid="{0FC68443-1FE1-47B2-9BA4-BF40D5631463}" name="Cereals and products"/>
    <tableColumn id="6" xr3:uid="{4BE8EA24-0317-4953-B643-C3818491DF27}" name="Meat and fish"/>
    <tableColumn id="7" xr3:uid="{1AD91A1C-25B5-40A8-BB4A-BC1B2C1EF7BC}" name="Egg"/>
    <tableColumn id="8" xr3:uid="{BF0F5545-934E-426D-B948-BDAE1E2F5B12}" name="Milk and products"/>
    <tableColumn id="9" xr3:uid="{61095867-7BC2-41B7-922A-F73493384997}" name="Oils and fats"/>
    <tableColumn id="10" xr3:uid="{F977923B-64C3-4769-94DE-07D776297A2B}" name="Fruits"/>
    <tableColumn id="11" xr3:uid="{196E20E6-BD42-495A-9A80-D831D05C07D5}" name="Vegetables"/>
    <tableColumn id="12" xr3:uid="{6146F23E-367B-4E57-980C-DE8256EEB8EB}" name="Pulses and products"/>
    <tableColumn id="13" xr3:uid="{46FD85BD-8EA3-4183-8940-14F366009C63}" name="Sugar and Confectionery"/>
    <tableColumn id="14" xr3:uid="{02048501-27FD-408E-A197-CAD45F5B01BC}" name="Spices"/>
    <tableColumn id="15" xr3:uid="{200FB57A-5218-4EDC-988F-66D42F3DE3AE}" name="Non-alcoholic beverages"/>
    <tableColumn id="16" xr3:uid="{FE0788C5-8237-4EE8-A8FC-27E180B136CB}" name="Prepared meals, snacks, sweets etc."/>
    <tableColumn id="17" xr3:uid="{50F9F81B-4764-4FEB-B44C-9E7A9005162C}" name="Food and beverages"/>
    <tableColumn id="22" xr3:uid="{67BC38EF-5223-4664-B461-34DFBB2FFC2F}" name="Housing"/>
    <tableColumn id="23" xr3:uid="{3DDE7920-B958-4002-9BCE-DC8C7FAEB1F1}" name="Fuel and light"/>
    <tableColumn id="24" xr3:uid="{9CB189B0-01BF-4D79-9833-60145E7B89DD}" name="Household goods and services"/>
    <tableColumn id="25" xr3:uid="{6DBD643A-4819-4632-96B3-497BF0CBE433}" name="Health"/>
    <tableColumn id="26" xr3:uid="{25DD98AB-C190-4937-BF1F-6EF8DC4F565B}" name="Transport and communication"/>
    <tableColumn id="27" xr3:uid="{BB8F000C-90A6-4A46-BE6D-614DC89FF5F0}" name="Recreation and amusement"/>
    <tableColumn id="28" xr3:uid="{2953059A-8B0A-467F-85DA-2983A2C3AE6E}" name="Education"/>
    <tableColumn id="29" xr3:uid="{2ADAD1B5-17DF-4183-969F-D7A08339B134}" name="Personal care and effects"/>
    <tableColumn id="30" xr3:uid="{A7F8A335-F03D-4F58-8F1B-3F3276A91D50}" name="Miscellaneous"/>
    <tableColumn id="31" xr3:uid="{0754A543-4C24-4DE5-A6C1-E582D9D6AA44}" name="General index"/>
    <tableColumn id="1" xr3:uid="{7D5EA149-610C-4A23-8428-053649F45BF6}" name="Food" dataDxfId="20">
      <calculatedColumnFormula>SUM(Table14[[#This Row],[Cereals and products]:[Food and beverages]])/13</calculatedColumnFormula>
    </tableColumn>
    <tableColumn id="18" xr3:uid="{BF4D2A5D-5D5B-4B8B-90A3-C7CB0D8501D7}" name="Energy/Fuel" dataDxfId="19">
      <calculatedColumnFormula>SUM(Table14[[#This Row],[Fuel and light]])</calculatedColumnFormula>
    </tableColumn>
    <tableColumn id="19" xr3:uid="{0687899C-CBBD-4AF2-B053-9AB9626A041A}" name="Transportation" dataDxfId="18">
      <calculatedColumnFormula>SUM(Table14[[#This Row],[Transport and communication]])</calculatedColumnFormula>
    </tableColumn>
    <tableColumn id="20" xr3:uid="{69D8ECD0-53CE-44EC-A9E9-AFBFFF781515}" name="Housing " dataDxfId="17">
      <calculatedColumnFormula>SUM(Table14[[#This Row],[Housing]],Table14[[#This Row],[Household goods and services]])/2</calculatedColumnFormula>
    </tableColumn>
    <tableColumn id="32" xr3:uid="{B502454D-DC83-4098-95C9-8CB46A2C041E}" name="Healthcare" dataDxfId="16">
      <calculatedColumnFormula>SUM(Table14[[#This Row],[Health]])</calculatedColumnFormula>
    </tableColumn>
    <tableColumn id="33" xr3:uid="{8D24AAAD-421D-49D9-83FD-8242631FE125}" name="Education &amp; Recreation " dataDxfId="15">
      <calculatedColumnFormula>SUM(Table14[[#This Row],[Recreation and amusement]],Table14[[#This Row],[Education]])/2</calculatedColumnFormula>
    </tableColumn>
    <tableColumn id="34" xr3:uid="{BA61E9BD-0361-4751-82D2-376BFF081DA1}" name="Others" dataDxfId="14">
      <calculatedColumnFormula>SUM(Table14[[#This Row],[Miscellaneous]],Table14[[#This Row],[Personal care and effects]])/2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E241EE-EEF6-48FF-8084-457596247B5D}" name="Table2" displayName="Table2" ref="A3:AG33" totalsRowShown="0">
  <autoFilter ref="A3:AG33" xr:uid="{63E241EE-EEF6-48FF-8084-457596247B5D}">
    <filterColumn colId="0">
      <filters>
        <filter val="Rural"/>
      </filters>
    </filterColumn>
  </autoFilter>
  <tableColumns count="33">
    <tableColumn id="1" xr3:uid="{1EE2BD50-C58D-4D15-AE3D-52E8815579A1}" name="l"/>
    <tableColumn id="2" xr3:uid="{8B4F2124-31E7-4CFB-9667-E61BB25E79E7}" name="Year"/>
    <tableColumn id="3" xr3:uid="{0E6EAF12-164E-4466-AF1A-A1E0C618ED60}" name="Month"/>
    <tableColumn id="4" xr3:uid="{6A98C9B4-3EFE-40D5-9BAB-D372AF502550}" name="Cereals and products"/>
    <tableColumn id="5" xr3:uid="{0936488E-8787-4E5F-AE12-87DABFA35F31}" name="Meat and fish"/>
    <tableColumn id="6" xr3:uid="{8612C7FA-05A4-4FF1-8275-42648E31D586}" name="Egg"/>
    <tableColumn id="7" xr3:uid="{24598C6A-A7DA-4024-9E2F-53B7FA1DBB51}" name="Milk and products"/>
    <tableColumn id="8" xr3:uid="{EFA18110-8F38-418B-B10F-399B7E58D073}" name="Oils and fats"/>
    <tableColumn id="9" xr3:uid="{15CED9A8-A564-44EA-B131-0B1C0498A1EF}" name="Fruits"/>
    <tableColumn id="10" xr3:uid="{023D69B5-8686-41CA-9F0F-F3ED6288569F}" name="Vegetables"/>
    <tableColumn id="11" xr3:uid="{8DF50E2E-AC4F-4B13-8FD9-8741E256A933}" name="Pulses and products"/>
    <tableColumn id="12" xr3:uid="{132C626E-B9AF-4446-AF32-ACEFD633DE47}" name="Sugar and Confectionery"/>
    <tableColumn id="13" xr3:uid="{1DE4E5A2-D3D0-41C4-9B5B-B415516C58DD}" name="Spices"/>
    <tableColumn id="14" xr3:uid="{59A12671-DEC2-45AC-A11D-31E775D0B07E}" name="Non-alcoholic beverages"/>
    <tableColumn id="15" xr3:uid="{39C19BB1-8E5F-44C2-B004-65D49FCDB23B}" name="Prepared meals, snacks, sweets etc."/>
    <tableColumn id="16" xr3:uid="{6EE4C420-BCF7-4F32-A8A6-B973CB9FD159}" name="Food and beverages"/>
    <tableColumn id="17" xr3:uid="{9C1104A5-54D1-4D90-B0CA-D761F885C203}" name="Housing"/>
    <tableColumn id="18" xr3:uid="{5D437727-8629-40D6-B005-BE7B31FACF26}" name="Fuel and light"/>
    <tableColumn id="19" xr3:uid="{F53DDE80-FA85-4972-9326-90DF9A1179FA}" name="Household goods and services"/>
    <tableColumn id="20" xr3:uid="{9B0E550C-B90C-4A04-B969-AB7AE2166A2B}" name="Health"/>
    <tableColumn id="21" xr3:uid="{4A37D4CF-1E4B-4C83-910D-E364C32B3ADB}" name="Transport and communication"/>
    <tableColumn id="22" xr3:uid="{DD5F8544-0C41-463C-8504-C88029F22D07}" name="Recreation and amusement"/>
    <tableColumn id="23" xr3:uid="{63D21154-901B-495B-8A5B-E288269ADB60}" name="Education"/>
    <tableColumn id="24" xr3:uid="{1D832EEC-C4D2-403F-B727-B75E7C9244BB}" name="Personal care and effects"/>
    <tableColumn id="25" xr3:uid="{434703A4-78E9-47CE-8E9C-BFAA6BE4049D}" name="Miscellaneous"/>
    <tableColumn id="26" xr3:uid="{F07DE209-0B70-47C4-8B9E-8C61D6560B20}" name="General index"/>
    <tableColumn id="27" xr3:uid="{1AD80D0A-02B6-4462-8226-6457C54E250C}" name="Food"/>
    <tableColumn id="28" xr3:uid="{3CB1F456-B772-4561-838F-9DB39B563469}" name="Energy/Fuel"/>
    <tableColumn id="29" xr3:uid="{6819AC18-A880-44A5-96FF-48CC1934D0B0}" name="Transportation"/>
    <tableColumn id="30" xr3:uid="{3C76BCD3-8936-4EBB-B948-9E4D75B59DB1}" name="Housing "/>
    <tableColumn id="31" xr3:uid="{1DD96E14-8D17-4969-A881-30495CD62C5F}" name="Healthcare"/>
    <tableColumn id="32" xr3:uid="{4DFF6FAC-93D0-4A21-B1A1-14F98E4A5BEB}" name="Education &amp; Recreation "/>
    <tableColumn id="33" xr3:uid="{561AA378-E726-41BD-A733-01270E04820B}" name="Othe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CCC8DF-AB10-4D51-AFDA-C24C7FE03469}" name="Table1" displayName="Table1" ref="A1:AG373" totalsRowShown="0">
  <autoFilter ref="A1:AG373" xr:uid="{EDCCC8DF-AB10-4D51-AFDA-C24C7FE03469}">
    <filterColumn colId="0">
      <filters>
        <filter val="Rural+Urban"/>
      </filters>
    </filterColumn>
    <filterColumn colId="1">
      <filters>
        <filter val="2023"/>
      </filters>
    </filterColumn>
  </autoFilter>
  <tableColumns count="33">
    <tableColumn id="2" xr3:uid="{690AF491-2556-474E-98F6-153BEEC31393}" name="Sector"/>
    <tableColumn id="3" xr3:uid="{AE23508E-B4CC-4E1C-AAF1-37614556F3C1}" name="Year"/>
    <tableColumn id="4" xr3:uid="{0E9AAB5D-59FB-4286-BFD5-1E381695D618}" name="Month"/>
    <tableColumn id="5" xr3:uid="{231BD048-F55C-4B8E-9A2F-5A003663EB8E}" name="Cereals and products"/>
    <tableColumn id="6" xr3:uid="{51215117-B8E5-4A77-9B51-278FD4DF69EA}" name="Meat and fish"/>
    <tableColumn id="7" xr3:uid="{5A896DC5-370C-47E1-921B-64AD1805929C}" name="Egg"/>
    <tableColumn id="8" xr3:uid="{8C7FAD78-D0E8-497D-A953-3097813587F1}" name="Milk and products"/>
    <tableColumn id="9" xr3:uid="{0C6D5010-FA4E-43F9-9831-D7399FD6B58C}" name="Oils and fats"/>
    <tableColumn id="10" xr3:uid="{5649391E-132D-4DE3-89A5-A15609FBC889}" name="Fruits"/>
    <tableColumn id="11" xr3:uid="{A18FDF50-CF44-407F-A67D-EA789845AF20}" name="Vegetables"/>
    <tableColumn id="12" xr3:uid="{B171C57C-AE7D-4A2E-A147-FC14194ED564}" name="Pulses and products"/>
    <tableColumn id="13" xr3:uid="{2751394B-3AD9-4C46-B3D0-44C54D28CFEE}" name="Sugar and Confectionery"/>
    <tableColumn id="14" xr3:uid="{2D198CB6-9FF6-406C-A612-369AF0C8CCD4}" name="Spices"/>
    <tableColumn id="15" xr3:uid="{E2C085AA-6445-409B-8660-1BA3BBBF0E3A}" name="Non-alcoholic beverages"/>
    <tableColumn id="16" xr3:uid="{8BD7E563-0545-41EB-A106-A28C5401F264}" name="Prepared meals, snacks, sweets etc."/>
    <tableColumn id="17" xr3:uid="{7BF0E3FD-D6A9-41A0-9796-309C6C825010}" name="Food and beverages"/>
    <tableColumn id="22" xr3:uid="{E6E08E1B-0689-455D-9916-B14F2B65514B}" name="Housing"/>
    <tableColumn id="23" xr3:uid="{64D3C7FD-90E2-407F-AF2A-13D91F73E1D3}" name="Fuel and light"/>
    <tableColumn id="24" xr3:uid="{DCA7D184-4F45-40B9-B7B5-0270F9129F75}" name="Household goods and services"/>
    <tableColumn id="25" xr3:uid="{A4F4C947-4AE7-4196-9E3A-43498E4BDAEB}" name="Health"/>
    <tableColumn id="26" xr3:uid="{A5D62519-9A86-4D6B-A340-F59B850FF786}" name="Transport and communication"/>
    <tableColumn id="27" xr3:uid="{7C07C3AE-35F2-488C-92BE-3C57F42A0A62}" name="Recreation and amusement"/>
    <tableColumn id="28" xr3:uid="{4BA12F37-C248-4AF1-9071-89D3B7F4C91B}" name="Education"/>
    <tableColumn id="29" xr3:uid="{3DD04C1C-44B1-4315-ADCE-1E345C2A9523}" name="Personal care and effects"/>
    <tableColumn id="30" xr3:uid="{C01B2F1F-5951-4DFD-997F-D9C25C343B41}" name="Miscellaneous"/>
    <tableColumn id="31" xr3:uid="{EB558608-528D-43E7-9487-309BF6D48F51}" name="General index"/>
    <tableColumn id="1" xr3:uid="{8B44711C-1064-4077-B462-BD8FA0926C79}" name="Food" dataDxfId="13">
      <calculatedColumnFormula>SUM(Table1[[#This Row],[Cereals and products]:[Food and beverages]])/13</calculatedColumnFormula>
    </tableColumn>
    <tableColumn id="18" xr3:uid="{45415E9A-D36A-4539-8072-3CD874C5BC77}" name="Energy/Fuel" dataDxfId="12">
      <calculatedColumnFormula>SUM(Table1[[#This Row],[Fuel and light]])</calculatedColumnFormula>
    </tableColumn>
    <tableColumn id="19" xr3:uid="{AB3AA502-F338-4623-8D52-64FFF193413C}" name="Transportation" dataDxfId="11">
      <calculatedColumnFormula>SUM(Table1[[#This Row],[Transport and communication]])</calculatedColumnFormula>
    </tableColumn>
    <tableColumn id="20" xr3:uid="{DFB44E68-7FE4-432D-A225-BFE90EB9242A}" name="Housing " dataDxfId="10">
      <calculatedColumnFormula>SUM(Table1[[#This Row],[Housing]],Table1[[#This Row],[Household goods and services]])/2</calculatedColumnFormula>
    </tableColumn>
    <tableColumn id="32" xr3:uid="{F4016271-9CE2-4FA1-95E1-7103F47BE6B9}" name="Healthcare" dataDxfId="9">
      <calculatedColumnFormula>SUM(Table1[[#This Row],[Health]])</calculatedColumnFormula>
    </tableColumn>
    <tableColumn id="33" xr3:uid="{C7CE4FD7-182F-4C54-8713-361AA79998A7}" name="Education &amp; Recreation " dataDxfId="8">
      <calculatedColumnFormula>SUM(Table1[[#This Row],[Recreation and amusement]],Table1[[#This Row],[Education]])/2</calculatedColumnFormula>
    </tableColumn>
    <tableColumn id="34" xr3:uid="{48E95A1D-374F-4530-BB1D-D2A1DB7F7F2C}" name="Others" dataDxfId="7">
      <calculatedColumnFormula>SUM(Table1[[#This Row],[Miscellaneous]],Table1[[#This Row],[Personal care and effects]])/2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8BA20B-8AA1-46BC-A5F5-0C88E92073EC}" name="Table15" displayName="Table15" ref="A1:AG373" totalsRowShown="0">
  <tableColumns count="33">
    <tableColumn id="2" xr3:uid="{EF292FE4-4FB0-41B8-899B-A2C9C52E4ECC}" name="Sector"/>
    <tableColumn id="3" xr3:uid="{44C8938C-29B0-4CDC-BA5B-9F004630D147}" name="Year"/>
    <tableColumn id="4" xr3:uid="{C9335C18-9B6C-4F09-BC68-77824CF0ADF5}" name="Month"/>
    <tableColumn id="5" xr3:uid="{442BAC9A-2A92-442D-A219-3E85D723DA63}" name="Cereals and products"/>
    <tableColumn id="6" xr3:uid="{7DD23ACE-D706-4CE5-A19C-6BCDE4B8CABC}" name="Meat and fish"/>
    <tableColumn id="7" xr3:uid="{2BB7C129-02EC-4E31-958F-8410666D2F0C}" name="Egg"/>
    <tableColumn id="8" xr3:uid="{6384D1AC-D08A-41FE-9D0B-798BA95F106D}" name="Milk and products"/>
    <tableColumn id="9" xr3:uid="{757CE394-14E6-456D-8BEA-8C260F4EFF5B}" name="Oils and fats"/>
    <tableColumn id="10" xr3:uid="{7923827C-7B2E-468E-BDB8-C83709E0C0ED}" name="Fruits"/>
    <tableColumn id="11" xr3:uid="{3A85368B-A95E-406A-AC48-A7292F60A80E}" name="Vegetables"/>
    <tableColumn id="12" xr3:uid="{3C0638DF-8742-4235-8007-C0C9DD02940A}" name="Pulses and products"/>
    <tableColumn id="13" xr3:uid="{041C16E6-2158-46FF-8382-5690D5D7C405}" name="Sugar and Confectionery"/>
    <tableColumn id="14" xr3:uid="{179649A5-5A1A-4F98-BCF9-68027ADB264B}" name="Spices"/>
    <tableColumn id="15" xr3:uid="{70DA9580-9BA0-4C8B-B874-2FDC55BB1687}" name="Non-alcoholic beverages"/>
    <tableColumn id="16" xr3:uid="{27E68201-A786-43E1-85E5-7E17E9E857B2}" name="Prepared meals, snacks, sweets etc."/>
    <tableColumn id="17" xr3:uid="{13DD0277-1CAB-4251-85C1-5B7F1312E9F4}" name="Food and beverages"/>
    <tableColumn id="22" xr3:uid="{81CE9D42-60D9-4804-AB87-D0FDF83E7409}" name="Housing"/>
    <tableColumn id="23" xr3:uid="{3492A6BA-8747-4F0E-B300-B9147947505A}" name="Fuel and light"/>
    <tableColumn id="24" xr3:uid="{A25BADE2-EBEE-48E0-8556-9D04A2E86704}" name="Household goods and services"/>
    <tableColumn id="25" xr3:uid="{4CBEF868-C775-43AA-AE7F-2E0692439380}" name="Health"/>
    <tableColumn id="26" xr3:uid="{349366BE-1B42-4CF0-86E5-1450C78712F7}" name="Transport and communication"/>
    <tableColumn id="27" xr3:uid="{D51CC5CE-7BD4-49FF-9EF5-CC841C9AB899}" name="Recreation and amusement"/>
    <tableColumn id="28" xr3:uid="{91C8626D-27E6-49F6-AE7A-55DB34674D95}" name="Education"/>
    <tableColumn id="29" xr3:uid="{C3A7657C-2FB0-4F8C-B141-F06C7BB20E0A}" name="Personal care and effects"/>
    <tableColumn id="30" xr3:uid="{F0D4377E-B92E-43AE-9D3D-86000B8B55B0}" name="Miscellaneous"/>
    <tableColumn id="31" xr3:uid="{04548E6B-C300-422D-BB17-3E1BC4FA7B31}" name="General index"/>
    <tableColumn id="1" xr3:uid="{BCE9351B-7791-436A-A553-2127B7CCEE52}" name="Food" dataDxfId="6">
      <calculatedColumnFormula>SUM(Table15[[#This Row],[Cereals and products]:[Food and beverages]])/13</calculatedColumnFormula>
    </tableColumn>
    <tableColumn id="18" xr3:uid="{555E274A-49A0-4583-B545-66231EE5E6D0}" name="Energy/Fuel" dataDxfId="5">
      <calculatedColumnFormula>SUM(Table15[[#This Row],[Fuel and light]])</calculatedColumnFormula>
    </tableColumn>
    <tableColumn id="19" xr3:uid="{A3F14B33-80CC-46AD-A847-AF39FA12B1D9}" name="Transportation" dataDxfId="4">
      <calculatedColumnFormula>SUM(Table15[[#This Row],[Transport and communication]])</calculatedColumnFormula>
    </tableColumn>
    <tableColumn id="20" xr3:uid="{0DE51221-2A62-42BA-B135-822B4C3421A3}" name="Housing " dataDxfId="3">
      <calculatedColumnFormula>SUM(Table15[[#This Row],[Housing]],Table15[[#This Row],[Household goods and services]])/2</calculatedColumnFormula>
    </tableColumn>
    <tableColumn id="32" xr3:uid="{02E3D7FA-49A3-4734-9B18-00A850B40B04}" name="Healthcare" dataDxfId="2">
      <calculatedColumnFormula>SUM(Table15[[#This Row],[Health]])</calculatedColumnFormula>
    </tableColumn>
    <tableColumn id="33" xr3:uid="{EADFE822-AD51-4B1E-A500-B846373245F8}" name="Education &amp; Recreation " dataDxfId="1">
      <calculatedColumnFormula>SUM(Table15[[#This Row],[Recreation and amusement]],Table15[[#This Row],[Education]])/2</calculatedColumnFormula>
    </tableColumn>
    <tableColumn id="34" xr3:uid="{C2486D42-0232-41BB-8D6F-80A83C83B973}" name="Others" dataDxfId="0">
      <calculatedColumnFormula>SUM(Table15[[#This Row],[Miscellaneous]],Table15[[#This Row],[Personal care and effects]])/2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1B13-A5D7-4B7A-A664-FDB0CE57A563}">
  <dimension ref="A1:AG373"/>
  <sheetViews>
    <sheetView topLeftCell="B1" workbookViewId="0">
      <selection activeCell="H379" sqref="H379"/>
    </sheetView>
  </sheetViews>
  <sheetFormatPr defaultRowHeight="14.4" x14ac:dyDescent="0.3"/>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36" t="s">
        <v>26</v>
      </c>
      <c r="AB1" s="36" t="s">
        <v>27</v>
      </c>
      <c r="AC1" s="36" t="s">
        <v>28</v>
      </c>
      <c r="AD1" s="36" t="s">
        <v>29</v>
      </c>
      <c r="AE1" s="36" t="s">
        <v>30</v>
      </c>
      <c r="AF1" s="36" t="s">
        <v>31</v>
      </c>
      <c r="AG1" s="36" t="s">
        <v>32</v>
      </c>
    </row>
    <row r="2" spans="1:33" x14ac:dyDescent="0.3">
      <c r="A2" t="s">
        <v>33</v>
      </c>
      <c r="B2">
        <v>2022</v>
      </c>
      <c r="C2" t="s">
        <v>34</v>
      </c>
      <c r="D2">
        <v>162.9</v>
      </c>
      <c r="E2">
        <v>206.7</v>
      </c>
      <c r="F2">
        <v>169</v>
      </c>
      <c r="G2">
        <v>169.5</v>
      </c>
      <c r="H2">
        <v>194.1</v>
      </c>
      <c r="I2">
        <v>164.1</v>
      </c>
      <c r="J2">
        <v>176.9</v>
      </c>
      <c r="K2">
        <v>169</v>
      </c>
      <c r="L2">
        <v>120.8</v>
      </c>
      <c r="M2">
        <v>199.1</v>
      </c>
      <c r="N2">
        <v>175.4</v>
      </c>
      <c r="O2">
        <v>184.8</v>
      </c>
      <c r="P2">
        <v>175.5</v>
      </c>
      <c r="Q2">
        <v>162.1</v>
      </c>
      <c r="R2">
        <v>179.7</v>
      </c>
      <c r="S2">
        <v>173.6</v>
      </c>
      <c r="T2">
        <v>180.2</v>
      </c>
      <c r="U2">
        <v>166.9</v>
      </c>
      <c r="V2">
        <v>170</v>
      </c>
      <c r="W2">
        <v>176.2</v>
      </c>
      <c r="X2">
        <v>170.8</v>
      </c>
      <c r="Y2">
        <v>173.1</v>
      </c>
      <c r="Z2">
        <v>176.4</v>
      </c>
      <c r="AA2" s="1">
        <f>SUM(Table14[[#This Row],[Cereals and products]:[Food and beverages]])/13</f>
        <v>174.44615384615386</v>
      </c>
      <c r="AB2" s="1">
        <f>SUM(Table14[[#This Row],[Fuel and light]])</f>
        <v>179.7</v>
      </c>
      <c r="AC2" s="1">
        <f>SUM(Table14[[#This Row],[Transport and communication]])</f>
        <v>166.9</v>
      </c>
      <c r="AD2" s="1">
        <f>SUM(Table14[[#This Row],[Housing]],Table14[[#This Row],[Household goods and services]])/2</f>
        <v>167.85</v>
      </c>
      <c r="AE2" s="1">
        <f>SUM(Table14[[#This Row],[Health]])</f>
        <v>180.2</v>
      </c>
      <c r="AF2" s="1">
        <f>SUM(Table14[[#This Row],[Recreation and amusement]],Table14[[#This Row],[Education]])/2</f>
        <v>173.1</v>
      </c>
      <c r="AG2" s="1">
        <f>SUM(Table14[[#This Row],[Miscellaneous]],Table14[[#This Row],[Personal care and effects]])/2</f>
        <v>171.95</v>
      </c>
    </row>
    <row r="3" spans="1:33" hidden="1" x14ac:dyDescent="0.3">
      <c r="A3" t="s">
        <v>35</v>
      </c>
      <c r="B3">
        <v>2022</v>
      </c>
      <c r="C3" t="s">
        <v>34</v>
      </c>
      <c r="D3">
        <v>163.5</v>
      </c>
      <c r="E3">
        <v>209.2</v>
      </c>
      <c r="F3">
        <v>169.7</v>
      </c>
      <c r="G3">
        <v>169.7</v>
      </c>
      <c r="H3">
        <v>188.7</v>
      </c>
      <c r="I3">
        <v>165.7</v>
      </c>
      <c r="J3">
        <v>191.8</v>
      </c>
      <c r="K3">
        <v>169.1</v>
      </c>
      <c r="L3">
        <v>121.6</v>
      </c>
      <c r="M3">
        <v>197.3</v>
      </c>
      <c r="N3">
        <v>169.4</v>
      </c>
      <c r="O3">
        <v>187.4</v>
      </c>
      <c r="P3">
        <v>177.8</v>
      </c>
      <c r="Q3">
        <v>169.5</v>
      </c>
      <c r="R3">
        <v>179.5</v>
      </c>
      <c r="S3">
        <v>169.5</v>
      </c>
      <c r="T3">
        <v>177.8</v>
      </c>
      <c r="U3">
        <v>162.30000000000001</v>
      </c>
      <c r="V3">
        <v>167.6</v>
      </c>
      <c r="W3">
        <v>173.1</v>
      </c>
      <c r="X3">
        <v>170.9</v>
      </c>
      <c r="Y3">
        <v>169.7</v>
      </c>
      <c r="Z3">
        <v>175.3</v>
      </c>
      <c r="AA3" s="1">
        <f>SUM(Table14[[#This Row],[Cereals and products]:[Food and beverages]])/13</f>
        <v>175.45384615384617</v>
      </c>
      <c r="AB3" s="1">
        <f>SUM(Table14[[#This Row],[Fuel and light]])</f>
        <v>179.5</v>
      </c>
      <c r="AC3" s="1">
        <f>SUM(Table14[[#This Row],[Transport and communication]])</f>
        <v>162.30000000000001</v>
      </c>
      <c r="AD3" s="1">
        <f>SUM(Table14[[#This Row],[Housing]],Table14[[#This Row],[Household goods and services]])/2</f>
        <v>169.5</v>
      </c>
      <c r="AE3" s="1">
        <f>SUM(Table14[[#This Row],[Health]])</f>
        <v>177.8</v>
      </c>
      <c r="AF3" s="1">
        <f>SUM(Table14[[#This Row],[Recreation and amusement]],Table14[[#This Row],[Education]])/2</f>
        <v>170.35</v>
      </c>
      <c r="AG3" s="1">
        <f>SUM(Table14[[#This Row],[Miscellaneous]],Table14[[#This Row],[Personal care and effects]])/2</f>
        <v>170.3</v>
      </c>
    </row>
    <row r="4" spans="1:33" hidden="1" x14ac:dyDescent="0.3">
      <c r="A4" t="s">
        <v>36</v>
      </c>
      <c r="B4">
        <v>2022</v>
      </c>
      <c r="C4" t="s">
        <v>34</v>
      </c>
      <c r="D4">
        <v>164.9</v>
      </c>
      <c r="E4">
        <v>213.7</v>
      </c>
      <c r="F4">
        <v>170.9</v>
      </c>
      <c r="G4">
        <v>170.1</v>
      </c>
      <c r="H4">
        <v>179.3</v>
      </c>
      <c r="I4">
        <v>167.5</v>
      </c>
      <c r="J4">
        <v>220.8</v>
      </c>
      <c r="K4">
        <v>169.2</v>
      </c>
      <c r="L4">
        <v>123.1</v>
      </c>
      <c r="M4">
        <v>193.6</v>
      </c>
      <c r="N4">
        <v>161.1</v>
      </c>
      <c r="O4">
        <v>190.4</v>
      </c>
      <c r="P4">
        <v>181.8</v>
      </c>
      <c r="Q4">
        <v>169.5</v>
      </c>
      <c r="R4">
        <v>179.2</v>
      </c>
      <c r="S4">
        <v>165</v>
      </c>
      <c r="T4">
        <v>173.8</v>
      </c>
      <c r="U4">
        <v>158.19999999999999</v>
      </c>
      <c r="V4">
        <v>165.8</v>
      </c>
      <c r="W4">
        <v>170.9</v>
      </c>
      <c r="X4">
        <v>171.1</v>
      </c>
      <c r="Y4">
        <v>166.1</v>
      </c>
      <c r="Z4">
        <v>174.1</v>
      </c>
      <c r="AA4" s="1">
        <f>SUM(Table14[[#This Row],[Cereals and products]:[Food and beverages]])/13</f>
        <v>177.41538461538462</v>
      </c>
      <c r="AB4" s="1">
        <f>SUM(Table14[[#This Row],[Fuel and light]])</f>
        <v>179.2</v>
      </c>
      <c r="AC4" s="1">
        <f>SUM(Table14[[#This Row],[Transport and communication]])</f>
        <v>158.19999999999999</v>
      </c>
      <c r="AD4" s="1">
        <f>SUM(Table14[[#This Row],[Housing]],Table14[[#This Row],[Household goods and services]])/2</f>
        <v>167.25</v>
      </c>
      <c r="AE4" s="1">
        <f>SUM(Table14[[#This Row],[Health]])</f>
        <v>173.8</v>
      </c>
      <c r="AF4" s="1">
        <f>SUM(Table14[[#This Row],[Recreation and amusement]],Table14[[#This Row],[Education]])/2</f>
        <v>168.35000000000002</v>
      </c>
      <c r="AG4" s="1">
        <f>SUM(Table14[[#This Row],[Miscellaneous]],Table14[[#This Row],[Personal care and effects]])/2</f>
        <v>168.6</v>
      </c>
    </row>
    <row r="5" spans="1:33" hidden="1" x14ac:dyDescent="0.3">
      <c r="A5" t="s">
        <v>33</v>
      </c>
      <c r="B5">
        <v>2019</v>
      </c>
      <c r="C5" t="s">
        <v>37</v>
      </c>
      <c r="D5">
        <v>139.19999999999999</v>
      </c>
      <c r="E5">
        <v>161.9</v>
      </c>
      <c r="F5">
        <v>137.1</v>
      </c>
      <c r="G5">
        <v>144.6</v>
      </c>
      <c r="H5">
        <v>124.7</v>
      </c>
      <c r="I5">
        <v>145.5</v>
      </c>
      <c r="J5">
        <v>156.19999999999999</v>
      </c>
      <c r="K5">
        <v>131.5</v>
      </c>
      <c r="L5">
        <v>111.7</v>
      </c>
      <c r="M5">
        <v>142.69999999999999</v>
      </c>
      <c r="N5">
        <v>138.5</v>
      </c>
      <c r="O5">
        <v>156.9</v>
      </c>
      <c r="P5">
        <v>144</v>
      </c>
      <c r="Q5">
        <f>AVERAGE(Q6:Q7)</f>
        <v>151.6</v>
      </c>
      <c r="R5">
        <v>146.4</v>
      </c>
      <c r="S5">
        <v>150.19999999999999</v>
      </c>
      <c r="T5">
        <v>152.69999999999999</v>
      </c>
      <c r="U5">
        <v>131.4</v>
      </c>
      <c r="V5">
        <v>148</v>
      </c>
      <c r="W5">
        <v>159.69999999999999</v>
      </c>
      <c r="X5">
        <v>138.80000000000001</v>
      </c>
      <c r="Y5">
        <v>144.9</v>
      </c>
      <c r="Z5">
        <v>145.69999999999999</v>
      </c>
      <c r="AA5" s="1">
        <f>SUM(Table14[[#This Row],[Cereals and products]:[Food and beverages]])/13</f>
        <v>141.11538461538464</v>
      </c>
      <c r="AB5" s="1">
        <f>SUM(Table14[[#This Row],[Fuel and light]])</f>
        <v>146.4</v>
      </c>
      <c r="AC5" s="1">
        <f>SUM(Table14[[#This Row],[Transport and communication]])</f>
        <v>131.4</v>
      </c>
      <c r="AD5" s="1">
        <f>SUM(Table14[[#This Row],[Housing]],Table14[[#This Row],[Household goods and services]])/2</f>
        <v>150.89999999999998</v>
      </c>
      <c r="AE5" s="1">
        <f>SUM(Table14[[#This Row],[Health]])</f>
        <v>152.69999999999999</v>
      </c>
      <c r="AF5" s="1">
        <f>SUM(Table14[[#This Row],[Recreation and amusement]],Table14[[#This Row],[Education]])/2</f>
        <v>153.85</v>
      </c>
      <c r="AG5" s="1">
        <f>SUM(Table14[[#This Row],[Miscellaneous]],Table14[[#This Row],[Personal care and effects]])/2</f>
        <v>141.85000000000002</v>
      </c>
    </row>
    <row r="6" spans="1:33" hidden="1" x14ac:dyDescent="0.3">
      <c r="A6" t="s">
        <v>35</v>
      </c>
      <c r="B6">
        <v>2019</v>
      </c>
      <c r="C6" t="s">
        <v>37</v>
      </c>
      <c r="D6">
        <v>140.1</v>
      </c>
      <c r="E6">
        <v>160.6</v>
      </c>
      <c r="F6">
        <v>138.5</v>
      </c>
      <c r="G6">
        <v>144.69999999999999</v>
      </c>
      <c r="H6">
        <v>122.9</v>
      </c>
      <c r="I6">
        <v>149.4</v>
      </c>
      <c r="J6">
        <v>167.4</v>
      </c>
      <c r="K6">
        <v>130.9</v>
      </c>
      <c r="L6">
        <v>112</v>
      </c>
      <c r="M6">
        <v>142.6</v>
      </c>
      <c r="N6">
        <v>134.9</v>
      </c>
      <c r="O6">
        <v>156.6</v>
      </c>
      <c r="P6">
        <v>145.9</v>
      </c>
      <c r="Q6">
        <v>151.6</v>
      </c>
      <c r="R6">
        <v>138.5</v>
      </c>
      <c r="S6">
        <v>144.5</v>
      </c>
      <c r="T6">
        <v>148.5</v>
      </c>
      <c r="U6">
        <v>125.8</v>
      </c>
      <c r="V6">
        <v>140.9</v>
      </c>
      <c r="W6">
        <v>154.9</v>
      </c>
      <c r="X6">
        <v>138.4</v>
      </c>
      <c r="Y6">
        <v>140.19999999999999</v>
      </c>
      <c r="Z6">
        <v>145</v>
      </c>
      <c r="AA6" s="1">
        <f>SUM(Table14[[#This Row],[Cereals and products]:[Food and beverages]])/13</f>
        <v>142.03846153846155</v>
      </c>
      <c r="AB6" s="1">
        <f>SUM(Table14[[#This Row],[Fuel and light]])</f>
        <v>138.5</v>
      </c>
      <c r="AC6" s="1">
        <f>SUM(Table14[[#This Row],[Transport and communication]])</f>
        <v>125.8</v>
      </c>
      <c r="AD6" s="1">
        <f>SUM(Table14[[#This Row],[Housing]],Table14[[#This Row],[Household goods and services]])/2</f>
        <v>148.05000000000001</v>
      </c>
      <c r="AE6" s="1">
        <f>SUM(Table14[[#This Row],[Health]])</f>
        <v>148.5</v>
      </c>
      <c r="AF6" s="1">
        <f>SUM(Table14[[#This Row],[Recreation and amusement]],Table14[[#This Row],[Education]])/2</f>
        <v>147.9</v>
      </c>
      <c r="AG6" s="1">
        <f>SUM(Table14[[#This Row],[Miscellaneous]],Table14[[#This Row],[Personal care and effects]])/2</f>
        <v>139.30000000000001</v>
      </c>
    </row>
    <row r="7" spans="1:33" hidden="1" x14ac:dyDescent="0.3">
      <c r="A7" t="s">
        <v>36</v>
      </c>
      <c r="B7">
        <v>2019</v>
      </c>
      <c r="C7" t="s">
        <v>37</v>
      </c>
      <c r="D7">
        <v>142.1</v>
      </c>
      <c r="E7">
        <v>158.30000000000001</v>
      </c>
      <c r="F7">
        <v>140.80000000000001</v>
      </c>
      <c r="G7">
        <v>144.9</v>
      </c>
      <c r="H7">
        <v>119.9</v>
      </c>
      <c r="I7">
        <v>153.9</v>
      </c>
      <c r="J7">
        <v>189.1</v>
      </c>
      <c r="K7">
        <v>129.80000000000001</v>
      </c>
      <c r="L7">
        <v>112.7</v>
      </c>
      <c r="M7">
        <v>142.5</v>
      </c>
      <c r="N7">
        <v>129.80000000000001</v>
      </c>
      <c r="O7">
        <v>156.19999999999999</v>
      </c>
      <c r="P7">
        <v>149.1</v>
      </c>
      <c r="Q7">
        <v>151.6</v>
      </c>
      <c r="R7">
        <v>125.5</v>
      </c>
      <c r="S7">
        <v>138.1</v>
      </c>
      <c r="T7">
        <v>141.5</v>
      </c>
      <c r="U7">
        <v>120.8</v>
      </c>
      <c r="V7">
        <v>135.4</v>
      </c>
      <c r="W7">
        <v>151.5</v>
      </c>
      <c r="X7">
        <v>137.80000000000001</v>
      </c>
      <c r="Y7">
        <v>135.30000000000001</v>
      </c>
      <c r="Z7">
        <v>144.19999999999999</v>
      </c>
      <c r="AA7" s="1">
        <f>SUM(Table14[[#This Row],[Cereals and products]:[Food and beverages]])/13</f>
        <v>143.77692307692308</v>
      </c>
      <c r="AB7" s="1">
        <f>SUM(Table14[[#This Row],[Fuel and light]])</f>
        <v>125.5</v>
      </c>
      <c r="AC7" s="1">
        <f>SUM(Table14[[#This Row],[Transport and communication]])</f>
        <v>120.8</v>
      </c>
      <c r="AD7" s="1">
        <f>SUM(Table14[[#This Row],[Housing]],Table14[[#This Row],[Household goods and services]])/2</f>
        <v>144.85</v>
      </c>
      <c r="AE7" s="1">
        <f>SUM(Table14[[#This Row],[Health]])</f>
        <v>141.5</v>
      </c>
      <c r="AF7" s="1">
        <f>SUM(Table14[[#This Row],[Recreation and amusement]],Table14[[#This Row],[Education]])/2</f>
        <v>143.44999999999999</v>
      </c>
      <c r="AG7" s="1">
        <f>SUM(Table14[[#This Row],[Miscellaneous]],Table14[[#This Row],[Personal care and effects]])/2</f>
        <v>136.55000000000001</v>
      </c>
    </row>
    <row r="8" spans="1:33" hidden="1" x14ac:dyDescent="0.3">
      <c r="A8" t="s">
        <v>33</v>
      </c>
      <c r="B8">
        <v>2019</v>
      </c>
      <c r="C8" t="s">
        <v>38</v>
      </c>
      <c r="D8">
        <v>142.80000000000001</v>
      </c>
      <c r="E8">
        <v>165.3</v>
      </c>
      <c r="F8">
        <v>149.5</v>
      </c>
      <c r="G8">
        <v>148.69999999999999</v>
      </c>
      <c r="H8">
        <v>127.5</v>
      </c>
      <c r="I8">
        <v>144.30000000000001</v>
      </c>
      <c r="J8">
        <v>209.5</v>
      </c>
      <c r="K8">
        <v>138.80000000000001</v>
      </c>
      <c r="L8">
        <v>113.6</v>
      </c>
      <c r="M8">
        <v>149.1</v>
      </c>
      <c r="N8">
        <v>139.30000000000001</v>
      </c>
      <c r="O8">
        <v>158.30000000000001</v>
      </c>
      <c r="P8">
        <v>154.30000000000001</v>
      </c>
      <c r="Q8">
        <f>AVERAGE(Q9:Q10)</f>
        <v>152.80000000000001</v>
      </c>
      <c r="R8">
        <v>149.9</v>
      </c>
      <c r="S8">
        <v>151.19999999999999</v>
      </c>
      <c r="T8">
        <v>154.80000000000001</v>
      </c>
      <c r="U8">
        <v>135</v>
      </c>
      <c r="V8">
        <v>149.5</v>
      </c>
      <c r="W8">
        <v>161.1</v>
      </c>
      <c r="X8">
        <v>140.6</v>
      </c>
      <c r="Y8">
        <v>147.1</v>
      </c>
      <c r="Z8">
        <v>152.30000000000001</v>
      </c>
      <c r="AA8" s="1">
        <f>SUM(Table14[[#This Row],[Cereals and products]:[Food and beverages]])/13</f>
        <v>149.30769230769226</v>
      </c>
      <c r="AB8" s="1">
        <f>SUM(Table14[[#This Row],[Fuel and light]])</f>
        <v>149.9</v>
      </c>
      <c r="AC8" s="1">
        <f>SUM(Table14[[#This Row],[Transport and communication]])</f>
        <v>135</v>
      </c>
      <c r="AD8" s="1">
        <f>SUM(Table14[[#This Row],[Housing]],Table14[[#This Row],[Household goods and services]])/2</f>
        <v>152</v>
      </c>
      <c r="AE8" s="1">
        <f>SUM(Table14[[#This Row],[Health]])</f>
        <v>154.80000000000001</v>
      </c>
      <c r="AF8" s="1">
        <f>SUM(Table14[[#This Row],[Recreation and amusement]],Table14[[#This Row],[Education]])/2</f>
        <v>155.30000000000001</v>
      </c>
      <c r="AG8" s="1">
        <f>SUM(Table14[[#This Row],[Miscellaneous]],Table14[[#This Row],[Personal care and effects]])/2</f>
        <v>143.85</v>
      </c>
    </row>
    <row r="9" spans="1:33" hidden="1" x14ac:dyDescent="0.3">
      <c r="A9" t="s">
        <v>35</v>
      </c>
      <c r="B9">
        <v>2019</v>
      </c>
      <c r="C9" t="s">
        <v>38</v>
      </c>
      <c r="D9">
        <v>143.5</v>
      </c>
      <c r="E9">
        <v>165</v>
      </c>
      <c r="F9">
        <v>151.1</v>
      </c>
      <c r="G9">
        <v>148.30000000000001</v>
      </c>
      <c r="H9">
        <v>125.7</v>
      </c>
      <c r="I9">
        <v>145.69999999999999</v>
      </c>
      <c r="J9">
        <v>217</v>
      </c>
      <c r="K9">
        <v>138.30000000000001</v>
      </c>
      <c r="L9">
        <v>114</v>
      </c>
      <c r="M9">
        <v>148.69999999999999</v>
      </c>
      <c r="N9">
        <v>135.80000000000001</v>
      </c>
      <c r="O9">
        <v>158</v>
      </c>
      <c r="P9">
        <v>155</v>
      </c>
      <c r="Q9">
        <v>152.80000000000001</v>
      </c>
      <c r="R9">
        <v>143.69999999999999</v>
      </c>
      <c r="S9">
        <v>145.80000000000001</v>
      </c>
      <c r="T9">
        <v>150.4</v>
      </c>
      <c r="U9">
        <v>129.80000000000001</v>
      </c>
      <c r="V9">
        <v>142.30000000000001</v>
      </c>
      <c r="W9">
        <v>155.69999999999999</v>
      </c>
      <c r="X9">
        <v>140.4</v>
      </c>
      <c r="Y9">
        <v>142.5</v>
      </c>
      <c r="Z9">
        <v>150.4</v>
      </c>
      <c r="AA9" s="1">
        <f>SUM(Table14[[#This Row],[Cereals and products]:[Food and beverages]])/13</f>
        <v>149.70000000000002</v>
      </c>
      <c r="AB9" s="1">
        <f>SUM(Table14[[#This Row],[Fuel and light]])</f>
        <v>143.69999999999999</v>
      </c>
      <c r="AC9" s="1">
        <f>SUM(Table14[[#This Row],[Transport and communication]])</f>
        <v>129.80000000000001</v>
      </c>
      <c r="AD9" s="1">
        <f>SUM(Table14[[#This Row],[Housing]],Table14[[#This Row],[Household goods and services]])/2</f>
        <v>149.30000000000001</v>
      </c>
      <c r="AE9" s="1">
        <f>SUM(Table14[[#This Row],[Health]])</f>
        <v>150.4</v>
      </c>
      <c r="AF9" s="1">
        <f>SUM(Table14[[#This Row],[Recreation and amusement]],Table14[[#This Row],[Education]])/2</f>
        <v>149</v>
      </c>
      <c r="AG9" s="1">
        <f>SUM(Table14[[#This Row],[Miscellaneous]],Table14[[#This Row],[Personal care and effects]])/2</f>
        <v>141.44999999999999</v>
      </c>
    </row>
    <row r="10" spans="1:33" hidden="1" x14ac:dyDescent="0.3">
      <c r="A10" t="s">
        <v>36</v>
      </c>
      <c r="B10">
        <v>2019</v>
      </c>
      <c r="C10" t="s">
        <v>38</v>
      </c>
      <c r="D10">
        <v>144.9</v>
      </c>
      <c r="E10">
        <v>164.5</v>
      </c>
      <c r="F10">
        <v>153.69999999999999</v>
      </c>
      <c r="G10">
        <v>147.5</v>
      </c>
      <c r="H10">
        <v>122.7</v>
      </c>
      <c r="I10">
        <v>147.19999999999999</v>
      </c>
      <c r="J10">
        <v>231.5</v>
      </c>
      <c r="K10">
        <v>137.19999999999999</v>
      </c>
      <c r="L10">
        <v>114.7</v>
      </c>
      <c r="M10">
        <v>148</v>
      </c>
      <c r="N10">
        <v>130.80000000000001</v>
      </c>
      <c r="O10">
        <v>157.69999999999999</v>
      </c>
      <c r="P10">
        <v>156.30000000000001</v>
      </c>
      <c r="Q10">
        <v>152.80000000000001</v>
      </c>
      <c r="R10">
        <v>133.6</v>
      </c>
      <c r="S10">
        <v>139.80000000000001</v>
      </c>
      <c r="T10">
        <v>143.19999999999999</v>
      </c>
      <c r="U10">
        <v>125.2</v>
      </c>
      <c r="V10">
        <v>136.80000000000001</v>
      </c>
      <c r="W10">
        <v>151.9</v>
      </c>
      <c r="X10">
        <v>140.19999999999999</v>
      </c>
      <c r="Y10">
        <v>137.69999999999999</v>
      </c>
      <c r="Z10">
        <v>148.30000000000001</v>
      </c>
      <c r="AA10" s="1">
        <f>SUM(Table14[[#This Row],[Cereals and products]:[Food and beverages]])/13</f>
        <v>150.51538461538462</v>
      </c>
      <c r="AB10" s="1">
        <f>SUM(Table14[[#This Row],[Fuel and light]])</f>
        <v>133.6</v>
      </c>
      <c r="AC10" s="1">
        <f>SUM(Table14[[#This Row],[Transport and communication]])</f>
        <v>125.2</v>
      </c>
      <c r="AD10" s="1">
        <f>SUM(Table14[[#This Row],[Housing]],Table14[[#This Row],[Household goods and services]])/2</f>
        <v>146.30000000000001</v>
      </c>
      <c r="AE10" s="1">
        <f>SUM(Table14[[#This Row],[Health]])</f>
        <v>143.19999999999999</v>
      </c>
      <c r="AF10" s="1">
        <f>SUM(Table14[[#This Row],[Recreation and amusement]],Table14[[#This Row],[Education]])/2</f>
        <v>144.35000000000002</v>
      </c>
      <c r="AG10" s="1">
        <f>SUM(Table14[[#This Row],[Miscellaneous]],Table14[[#This Row],[Personal care and effects]])/2</f>
        <v>138.94999999999999</v>
      </c>
    </row>
    <row r="11" spans="1:33" hidden="1" x14ac:dyDescent="0.3">
      <c r="A11" t="s">
        <v>33</v>
      </c>
      <c r="B11">
        <v>2019</v>
      </c>
      <c r="C11" t="s">
        <v>39</v>
      </c>
      <c r="D11">
        <v>136.80000000000001</v>
      </c>
      <c r="E11">
        <v>153</v>
      </c>
      <c r="F11">
        <v>139.1</v>
      </c>
      <c r="G11">
        <v>142.5</v>
      </c>
      <c r="H11">
        <v>124.1</v>
      </c>
      <c r="I11">
        <v>135.80000000000001</v>
      </c>
      <c r="J11">
        <v>128.69999999999999</v>
      </c>
      <c r="K11">
        <v>121.5</v>
      </c>
      <c r="L11">
        <v>108.3</v>
      </c>
      <c r="M11">
        <v>139.19999999999999</v>
      </c>
      <c r="N11">
        <v>137.4</v>
      </c>
      <c r="O11">
        <v>156.19999999999999</v>
      </c>
      <c r="P11">
        <v>137.19999999999999</v>
      </c>
      <c r="Q11">
        <f>AVERAGE(Q12:Q13)</f>
        <v>148.5</v>
      </c>
      <c r="R11">
        <v>145.30000000000001</v>
      </c>
      <c r="S11">
        <v>150.1</v>
      </c>
      <c r="T11">
        <v>149.9</v>
      </c>
      <c r="U11">
        <v>129.19999999999999</v>
      </c>
      <c r="V11">
        <v>143.4</v>
      </c>
      <c r="W11">
        <v>155.5</v>
      </c>
      <c r="X11">
        <v>134.9</v>
      </c>
      <c r="Y11">
        <v>142.19999999999999</v>
      </c>
      <c r="Z11">
        <v>141</v>
      </c>
      <c r="AA11" s="1">
        <f>SUM(Table14[[#This Row],[Cereals and products]:[Food and beverages]])/13</f>
        <v>135.3692307692308</v>
      </c>
      <c r="AB11" s="1">
        <f>SUM(Table14[[#This Row],[Fuel and light]])</f>
        <v>145.30000000000001</v>
      </c>
      <c r="AC11" s="1">
        <f>SUM(Table14[[#This Row],[Transport and communication]])</f>
        <v>129.19999999999999</v>
      </c>
      <c r="AD11" s="1">
        <f>SUM(Table14[[#This Row],[Housing]],Table14[[#This Row],[Household goods and services]])/2</f>
        <v>149.30000000000001</v>
      </c>
      <c r="AE11" s="1">
        <f>SUM(Table14[[#This Row],[Health]])</f>
        <v>149.9</v>
      </c>
      <c r="AF11" s="1">
        <f>SUM(Table14[[#This Row],[Recreation and amusement]],Table14[[#This Row],[Education]])/2</f>
        <v>149.44999999999999</v>
      </c>
      <c r="AG11" s="1">
        <f>SUM(Table14[[#This Row],[Miscellaneous]],Table14[[#This Row],[Personal care and effects]])/2</f>
        <v>138.55000000000001</v>
      </c>
    </row>
    <row r="12" spans="1:33" hidden="1" x14ac:dyDescent="0.3">
      <c r="A12" t="s">
        <v>35</v>
      </c>
      <c r="B12">
        <v>2019</v>
      </c>
      <c r="C12" t="s">
        <v>39</v>
      </c>
      <c r="D12">
        <v>137.6</v>
      </c>
      <c r="E12">
        <v>152</v>
      </c>
      <c r="F12">
        <v>141.5</v>
      </c>
      <c r="G12">
        <v>142.19999999999999</v>
      </c>
      <c r="H12">
        <v>122</v>
      </c>
      <c r="I12">
        <v>136.4</v>
      </c>
      <c r="J12">
        <v>129.69999999999999</v>
      </c>
      <c r="K12">
        <v>121</v>
      </c>
      <c r="L12">
        <v>109</v>
      </c>
      <c r="M12">
        <v>139.69999999999999</v>
      </c>
      <c r="N12">
        <v>133.6</v>
      </c>
      <c r="O12">
        <v>154.9</v>
      </c>
      <c r="P12">
        <v>137.5</v>
      </c>
      <c r="Q12">
        <v>148.5</v>
      </c>
      <c r="R12">
        <v>138.4</v>
      </c>
      <c r="S12">
        <v>143.69999999999999</v>
      </c>
      <c r="T12">
        <v>145.6</v>
      </c>
      <c r="U12">
        <v>123.9</v>
      </c>
      <c r="V12">
        <v>137.1</v>
      </c>
      <c r="W12">
        <v>150.30000000000001</v>
      </c>
      <c r="X12">
        <v>134.1</v>
      </c>
      <c r="Y12">
        <v>137.4</v>
      </c>
      <c r="Z12">
        <v>139.9</v>
      </c>
      <c r="AA12" s="1">
        <f>SUM(Table14[[#This Row],[Cereals and products]:[Food and beverages]])/13</f>
        <v>135.16153846153844</v>
      </c>
      <c r="AB12" s="1">
        <f>SUM(Table14[[#This Row],[Fuel and light]])</f>
        <v>138.4</v>
      </c>
      <c r="AC12" s="1">
        <f>SUM(Table14[[#This Row],[Transport and communication]])</f>
        <v>123.9</v>
      </c>
      <c r="AD12" s="1">
        <f>SUM(Table14[[#This Row],[Housing]],Table14[[#This Row],[Household goods and services]])/2</f>
        <v>146.1</v>
      </c>
      <c r="AE12" s="1">
        <f>SUM(Table14[[#This Row],[Health]])</f>
        <v>145.6</v>
      </c>
      <c r="AF12" s="1">
        <f>SUM(Table14[[#This Row],[Recreation and amusement]],Table14[[#This Row],[Education]])/2</f>
        <v>143.69999999999999</v>
      </c>
      <c r="AG12" s="1">
        <f>SUM(Table14[[#This Row],[Miscellaneous]],Table14[[#This Row],[Personal care and effects]])/2</f>
        <v>135.75</v>
      </c>
    </row>
    <row r="13" spans="1:33" hidden="1" x14ac:dyDescent="0.3">
      <c r="A13" t="s">
        <v>36</v>
      </c>
      <c r="B13">
        <v>2019</v>
      </c>
      <c r="C13" t="s">
        <v>39</v>
      </c>
      <c r="D13">
        <v>139.4</v>
      </c>
      <c r="E13">
        <v>150.1</v>
      </c>
      <c r="F13">
        <v>145.30000000000001</v>
      </c>
      <c r="G13">
        <v>141.69999999999999</v>
      </c>
      <c r="H13">
        <v>118.4</v>
      </c>
      <c r="I13">
        <v>137</v>
      </c>
      <c r="J13">
        <v>131.6</v>
      </c>
      <c r="K13">
        <v>119.9</v>
      </c>
      <c r="L13">
        <v>110.4</v>
      </c>
      <c r="M13">
        <v>140.80000000000001</v>
      </c>
      <c r="N13">
        <v>128.30000000000001</v>
      </c>
      <c r="O13">
        <v>153.5</v>
      </c>
      <c r="P13">
        <v>138</v>
      </c>
      <c r="Q13">
        <v>148.5</v>
      </c>
      <c r="R13">
        <v>127.1</v>
      </c>
      <c r="S13">
        <v>136.6</v>
      </c>
      <c r="T13">
        <v>138.5</v>
      </c>
      <c r="U13">
        <v>119.2</v>
      </c>
      <c r="V13">
        <v>132.19999999999999</v>
      </c>
      <c r="W13">
        <v>146.6</v>
      </c>
      <c r="X13">
        <v>133</v>
      </c>
      <c r="Y13">
        <v>132.4</v>
      </c>
      <c r="Z13">
        <v>138.6</v>
      </c>
      <c r="AA13" s="1">
        <f>SUM(Table14[[#This Row],[Cereals and products]:[Food and beverages]])/13</f>
        <v>134.95384615384617</v>
      </c>
      <c r="AB13" s="1">
        <f>SUM(Table14[[#This Row],[Fuel and light]])</f>
        <v>127.1</v>
      </c>
      <c r="AC13" s="1">
        <f>SUM(Table14[[#This Row],[Transport and communication]])</f>
        <v>119.2</v>
      </c>
      <c r="AD13" s="1">
        <f>SUM(Table14[[#This Row],[Housing]],Table14[[#This Row],[Household goods and services]])/2</f>
        <v>142.55000000000001</v>
      </c>
      <c r="AE13" s="1">
        <f>SUM(Table14[[#This Row],[Health]])</f>
        <v>138.5</v>
      </c>
      <c r="AF13" s="1">
        <f>SUM(Table14[[#This Row],[Recreation and amusement]],Table14[[#This Row],[Education]])/2</f>
        <v>139.39999999999998</v>
      </c>
      <c r="AG13" s="1">
        <f>SUM(Table14[[#This Row],[Miscellaneous]],Table14[[#This Row],[Personal care and effects]])/2</f>
        <v>132.69999999999999</v>
      </c>
    </row>
    <row r="14" spans="1:33" hidden="1" x14ac:dyDescent="0.3">
      <c r="A14" t="s">
        <v>36</v>
      </c>
      <c r="B14">
        <v>2018</v>
      </c>
      <c r="C14" t="s">
        <v>34</v>
      </c>
      <c r="D14">
        <v>137</v>
      </c>
      <c r="E14">
        <v>143.1</v>
      </c>
      <c r="F14">
        <v>132.80000000000001</v>
      </c>
      <c r="G14">
        <v>141.5</v>
      </c>
      <c r="H14">
        <v>117.8</v>
      </c>
      <c r="I14">
        <v>140</v>
      </c>
      <c r="J14">
        <v>151.30000000000001</v>
      </c>
      <c r="K14">
        <v>113.5</v>
      </c>
      <c r="L14">
        <v>112.3</v>
      </c>
      <c r="M14">
        <v>141.19999999999999</v>
      </c>
      <c r="N14">
        <v>127.7</v>
      </c>
      <c r="O14">
        <v>151.30000000000001</v>
      </c>
      <c r="P14">
        <v>138.9</v>
      </c>
      <c r="Q14">
        <v>145.30000000000001</v>
      </c>
      <c r="R14">
        <v>131.19999999999999</v>
      </c>
      <c r="S14">
        <v>134.9</v>
      </c>
      <c r="T14">
        <v>135.69999999999999</v>
      </c>
      <c r="U14">
        <v>122.5</v>
      </c>
      <c r="V14">
        <v>130.19999999999999</v>
      </c>
      <c r="W14">
        <v>145.19999999999999</v>
      </c>
      <c r="X14">
        <v>129.30000000000001</v>
      </c>
      <c r="Y14">
        <v>131.9</v>
      </c>
      <c r="Z14">
        <v>138.1</v>
      </c>
      <c r="AA14" s="1">
        <f>SUM(Table14[[#This Row],[Cereals and products]:[Food and beverages]])/13</f>
        <v>134.49230769230769</v>
      </c>
      <c r="AB14" s="1">
        <f>SUM(Table14[[#This Row],[Fuel and light]])</f>
        <v>131.19999999999999</v>
      </c>
      <c r="AC14" s="1">
        <f>SUM(Table14[[#This Row],[Transport and communication]])</f>
        <v>122.5</v>
      </c>
      <c r="AD14" s="1">
        <f>SUM(Table14[[#This Row],[Housing]],Table14[[#This Row],[Household goods and services]])/2</f>
        <v>140.10000000000002</v>
      </c>
      <c r="AE14" s="1">
        <f>SUM(Table14[[#This Row],[Health]])</f>
        <v>135.69999999999999</v>
      </c>
      <c r="AF14" s="1">
        <f>SUM(Table14[[#This Row],[Recreation and amusement]],Table14[[#This Row],[Education]])/2</f>
        <v>137.69999999999999</v>
      </c>
      <c r="AG14" s="1">
        <f>SUM(Table14[[#This Row],[Miscellaneous]],Table14[[#This Row],[Personal care and effects]])/2</f>
        <v>130.60000000000002</v>
      </c>
    </row>
    <row r="15" spans="1:33" hidden="1" x14ac:dyDescent="0.3">
      <c r="A15" t="s">
        <v>35</v>
      </c>
      <c r="B15">
        <v>2018</v>
      </c>
      <c r="C15" t="s">
        <v>34</v>
      </c>
      <c r="D15">
        <v>138.6</v>
      </c>
      <c r="E15">
        <v>145.80000000000001</v>
      </c>
      <c r="F15">
        <v>135.1</v>
      </c>
      <c r="G15">
        <v>142.9</v>
      </c>
      <c r="H15">
        <v>122.1</v>
      </c>
      <c r="I15">
        <v>145.4</v>
      </c>
      <c r="J15">
        <v>150</v>
      </c>
      <c r="K15">
        <v>121.4</v>
      </c>
      <c r="L15">
        <v>113.7</v>
      </c>
      <c r="M15">
        <v>139.5</v>
      </c>
      <c r="N15">
        <v>130.80000000000001</v>
      </c>
      <c r="O15">
        <v>153.80000000000001</v>
      </c>
      <c r="P15">
        <v>140.4</v>
      </c>
      <c r="Q15">
        <v>145.30000000000001</v>
      </c>
      <c r="R15">
        <v>142.30000000000001</v>
      </c>
      <c r="S15">
        <v>139.69999999999999</v>
      </c>
      <c r="T15">
        <v>138.4</v>
      </c>
      <c r="U15">
        <v>126</v>
      </c>
      <c r="V15">
        <v>134.5</v>
      </c>
      <c r="W15">
        <v>146.19999999999999</v>
      </c>
      <c r="X15">
        <v>130.9</v>
      </c>
      <c r="Y15">
        <v>134.69999999999999</v>
      </c>
      <c r="Z15">
        <v>140.19999999999999</v>
      </c>
      <c r="AA15" s="1">
        <f>SUM(Table14[[#This Row],[Cereals and products]:[Food and beverages]])/13</f>
        <v>136.88461538461539</v>
      </c>
      <c r="AB15" s="1">
        <f>SUM(Table14[[#This Row],[Fuel and light]])</f>
        <v>142.30000000000001</v>
      </c>
      <c r="AC15" s="1">
        <f>SUM(Table14[[#This Row],[Transport and communication]])</f>
        <v>126</v>
      </c>
      <c r="AD15" s="1">
        <f>SUM(Table14[[#This Row],[Housing]],Table14[[#This Row],[Household goods and services]])/2</f>
        <v>142.5</v>
      </c>
      <c r="AE15" s="1">
        <f>SUM(Table14[[#This Row],[Health]])</f>
        <v>138.4</v>
      </c>
      <c r="AF15" s="1">
        <f>SUM(Table14[[#This Row],[Recreation and amusement]],Table14[[#This Row],[Education]])/2</f>
        <v>140.35</v>
      </c>
      <c r="AG15" s="1">
        <f>SUM(Table14[[#This Row],[Miscellaneous]],Table14[[#This Row],[Personal care and effects]])/2</f>
        <v>132.80000000000001</v>
      </c>
    </row>
    <row r="16" spans="1:33" hidden="1" x14ac:dyDescent="0.3">
      <c r="A16" t="s">
        <v>33</v>
      </c>
      <c r="B16">
        <v>2018</v>
      </c>
      <c r="C16" t="s">
        <v>34</v>
      </c>
      <c r="D16">
        <v>139.4</v>
      </c>
      <c r="E16">
        <v>147.19999999999999</v>
      </c>
      <c r="F16">
        <v>136.6</v>
      </c>
      <c r="G16">
        <v>143.69999999999999</v>
      </c>
      <c r="H16">
        <v>124.6</v>
      </c>
      <c r="I16">
        <v>150.1</v>
      </c>
      <c r="J16">
        <v>149.4</v>
      </c>
      <c r="K16">
        <v>125.4</v>
      </c>
      <c r="L16">
        <v>114.4</v>
      </c>
      <c r="M16">
        <v>138.69999999999999</v>
      </c>
      <c r="N16">
        <v>133.1</v>
      </c>
      <c r="O16">
        <v>155.9</v>
      </c>
      <c r="P16">
        <v>141.30000000000001</v>
      </c>
      <c r="Q16">
        <v>145.30000000000001</v>
      </c>
      <c r="R16">
        <v>149</v>
      </c>
      <c r="S16">
        <v>144</v>
      </c>
      <c r="T16">
        <v>140</v>
      </c>
      <c r="U16">
        <v>129.9</v>
      </c>
      <c r="V16">
        <v>140</v>
      </c>
      <c r="W16">
        <v>147.6</v>
      </c>
      <c r="X16">
        <v>132</v>
      </c>
      <c r="Y16">
        <v>137.4</v>
      </c>
      <c r="Z16">
        <v>142.1</v>
      </c>
      <c r="AA16" s="1">
        <f>SUM(Table14[[#This Row],[Cereals and products]:[Food and beverages]])/13</f>
        <v>138.44615384615386</v>
      </c>
      <c r="AB16" s="1">
        <f>SUM(Table14[[#This Row],[Fuel and light]])</f>
        <v>149</v>
      </c>
      <c r="AC16" s="1">
        <f>SUM(Table14[[#This Row],[Transport and communication]])</f>
        <v>129.9</v>
      </c>
      <c r="AD16" s="1">
        <f>SUM(Table14[[#This Row],[Housing]],Table14[[#This Row],[Household goods and services]])/2</f>
        <v>144.65</v>
      </c>
      <c r="AE16" s="1">
        <f>SUM(Table14[[#This Row],[Health]])</f>
        <v>140</v>
      </c>
      <c r="AF16" s="1">
        <f>SUM(Table14[[#This Row],[Recreation and amusement]],Table14[[#This Row],[Education]])/2</f>
        <v>143.80000000000001</v>
      </c>
      <c r="AG16" s="1">
        <f>SUM(Table14[[#This Row],[Miscellaneous]],Table14[[#This Row],[Personal care and effects]])/2</f>
        <v>134.69999999999999</v>
      </c>
    </row>
    <row r="17" spans="1:33" hidden="1" x14ac:dyDescent="0.3">
      <c r="A17" t="s">
        <v>36</v>
      </c>
      <c r="B17">
        <v>2017</v>
      </c>
      <c r="C17" t="s">
        <v>34</v>
      </c>
      <c r="D17">
        <v>133.6</v>
      </c>
      <c r="E17">
        <v>143</v>
      </c>
      <c r="F17">
        <v>129.69999999999999</v>
      </c>
      <c r="G17">
        <v>138.69999999999999</v>
      </c>
      <c r="H17">
        <v>114.5</v>
      </c>
      <c r="I17">
        <v>137.5</v>
      </c>
      <c r="J17">
        <v>160.69999999999999</v>
      </c>
      <c r="K17">
        <v>124.5</v>
      </c>
      <c r="L17">
        <v>122.4</v>
      </c>
      <c r="M17">
        <v>137.30000000000001</v>
      </c>
      <c r="N17">
        <v>124.8</v>
      </c>
      <c r="O17">
        <v>145</v>
      </c>
      <c r="P17">
        <v>138</v>
      </c>
      <c r="Q17">
        <v>135.69999999999999</v>
      </c>
      <c r="R17">
        <v>120.6</v>
      </c>
      <c r="S17">
        <v>128.1</v>
      </c>
      <c r="T17">
        <v>126.1</v>
      </c>
      <c r="U17">
        <v>115.7</v>
      </c>
      <c r="V17">
        <v>124.5</v>
      </c>
      <c r="W17">
        <v>135.9</v>
      </c>
      <c r="X17">
        <v>124.4</v>
      </c>
      <c r="Y17">
        <v>124.5</v>
      </c>
      <c r="Z17">
        <v>132.4</v>
      </c>
      <c r="AA17" s="1">
        <f>SUM(Table14[[#This Row],[Cereals and products]:[Food and beverages]])/13</f>
        <v>134.59230769230768</v>
      </c>
      <c r="AB17" s="1">
        <f>SUM(Table14[[#This Row],[Fuel and light]])</f>
        <v>120.6</v>
      </c>
      <c r="AC17" s="1">
        <f>SUM(Table14[[#This Row],[Transport and communication]])</f>
        <v>115.7</v>
      </c>
      <c r="AD17" s="1">
        <f>SUM(Table14[[#This Row],[Housing]],Table14[[#This Row],[Household goods and services]])/2</f>
        <v>131.89999999999998</v>
      </c>
      <c r="AE17" s="1">
        <f>SUM(Table14[[#This Row],[Health]])</f>
        <v>126.1</v>
      </c>
      <c r="AF17" s="1">
        <f>SUM(Table14[[#This Row],[Recreation and amusement]],Table14[[#This Row],[Education]])/2</f>
        <v>130.19999999999999</v>
      </c>
      <c r="AG17" s="1">
        <f>SUM(Table14[[#This Row],[Miscellaneous]],Table14[[#This Row],[Personal care and effects]])/2</f>
        <v>124.45</v>
      </c>
    </row>
    <row r="18" spans="1:33" hidden="1" x14ac:dyDescent="0.3">
      <c r="A18" t="s">
        <v>35</v>
      </c>
      <c r="B18">
        <v>2017</v>
      </c>
      <c r="C18" t="s">
        <v>34</v>
      </c>
      <c r="D18">
        <v>134.69999999999999</v>
      </c>
      <c r="E18">
        <v>142.4</v>
      </c>
      <c r="F18">
        <v>130.19999999999999</v>
      </c>
      <c r="G18">
        <v>139.6</v>
      </c>
      <c r="H18">
        <v>118.4</v>
      </c>
      <c r="I18">
        <v>143</v>
      </c>
      <c r="J18">
        <v>156.6</v>
      </c>
      <c r="K18">
        <v>132.9</v>
      </c>
      <c r="L18">
        <v>121.5</v>
      </c>
      <c r="M18">
        <v>135.6</v>
      </c>
      <c r="N18">
        <v>128.80000000000001</v>
      </c>
      <c r="O18">
        <v>147.30000000000001</v>
      </c>
      <c r="P18">
        <v>139</v>
      </c>
      <c r="Q18">
        <v>135.69999999999999</v>
      </c>
      <c r="R18">
        <v>131</v>
      </c>
      <c r="S18">
        <v>133.30000000000001</v>
      </c>
      <c r="T18">
        <v>130.6</v>
      </c>
      <c r="U18">
        <v>118.3</v>
      </c>
      <c r="V18">
        <v>127.9</v>
      </c>
      <c r="W18">
        <v>137.4</v>
      </c>
      <c r="X18">
        <v>125.7</v>
      </c>
      <c r="Y18">
        <v>127.5</v>
      </c>
      <c r="Z18">
        <v>135.19999999999999</v>
      </c>
      <c r="AA18" s="1">
        <f>SUM(Table14[[#This Row],[Cereals and products]:[Food and beverages]])/13</f>
        <v>136.15384615384613</v>
      </c>
      <c r="AB18" s="1">
        <f>SUM(Table14[[#This Row],[Fuel and light]])</f>
        <v>131</v>
      </c>
      <c r="AC18" s="1">
        <f>SUM(Table14[[#This Row],[Transport and communication]])</f>
        <v>118.3</v>
      </c>
      <c r="AD18" s="1">
        <f>SUM(Table14[[#This Row],[Housing]],Table14[[#This Row],[Household goods and services]])/2</f>
        <v>134.5</v>
      </c>
      <c r="AE18" s="1">
        <f>SUM(Table14[[#This Row],[Health]])</f>
        <v>130.6</v>
      </c>
      <c r="AF18" s="1">
        <f>SUM(Table14[[#This Row],[Recreation and amusement]],Table14[[#This Row],[Education]])/2</f>
        <v>132.65</v>
      </c>
      <c r="AG18" s="1">
        <f>SUM(Table14[[#This Row],[Miscellaneous]],Table14[[#This Row],[Personal care and effects]])/2</f>
        <v>126.6</v>
      </c>
    </row>
    <row r="19" spans="1:33" hidden="1" x14ac:dyDescent="0.3">
      <c r="A19" t="s">
        <v>33</v>
      </c>
      <c r="B19">
        <v>2017</v>
      </c>
      <c r="C19" t="s">
        <v>34</v>
      </c>
      <c r="D19">
        <v>135.19999999999999</v>
      </c>
      <c r="E19">
        <v>142</v>
      </c>
      <c r="F19">
        <v>130.5</v>
      </c>
      <c r="G19">
        <v>140.19999999999999</v>
      </c>
      <c r="H19">
        <v>120.7</v>
      </c>
      <c r="I19">
        <v>147.80000000000001</v>
      </c>
      <c r="J19">
        <v>154.5</v>
      </c>
      <c r="K19">
        <v>137.1</v>
      </c>
      <c r="L19">
        <v>121</v>
      </c>
      <c r="M19">
        <v>134.69999999999999</v>
      </c>
      <c r="N19">
        <v>131.69999999999999</v>
      </c>
      <c r="O19">
        <v>149.30000000000001</v>
      </c>
      <c r="P19">
        <v>139.6</v>
      </c>
      <c r="Q19">
        <v>135.69999999999999</v>
      </c>
      <c r="R19">
        <v>137.4</v>
      </c>
      <c r="S19">
        <v>137.9</v>
      </c>
      <c r="T19">
        <v>133.4</v>
      </c>
      <c r="U19">
        <v>121.2</v>
      </c>
      <c r="V19">
        <v>132.30000000000001</v>
      </c>
      <c r="W19">
        <v>139.6</v>
      </c>
      <c r="X19">
        <v>126.7</v>
      </c>
      <c r="Y19">
        <v>130.30000000000001</v>
      </c>
      <c r="Z19">
        <v>137.6</v>
      </c>
      <c r="AA19" s="1">
        <f>SUM(Table14[[#This Row],[Cereals and products]:[Food and beverages]])/13</f>
        <v>137.25384615384615</v>
      </c>
      <c r="AB19" s="1">
        <f>SUM(Table14[[#This Row],[Fuel and light]])</f>
        <v>137.4</v>
      </c>
      <c r="AC19" s="1">
        <f>SUM(Table14[[#This Row],[Transport and communication]])</f>
        <v>121.2</v>
      </c>
      <c r="AD19" s="1">
        <f>SUM(Table14[[#This Row],[Housing]],Table14[[#This Row],[Household goods and services]])/2</f>
        <v>136.80000000000001</v>
      </c>
      <c r="AE19" s="1">
        <f>SUM(Table14[[#This Row],[Health]])</f>
        <v>133.4</v>
      </c>
      <c r="AF19" s="1">
        <f>SUM(Table14[[#This Row],[Recreation and amusement]],Table14[[#This Row],[Education]])/2</f>
        <v>135.94999999999999</v>
      </c>
      <c r="AG19" s="1">
        <f>SUM(Table14[[#This Row],[Miscellaneous]],Table14[[#This Row],[Personal care and effects]])/2</f>
        <v>128.5</v>
      </c>
    </row>
    <row r="20" spans="1:33" hidden="1" x14ac:dyDescent="0.3">
      <c r="A20" t="s">
        <v>36</v>
      </c>
      <c r="B20">
        <v>2016</v>
      </c>
      <c r="C20" t="s">
        <v>34</v>
      </c>
      <c r="D20">
        <v>128.1</v>
      </c>
      <c r="E20">
        <v>137.69999999999999</v>
      </c>
      <c r="F20">
        <v>130.6</v>
      </c>
      <c r="G20">
        <v>132.6</v>
      </c>
      <c r="H20">
        <v>111.9</v>
      </c>
      <c r="I20">
        <v>132.5</v>
      </c>
      <c r="J20">
        <v>152.9</v>
      </c>
      <c r="K20">
        <v>173.6</v>
      </c>
      <c r="L20">
        <v>115.1</v>
      </c>
      <c r="M20">
        <v>144.80000000000001</v>
      </c>
      <c r="N20">
        <v>122.1</v>
      </c>
      <c r="O20">
        <v>138.80000000000001</v>
      </c>
      <c r="P20">
        <v>135.69999999999999</v>
      </c>
      <c r="Q20">
        <v>127.9</v>
      </c>
      <c r="R20">
        <v>114.8</v>
      </c>
      <c r="S20">
        <v>124.3</v>
      </c>
      <c r="T20">
        <v>121.4</v>
      </c>
      <c r="U20">
        <v>111.8</v>
      </c>
      <c r="V20">
        <v>120.8</v>
      </c>
      <c r="W20">
        <v>131.6</v>
      </c>
      <c r="X20">
        <v>121.2</v>
      </c>
      <c r="Y20">
        <v>120.5</v>
      </c>
      <c r="Z20">
        <v>128</v>
      </c>
      <c r="AA20" s="1">
        <f>SUM(Table14[[#This Row],[Cereals and products]:[Food and beverages]])/13</f>
        <v>135.10769230769228</v>
      </c>
      <c r="AB20" s="1">
        <f>SUM(Table14[[#This Row],[Fuel and light]])</f>
        <v>114.8</v>
      </c>
      <c r="AC20" s="1">
        <f>SUM(Table14[[#This Row],[Transport and communication]])</f>
        <v>111.8</v>
      </c>
      <c r="AD20" s="1">
        <f>SUM(Table14[[#This Row],[Housing]],Table14[[#This Row],[Household goods and services]])/2</f>
        <v>126.1</v>
      </c>
      <c r="AE20" s="1">
        <f>SUM(Table14[[#This Row],[Health]])</f>
        <v>121.4</v>
      </c>
      <c r="AF20" s="1">
        <f>SUM(Table14[[#This Row],[Recreation and amusement]],Table14[[#This Row],[Education]])/2</f>
        <v>126.19999999999999</v>
      </c>
      <c r="AG20" s="1">
        <f>SUM(Table14[[#This Row],[Miscellaneous]],Table14[[#This Row],[Personal care and effects]])/2</f>
        <v>120.85</v>
      </c>
    </row>
    <row r="21" spans="1:33" hidden="1" x14ac:dyDescent="0.3">
      <c r="A21" t="s">
        <v>35</v>
      </c>
      <c r="B21">
        <v>2016</v>
      </c>
      <c r="C21" t="s">
        <v>34</v>
      </c>
      <c r="D21">
        <v>129.9</v>
      </c>
      <c r="E21">
        <v>138</v>
      </c>
      <c r="F21">
        <v>130.5</v>
      </c>
      <c r="G21">
        <v>134.4</v>
      </c>
      <c r="H21">
        <v>117.2</v>
      </c>
      <c r="I21">
        <v>136.1</v>
      </c>
      <c r="J21">
        <v>150.69999999999999</v>
      </c>
      <c r="K21">
        <v>171.5</v>
      </c>
      <c r="L21">
        <v>113.8</v>
      </c>
      <c r="M21">
        <v>138.80000000000001</v>
      </c>
      <c r="N21">
        <v>126</v>
      </c>
      <c r="O21">
        <v>140.19999999999999</v>
      </c>
      <c r="P21">
        <v>136.6</v>
      </c>
      <c r="Q21">
        <v>127.9</v>
      </c>
      <c r="R21">
        <v>124.1</v>
      </c>
      <c r="S21">
        <v>127.9</v>
      </c>
      <c r="T21">
        <v>125.4</v>
      </c>
      <c r="U21">
        <v>114.3</v>
      </c>
      <c r="V21">
        <v>122.9</v>
      </c>
      <c r="W21">
        <v>131.80000000000001</v>
      </c>
      <c r="X21">
        <v>122.1</v>
      </c>
      <c r="Y21">
        <v>122.8</v>
      </c>
      <c r="Z21">
        <v>130.9</v>
      </c>
      <c r="AA21" s="1">
        <f>SUM(Table14[[#This Row],[Cereals and products]:[Food and beverages]])/13</f>
        <v>135.66923076923075</v>
      </c>
      <c r="AB21" s="1">
        <f>SUM(Table14[[#This Row],[Fuel and light]])</f>
        <v>124.1</v>
      </c>
      <c r="AC21" s="1">
        <f>SUM(Table14[[#This Row],[Transport and communication]])</f>
        <v>114.3</v>
      </c>
      <c r="AD21" s="1">
        <f>SUM(Table14[[#This Row],[Housing]],Table14[[#This Row],[Household goods and services]])/2</f>
        <v>127.9</v>
      </c>
      <c r="AE21" s="1">
        <f>SUM(Table14[[#This Row],[Health]])</f>
        <v>125.4</v>
      </c>
      <c r="AF21" s="1">
        <f>SUM(Table14[[#This Row],[Recreation and amusement]],Table14[[#This Row],[Education]])/2</f>
        <v>127.35000000000001</v>
      </c>
      <c r="AG21" s="1">
        <f>SUM(Table14[[#This Row],[Miscellaneous]],Table14[[#This Row],[Personal care and effects]])/2</f>
        <v>122.44999999999999</v>
      </c>
    </row>
    <row r="22" spans="1:33" hidden="1" x14ac:dyDescent="0.3">
      <c r="A22" t="s">
        <v>33</v>
      </c>
      <c r="B22">
        <v>2016</v>
      </c>
      <c r="C22" t="s">
        <v>34</v>
      </c>
      <c r="D22">
        <v>130.80000000000001</v>
      </c>
      <c r="E22">
        <v>138.19999999999999</v>
      </c>
      <c r="F22">
        <v>130.5</v>
      </c>
      <c r="G22">
        <v>135.5</v>
      </c>
      <c r="H22">
        <v>120.2</v>
      </c>
      <c r="I22">
        <v>139.19999999999999</v>
      </c>
      <c r="J22">
        <v>149.5</v>
      </c>
      <c r="K22">
        <v>170.4</v>
      </c>
      <c r="L22">
        <v>113.1</v>
      </c>
      <c r="M22">
        <v>135.80000000000001</v>
      </c>
      <c r="N22">
        <v>128.80000000000001</v>
      </c>
      <c r="O22">
        <v>141.5</v>
      </c>
      <c r="P22">
        <v>137.19999999999999</v>
      </c>
      <c r="Q22">
        <v>127.9</v>
      </c>
      <c r="R22">
        <v>129.69999999999999</v>
      </c>
      <c r="S22">
        <v>131.1</v>
      </c>
      <c r="T22">
        <v>127.8</v>
      </c>
      <c r="U22">
        <v>117</v>
      </c>
      <c r="V22">
        <v>125.7</v>
      </c>
      <c r="W22">
        <v>132.19999999999999</v>
      </c>
      <c r="X22">
        <v>122.8</v>
      </c>
      <c r="Y22">
        <v>124.9</v>
      </c>
      <c r="Z22">
        <v>133.4</v>
      </c>
      <c r="AA22" s="1">
        <f>SUM(Table14[[#This Row],[Cereals and products]:[Food and beverages]])/13</f>
        <v>136.2076923076923</v>
      </c>
      <c r="AB22" s="1">
        <f>SUM(Table14[[#This Row],[Fuel and light]])</f>
        <v>129.69999999999999</v>
      </c>
      <c r="AC22" s="1">
        <f>SUM(Table14[[#This Row],[Transport and communication]])</f>
        <v>117</v>
      </c>
      <c r="AD22" s="1">
        <f>SUM(Table14[[#This Row],[Housing]],Table14[[#This Row],[Household goods and services]])/2</f>
        <v>129.5</v>
      </c>
      <c r="AE22" s="1">
        <f>SUM(Table14[[#This Row],[Health]])</f>
        <v>127.8</v>
      </c>
      <c r="AF22" s="1">
        <f>SUM(Table14[[#This Row],[Recreation and amusement]],Table14[[#This Row],[Education]])/2</f>
        <v>128.94999999999999</v>
      </c>
      <c r="AG22" s="1">
        <f>SUM(Table14[[#This Row],[Miscellaneous]],Table14[[#This Row],[Personal care and effects]])/2</f>
        <v>123.85</v>
      </c>
    </row>
    <row r="23" spans="1:33" hidden="1" x14ac:dyDescent="0.3">
      <c r="A23" t="s">
        <v>36</v>
      </c>
      <c r="B23">
        <v>2015</v>
      </c>
      <c r="C23" t="s">
        <v>34</v>
      </c>
      <c r="D23">
        <v>123.4</v>
      </c>
      <c r="E23">
        <v>129</v>
      </c>
      <c r="F23">
        <v>115.6</v>
      </c>
      <c r="G23">
        <v>128.30000000000001</v>
      </c>
      <c r="H23">
        <v>107</v>
      </c>
      <c r="I23">
        <v>124</v>
      </c>
      <c r="J23">
        <v>168.5</v>
      </c>
      <c r="K23">
        <v>165.4</v>
      </c>
      <c r="L23">
        <v>86.3</v>
      </c>
      <c r="M23">
        <v>134.4</v>
      </c>
      <c r="N23">
        <v>119.1</v>
      </c>
      <c r="O23">
        <v>132.30000000000001</v>
      </c>
      <c r="P23">
        <v>131.5</v>
      </c>
      <c r="Q23">
        <v>121.6</v>
      </c>
      <c r="R23">
        <v>115.1</v>
      </c>
      <c r="S23">
        <v>120.4</v>
      </c>
      <c r="T23">
        <v>117.1</v>
      </c>
      <c r="U23">
        <v>109.1</v>
      </c>
      <c r="V23">
        <v>117.3</v>
      </c>
      <c r="W23">
        <v>126.5</v>
      </c>
      <c r="X23">
        <v>112.9</v>
      </c>
      <c r="Y23">
        <v>116.2</v>
      </c>
      <c r="Z23">
        <v>123.5</v>
      </c>
      <c r="AA23" s="1">
        <f>SUM(Table14[[#This Row],[Cereals and products]:[Food and beverages]])/13</f>
        <v>128.06153846153845</v>
      </c>
      <c r="AB23" s="1">
        <f>SUM(Table14[[#This Row],[Fuel and light]])</f>
        <v>115.1</v>
      </c>
      <c r="AC23" s="1">
        <f>SUM(Table14[[#This Row],[Transport and communication]])</f>
        <v>109.1</v>
      </c>
      <c r="AD23" s="1">
        <f>SUM(Table14[[#This Row],[Housing]],Table14[[#This Row],[Household goods and services]])/2</f>
        <v>121</v>
      </c>
      <c r="AE23" s="1">
        <f>SUM(Table14[[#This Row],[Health]])</f>
        <v>117.1</v>
      </c>
      <c r="AF23" s="1">
        <f>SUM(Table14[[#This Row],[Recreation and amusement]],Table14[[#This Row],[Education]])/2</f>
        <v>121.9</v>
      </c>
      <c r="AG23" s="1">
        <f>SUM(Table14[[#This Row],[Miscellaneous]],Table14[[#This Row],[Personal care and effects]])/2</f>
        <v>114.55000000000001</v>
      </c>
    </row>
    <row r="24" spans="1:33" hidden="1" x14ac:dyDescent="0.3">
      <c r="A24" t="s">
        <v>35</v>
      </c>
      <c r="B24">
        <v>2015</v>
      </c>
      <c r="C24" t="s">
        <v>34</v>
      </c>
      <c r="D24">
        <v>124.6</v>
      </c>
      <c r="E24">
        <v>130.4</v>
      </c>
      <c r="F24">
        <v>118.7</v>
      </c>
      <c r="G24">
        <v>128.9</v>
      </c>
      <c r="H24">
        <v>111.9</v>
      </c>
      <c r="I24">
        <v>128.4</v>
      </c>
      <c r="J24">
        <v>162.19999999999999</v>
      </c>
      <c r="K24">
        <v>150</v>
      </c>
      <c r="L24">
        <v>90.4</v>
      </c>
      <c r="M24">
        <v>128.4</v>
      </c>
      <c r="N24">
        <v>120.7</v>
      </c>
      <c r="O24">
        <v>132.5</v>
      </c>
      <c r="P24">
        <v>131.19999999999999</v>
      </c>
      <c r="Q24">
        <v>121.6</v>
      </c>
      <c r="R24">
        <v>120.4</v>
      </c>
      <c r="S24">
        <v>122.6</v>
      </c>
      <c r="T24">
        <v>119.8</v>
      </c>
      <c r="U24">
        <v>111.3</v>
      </c>
      <c r="V24">
        <v>118.3</v>
      </c>
      <c r="W24">
        <v>125.7</v>
      </c>
      <c r="X24">
        <v>113.4</v>
      </c>
      <c r="Y24">
        <v>117.5</v>
      </c>
      <c r="Z24">
        <v>125.4</v>
      </c>
      <c r="AA24" s="1">
        <f>SUM(Table14[[#This Row],[Cereals and products]:[Food and beverages]])/13</f>
        <v>127.56153846153848</v>
      </c>
      <c r="AB24" s="1">
        <f>SUM(Table14[[#This Row],[Fuel and light]])</f>
        <v>120.4</v>
      </c>
      <c r="AC24" s="1">
        <f>SUM(Table14[[#This Row],[Transport and communication]])</f>
        <v>111.3</v>
      </c>
      <c r="AD24" s="1">
        <f>SUM(Table14[[#This Row],[Housing]],Table14[[#This Row],[Household goods and services]])/2</f>
        <v>122.1</v>
      </c>
      <c r="AE24" s="1">
        <f>SUM(Table14[[#This Row],[Health]])</f>
        <v>119.8</v>
      </c>
      <c r="AF24" s="1">
        <f>SUM(Table14[[#This Row],[Recreation and amusement]],Table14[[#This Row],[Education]])/2</f>
        <v>122</v>
      </c>
      <c r="AG24" s="1">
        <f>SUM(Table14[[#This Row],[Miscellaneous]],Table14[[#This Row],[Personal care and effects]])/2</f>
        <v>115.45</v>
      </c>
    </row>
    <row r="25" spans="1:33" hidden="1" x14ac:dyDescent="0.3">
      <c r="A25" t="s">
        <v>33</v>
      </c>
      <c r="B25">
        <v>2015</v>
      </c>
      <c r="C25" t="s">
        <v>34</v>
      </c>
      <c r="D25">
        <v>125.1</v>
      </c>
      <c r="E25">
        <v>131.1</v>
      </c>
      <c r="F25">
        <v>120.7</v>
      </c>
      <c r="G25">
        <v>129.19999999999999</v>
      </c>
      <c r="H25">
        <v>114.7</v>
      </c>
      <c r="I25">
        <v>132.30000000000001</v>
      </c>
      <c r="J25">
        <v>158.9</v>
      </c>
      <c r="K25">
        <v>142.1</v>
      </c>
      <c r="L25">
        <v>92.5</v>
      </c>
      <c r="M25">
        <v>125.4</v>
      </c>
      <c r="N25">
        <v>121.9</v>
      </c>
      <c r="O25">
        <v>132.69999999999999</v>
      </c>
      <c r="P25">
        <v>131</v>
      </c>
      <c r="Q25">
        <v>121.6</v>
      </c>
      <c r="R25">
        <v>123.7</v>
      </c>
      <c r="S25">
        <v>124.5</v>
      </c>
      <c r="T25">
        <v>121.4</v>
      </c>
      <c r="U25">
        <v>113.8</v>
      </c>
      <c r="V25">
        <v>119.6</v>
      </c>
      <c r="W25">
        <v>124.5</v>
      </c>
      <c r="X25">
        <v>113.7</v>
      </c>
      <c r="Y25">
        <v>118.8</v>
      </c>
      <c r="Z25">
        <v>127</v>
      </c>
      <c r="AA25" s="1">
        <f>SUM(Table14[[#This Row],[Cereals and products]:[Food and beverages]])/13</f>
        <v>127.50769230769232</v>
      </c>
      <c r="AB25" s="1">
        <f>SUM(Table14[[#This Row],[Fuel and light]])</f>
        <v>123.7</v>
      </c>
      <c r="AC25" s="1">
        <f>SUM(Table14[[#This Row],[Transport and communication]])</f>
        <v>113.8</v>
      </c>
      <c r="AD25" s="1">
        <f>SUM(Table14[[#This Row],[Housing]],Table14[[#This Row],[Household goods and services]])/2</f>
        <v>123.05</v>
      </c>
      <c r="AE25" s="1">
        <f>SUM(Table14[[#This Row],[Health]])</f>
        <v>121.4</v>
      </c>
      <c r="AF25" s="1">
        <f>SUM(Table14[[#This Row],[Recreation and amusement]],Table14[[#This Row],[Education]])/2</f>
        <v>122.05</v>
      </c>
      <c r="AG25" s="1">
        <f>SUM(Table14[[#This Row],[Miscellaneous]],Table14[[#This Row],[Personal care and effects]])/2</f>
        <v>116.25</v>
      </c>
    </row>
    <row r="26" spans="1:33" hidden="1" x14ac:dyDescent="0.3">
      <c r="A26" t="s">
        <v>33</v>
      </c>
      <c r="B26">
        <v>2014</v>
      </c>
      <c r="C26" t="s">
        <v>34</v>
      </c>
      <c r="D26">
        <v>122.3</v>
      </c>
      <c r="E26">
        <v>122.4</v>
      </c>
      <c r="F26">
        <v>117.8</v>
      </c>
      <c r="G26">
        <v>122.7</v>
      </c>
      <c r="H26">
        <v>110.4</v>
      </c>
      <c r="I26">
        <v>129.80000000000001</v>
      </c>
      <c r="J26">
        <v>158.80000000000001</v>
      </c>
      <c r="K26">
        <v>115</v>
      </c>
      <c r="L26">
        <v>104.7</v>
      </c>
      <c r="M26">
        <v>114.9</v>
      </c>
      <c r="N26">
        <v>116.5</v>
      </c>
      <c r="O26">
        <v>122.6</v>
      </c>
      <c r="P26">
        <v>125.3</v>
      </c>
      <c r="Q26">
        <v>109.7</v>
      </c>
      <c r="R26">
        <v>115.8</v>
      </c>
      <c r="S26">
        <v>116.7</v>
      </c>
      <c r="T26">
        <v>114.5</v>
      </c>
      <c r="U26">
        <v>112.8</v>
      </c>
      <c r="V26">
        <v>112.6</v>
      </c>
      <c r="W26">
        <v>116.6</v>
      </c>
      <c r="X26">
        <v>109.1</v>
      </c>
      <c r="Y26">
        <v>113.7</v>
      </c>
      <c r="Z26">
        <v>120.9</v>
      </c>
      <c r="AA26" s="1">
        <f>SUM(Table14[[#This Row],[Cereals and products]:[Food and beverages]])/13</f>
        <v>121.78461538461539</v>
      </c>
      <c r="AB26" s="1">
        <f>SUM(Table14[[#This Row],[Fuel and light]])</f>
        <v>115.8</v>
      </c>
      <c r="AC26" s="1">
        <f>SUM(Table14[[#This Row],[Transport and communication]])</f>
        <v>112.8</v>
      </c>
      <c r="AD26" s="1">
        <f>SUM(Table14[[#This Row],[Housing]],Table14[[#This Row],[Household goods and services]])/2</f>
        <v>113.2</v>
      </c>
      <c r="AE26" s="1">
        <f>SUM(Table14[[#This Row],[Health]])</f>
        <v>114.5</v>
      </c>
      <c r="AF26" s="1">
        <f>SUM(Table14[[#This Row],[Recreation and amusement]],Table14[[#This Row],[Education]])/2</f>
        <v>114.6</v>
      </c>
      <c r="AG26" s="1">
        <f>SUM(Table14[[#This Row],[Miscellaneous]],Table14[[#This Row],[Personal care and effects]])/2</f>
        <v>111.4</v>
      </c>
    </row>
    <row r="27" spans="1:33" hidden="1" x14ac:dyDescent="0.3">
      <c r="A27" t="s">
        <v>35</v>
      </c>
      <c r="B27">
        <v>2014</v>
      </c>
      <c r="C27" t="s">
        <v>34</v>
      </c>
      <c r="D27">
        <v>122.9</v>
      </c>
      <c r="E27">
        <v>123.5</v>
      </c>
      <c r="F27">
        <v>117.3</v>
      </c>
      <c r="G27">
        <v>122.7</v>
      </c>
      <c r="H27">
        <v>107.9</v>
      </c>
      <c r="I27">
        <v>127.3</v>
      </c>
      <c r="J27">
        <v>162.1</v>
      </c>
      <c r="K27">
        <v>115.6</v>
      </c>
      <c r="L27">
        <v>103.8</v>
      </c>
      <c r="M27">
        <v>117.6</v>
      </c>
      <c r="N27">
        <v>115.8</v>
      </c>
      <c r="O27">
        <v>123.8</v>
      </c>
      <c r="P27">
        <v>125.8</v>
      </c>
      <c r="Q27">
        <v>116.1</v>
      </c>
      <c r="R27">
        <v>114.3</v>
      </c>
      <c r="S27">
        <v>116.1</v>
      </c>
      <c r="T27">
        <v>113.7</v>
      </c>
      <c r="U27">
        <v>112</v>
      </c>
      <c r="V27">
        <v>113.1</v>
      </c>
      <c r="W27">
        <v>118.6</v>
      </c>
      <c r="X27">
        <v>109.5</v>
      </c>
      <c r="Y27">
        <v>113.7</v>
      </c>
      <c r="Z27">
        <v>120.1</v>
      </c>
      <c r="AA27" s="1">
        <f>SUM(Table14[[#This Row],[Cereals and products]:[Food and beverages]])/13</f>
        <v>122.00769230769228</v>
      </c>
      <c r="AB27" s="1">
        <f>SUM(Table14[[#This Row],[Fuel and light]])</f>
        <v>114.3</v>
      </c>
      <c r="AC27" s="1">
        <f>SUM(Table14[[#This Row],[Transport and communication]])</f>
        <v>112</v>
      </c>
      <c r="AD27" s="1">
        <f>SUM(Table14[[#This Row],[Housing]],Table14[[#This Row],[Household goods and services]])/2</f>
        <v>116.1</v>
      </c>
      <c r="AE27" s="1">
        <f>SUM(Table14[[#This Row],[Health]])</f>
        <v>113.7</v>
      </c>
      <c r="AF27" s="1">
        <f>SUM(Table14[[#This Row],[Recreation and amusement]],Table14[[#This Row],[Education]])/2</f>
        <v>115.85</v>
      </c>
      <c r="AG27" s="1">
        <f>SUM(Table14[[#This Row],[Miscellaneous]],Table14[[#This Row],[Personal care and effects]])/2</f>
        <v>111.6</v>
      </c>
    </row>
    <row r="28" spans="1:33" hidden="1" x14ac:dyDescent="0.3">
      <c r="A28" t="s">
        <v>36</v>
      </c>
      <c r="B28">
        <v>2014</v>
      </c>
      <c r="C28" t="s">
        <v>34</v>
      </c>
      <c r="D28">
        <v>124.2</v>
      </c>
      <c r="E28">
        <v>125.4</v>
      </c>
      <c r="F28">
        <v>116.4</v>
      </c>
      <c r="G28">
        <v>122.7</v>
      </c>
      <c r="H28">
        <v>103.5</v>
      </c>
      <c r="I28">
        <v>124.5</v>
      </c>
      <c r="J28">
        <v>168.6</v>
      </c>
      <c r="K28">
        <v>116.9</v>
      </c>
      <c r="L28">
        <v>101.9</v>
      </c>
      <c r="M28">
        <v>122.9</v>
      </c>
      <c r="N28">
        <v>114.8</v>
      </c>
      <c r="O28">
        <v>125.2</v>
      </c>
      <c r="P28">
        <v>126.7</v>
      </c>
      <c r="Q28">
        <v>116.1</v>
      </c>
      <c r="R28">
        <v>111.8</v>
      </c>
      <c r="S28">
        <v>115.5</v>
      </c>
      <c r="T28">
        <v>112.3</v>
      </c>
      <c r="U28">
        <v>111.2</v>
      </c>
      <c r="V28">
        <v>113.4</v>
      </c>
      <c r="W28">
        <v>120</v>
      </c>
      <c r="X28">
        <v>110</v>
      </c>
      <c r="Y28">
        <v>113.6</v>
      </c>
      <c r="Z28">
        <v>119.2</v>
      </c>
      <c r="AA28" s="1">
        <f>SUM(Table14[[#This Row],[Cereals and products]:[Food and beverages]])/13</f>
        <v>122.59230769230771</v>
      </c>
      <c r="AB28" s="1">
        <f>SUM(Table14[[#This Row],[Fuel and light]])</f>
        <v>111.8</v>
      </c>
      <c r="AC28" s="1">
        <f>SUM(Table14[[#This Row],[Transport and communication]])</f>
        <v>111.2</v>
      </c>
      <c r="AD28" s="1">
        <f>SUM(Table14[[#This Row],[Housing]],Table14[[#This Row],[Household goods and services]])/2</f>
        <v>115.8</v>
      </c>
      <c r="AE28" s="1">
        <f>SUM(Table14[[#This Row],[Health]])</f>
        <v>112.3</v>
      </c>
      <c r="AF28" s="1">
        <f>SUM(Table14[[#This Row],[Recreation and amusement]],Table14[[#This Row],[Education]])/2</f>
        <v>116.7</v>
      </c>
      <c r="AG28" s="1">
        <f>SUM(Table14[[#This Row],[Miscellaneous]],Table14[[#This Row],[Personal care and effects]])/2</f>
        <v>111.8</v>
      </c>
    </row>
    <row r="29" spans="1:33" hidden="1" x14ac:dyDescent="0.3">
      <c r="A29" t="s">
        <v>33</v>
      </c>
      <c r="B29">
        <v>2013</v>
      </c>
      <c r="C29" t="s">
        <v>34</v>
      </c>
      <c r="D29">
        <v>115.4</v>
      </c>
      <c r="E29">
        <v>115.7</v>
      </c>
      <c r="F29">
        <v>111.7</v>
      </c>
      <c r="G29">
        <v>111</v>
      </c>
      <c r="H29">
        <v>107.4</v>
      </c>
      <c r="I29">
        <v>110.9</v>
      </c>
      <c r="J29">
        <v>154</v>
      </c>
      <c r="K29">
        <v>108.1</v>
      </c>
      <c r="L29">
        <v>104.2</v>
      </c>
      <c r="M29">
        <v>107.9</v>
      </c>
      <c r="N29">
        <v>110.4</v>
      </c>
      <c r="O29">
        <v>114</v>
      </c>
      <c r="P29">
        <v>117.8</v>
      </c>
      <c r="Q29">
        <v>109.7</v>
      </c>
      <c r="R29">
        <v>111.1</v>
      </c>
      <c r="S29">
        <v>109.6</v>
      </c>
      <c r="T29">
        <v>108.3</v>
      </c>
      <c r="U29">
        <v>109.3</v>
      </c>
      <c r="V29">
        <v>107.7</v>
      </c>
      <c r="W29">
        <v>109.8</v>
      </c>
      <c r="X29">
        <v>106.7</v>
      </c>
      <c r="Y29">
        <v>108.7</v>
      </c>
      <c r="Z29">
        <v>114.2</v>
      </c>
      <c r="AA29" s="1">
        <f>SUM(Table14[[#This Row],[Cereals and products]:[Food and beverages]])/13</f>
        <v>114.50000000000001</v>
      </c>
      <c r="AB29" s="1">
        <f>SUM(Table14[[#This Row],[Fuel and light]])</f>
        <v>111.1</v>
      </c>
      <c r="AC29" s="1">
        <f>SUM(Table14[[#This Row],[Transport and communication]])</f>
        <v>109.3</v>
      </c>
      <c r="AD29" s="1">
        <f>SUM(Table14[[#This Row],[Housing]],Table14[[#This Row],[Household goods and services]])/2</f>
        <v>109.65</v>
      </c>
      <c r="AE29" s="1">
        <f>SUM(Table14[[#This Row],[Health]])</f>
        <v>108.3</v>
      </c>
      <c r="AF29" s="1">
        <f>SUM(Table14[[#This Row],[Recreation and amusement]],Table14[[#This Row],[Education]])/2</f>
        <v>108.75</v>
      </c>
      <c r="AG29" s="1">
        <f>SUM(Table14[[#This Row],[Miscellaneous]],Table14[[#This Row],[Personal care and effects]])/2</f>
        <v>107.7</v>
      </c>
    </row>
    <row r="30" spans="1:33" hidden="1" x14ac:dyDescent="0.3">
      <c r="A30" t="s">
        <v>35</v>
      </c>
      <c r="B30">
        <v>2013</v>
      </c>
      <c r="C30" t="s">
        <v>34</v>
      </c>
      <c r="D30">
        <v>116.4</v>
      </c>
      <c r="E30">
        <v>116.9</v>
      </c>
      <c r="F30">
        <v>112.3</v>
      </c>
      <c r="G30">
        <v>110.5</v>
      </c>
      <c r="H30">
        <v>105.3</v>
      </c>
      <c r="I30">
        <v>107.3</v>
      </c>
      <c r="J30">
        <v>160.9</v>
      </c>
      <c r="K30">
        <v>107.1</v>
      </c>
      <c r="L30">
        <v>103.1</v>
      </c>
      <c r="M30">
        <v>108.3</v>
      </c>
      <c r="N30">
        <v>110.7</v>
      </c>
      <c r="O30">
        <v>114.6</v>
      </c>
      <c r="P30">
        <v>118.3</v>
      </c>
      <c r="Q30">
        <v>109.7</v>
      </c>
      <c r="R30">
        <v>110.5</v>
      </c>
      <c r="S30">
        <v>109.6</v>
      </c>
      <c r="T30">
        <v>108.1</v>
      </c>
      <c r="U30">
        <v>109.9</v>
      </c>
      <c r="V30">
        <v>107.5</v>
      </c>
      <c r="W30">
        <v>110.6</v>
      </c>
      <c r="X30">
        <v>106.8</v>
      </c>
      <c r="Y30">
        <v>109</v>
      </c>
      <c r="Z30">
        <v>113.7</v>
      </c>
      <c r="AA30" s="1">
        <f>SUM(Table14[[#This Row],[Cereals and products]:[Food and beverages]])/13</f>
        <v>114.74615384615383</v>
      </c>
      <c r="AB30" s="1">
        <f>SUM(Table14[[#This Row],[Fuel and light]])</f>
        <v>110.5</v>
      </c>
      <c r="AC30" s="1">
        <f>SUM(Table14[[#This Row],[Transport and communication]])</f>
        <v>109.9</v>
      </c>
      <c r="AD30" s="1">
        <f>SUM(Table14[[#This Row],[Housing]],Table14[[#This Row],[Household goods and services]])/2</f>
        <v>109.65</v>
      </c>
      <c r="AE30" s="1">
        <f>SUM(Table14[[#This Row],[Health]])</f>
        <v>108.1</v>
      </c>
      <c r="AF30" s="1">
        <f>SUM(Table14[[#This Row],[Recreation and amusement]],Table14[[#This Row],[Education]])/2</f>
        <v>109.05</v>
      </c>
      <c r="AG30" s="1">
        <f>SUM(Table14[[#This Row],[Miscellaneous]],Table14[[#This Row],[Personal care and effects]])/2</f>
        <v>107.9</v>
      </c>
    </row>
    <row r="31" spans="1:33" hidden="1" x14ac:dyDescent="0.3">
      <c r="A31" t="s">
        <v>36</v>
      </c>
      <c r="B31">
        <v>2013</v>
      </c>
      <c r="C31" t="s">
        <v>34</v>
      </c>
      <c r="D31">
        <v>118.6</v>
      </c>
      <c r="E31">
        <v>119.1</v>
      </c>
      <c r="F31">
        <v>113.2</v>
      </c>
      <c r="G31">
        <v>109.6</v>
      </c>
      <c r="H31">
        <v>101.7</v>
      </c>
      <c r="I31">
        <v>103.2</v>
      </c>
      <c r="J31">
        <v>174.3</v>
      </c>
      <c r="K31">
        <v>105.1</v>
      </c>
      <c r="L31">
        <v>100.8</v>
      </c>
      <c r="M31">
        <v>109.1</v>
      </c>
      <c r="N31">
        <v>111.1</v>
      </c>
      <c r="O31">
        <v>115.4</v>
      </c>
      <c r="P31">
        <v>119.2</v>
      </c>
      <c r="Q31">
        <v>109.7</v>
      </c>
      <c r="R31">
        <v>109.5</v>
      </c>
      <c r="S31">
        <v>109.6</v>
      </c>
      <c r="T31">
        <v>107.9</v>
      </c>
      <c r="U31">
        <v>110.4</v>
      </c>
      <c r="V31">
        <v>107.4</v>
      </c>
      <c r="W31">
        <v>111.2</v>
      </c>
      <c r="X31">
        <v>106.9</v>
      </c>
      <c r="Y31">
        <v>109.4</v>
      </c>
      <c r="Z31">
        <v>113.2</v>
      </c>
      <c r="AA31" s="1">
        <f>SUM(Table14[[#This Row],[Cereals and products]:[Food and beverages]])/13</f>
        <v>115.41538461538462</v>
      </c>
      <c r="AB31" s="1">
        <f>SUM(Table14[[#This Row],[Fuel and light]])</f>
        <v>109.5</v>
      </c>
      <c r="AC31" s="1">
        <f>SUM(Table14[[#This Row],[Transport and communication]])</f>
        <v>110.4</v>
      </c>
      <c r="AD31" s="1">
        <f>SUM(Table14[[#This Row],[Housing]],Table14[[#This Row],[Household goods and services]])/2</f>
        <v>109.65</v>
      </c>
      <c r="AE31" s="1">
        <f>SUM(Table14[[#This Row],[Health]])</f>
        <v>107.9</v>
      </c>
      <c r="AF31" s="1">
        <f>SUM(Table14[[#This Row],[Recreation and amusement]],Table14[[#This Row],[Education]])/2</f>
        <v>109.30000000000001</v>
      </c>
      <c r="AG31" s="1">
        <f>SUM(Table14[[#This Row],[Miscellaneous]],Table14[[#This Row],[Personal care and effects]])/2</f>
        <v>108.15</v>
      </c>
    </row>
    <row r="32" spans="1:33" x14ac:dyDescent="0.3">
      <c r="A32" t="s">
        <v>33</v>
      </c>
      <c r="B32">
        <v>2022</v>
      </c>
      <c r="C32" t="s">
        <v>40</v>
      </c>
      <c r="D32">
        <v>164.7</v>
      </c>
      <c r="E32">
        <v>208.8</v>
      </c>
      <c r="F32">
        <v>170.3</v>
      </c>
      <c r="G32">
        <v>170.9</v>
      </c>
      <c r="H32">
        <v>191.6</v>
      </c>
      <c r="I32">
        <v>162.19999999999999</v>
      </c>
      <c r="J32">
        <v>184.8</v>
      </c>
      <c r="K32">
        <v>169.7</v>
      </c>
      <c r="L32">
        <v>121.1</v>
      </c>
      <c r="M32">
        <v>201.6</v>
      </c>
      <c r="N32">
        <v>175.8</v>
      </c>
      <c r="O32">
        <v>185.6</v>
      </c>
      <c r="P32">
        <v>177.4</v>
      </c>
      <c r="Q32">
        <v>163.6</v>
      </c>
      <c r="R32">
        <v>180.8</v>
      </c>
      <c r="S32">
        <v>174.4</v>
      </c>
      <c r="T32">
        <v>181.2</v>
      </c>
      <c r="U32">
        <v>167.4</v>
      </c>
      <c r="V32">
        <v>170.6</v>
      </c>
      <c r="W32">
        <v>176.5</v>
      </c>
      <c r="X32">
        <v>172</v>
      </c>
      <c r="Y32">
        <v>173.9</v>
      </c>
      <c r="Z32">
        <v>177.9</v>
      </c>
      <c r="AA32" s="1">
        <f>SUM(Table14[[#This Row],[Cereals and products]:[Food and beverages]])/13</f>
        <v>175.73076923076923</v>
      </c>
      <c r="AB32" s="1">
        <f>SUM(Table14[[#This Row],[Fuel and light]])</f>
        <v>180.8</v>
      </c>
      <c r="AC32" s="1">
        <f>SUM(Table14[[#This Row],[Transport and communication]])</f>
        <v>167.4</v>
      </c>
      <c r="AD32" s="1">
        <f>SUM(Table14[[#This Row],[Housing]],Table14[[#This Row],[Household goods and services]])/2</f>
        <v>169</v>
      </c>
      <c r="AE32" s="1">
        <f>SUM(Table14[[#This Row],[Health]])</f>
        <v>181.2</v>
      </c>
      <c r="AF32" s="1">
        <f>SUM(Table14[[#This Row],[Recreation and amusement]],Table14[[#This Row],[Education]])/2</f>
        <v>173.55</v>
      </c>
      <c r="AG32" s="1">
        <f>SUM(Table14[[#This Row],[Miscellaneous]],Table14[[#This Row],[Personal care and effects]])/2</f>
        <v>172.95</v>
      </c>
    </row>
    <row r="33" spans="1:33" hidden="1" x14ac:dyDescent="0.3">
      <c r="A33" t="s">
        <v>35</v>
      </c>
      <c r="B33">
        <v>2022</v>
      </c>
      <c r="C33" t="s">
        <v>40</v>
      </c>
      <c r="D33">
        <v>165.2</v>
      </c>
      <c r="E33">
        <v>210.9</v>
      </c>
      <c r="F33">
        <v>170.9</v>
      </c>
      <c r="G33">
        <v>170.9</v>
      </c>
      <c r="H33">
        <v>186.5</v>
      </c>
      <c r="I33">
        <v>163.80000000000001</v>
      </c>
      <c r="J33">
        <v>199.7</v>
      </c>
      <c r="K33">
        <v>169.8</v>
      </c>
      <c r="L33">
        <v>121.9</v>
      </c>
      <c r="M33">
        <v>199.9</v>
      </c>
      <c r="N33">
        <v>169.9</v>
      </c>
      <c r="O33">
        <v>188.3</v>
      </c>
      <c r="P33">
        <v>179.6</v>
      </c>
      <c r="Q33">
        <v>171.2</v>
      </c>
      <c r="R33">
        <v>180.5</v>
      </c>
      <c r="S33">
        <v>170.4</v>
      </c>
      <c r="T33">
        <v>178.7</v>
      </c>
      <c r="U33">
        <v>162.9</v>
      </c>
      <c r="V33">
        <v>168.2</v>
      </c>
      <c r="W33">
        <v>173.4</v>
      </c>
      <c r="X33">
        <v>172.1</v>
      </c>
      <c r="Y33">
        <v>170.5</v>
      </c>
      <c r="Z33">
        <v>176.7</v>
      </c>
      <c r="AA33" s="1">
        <f>SUM(Table14[[#This Row],[Cereals and products]:[Food and beverages]])/13</f>
        <v>176.71538461538464</v>
      </c>
      <c r="AB33" s="1">
        <f>SUM(Table14[[#This Row],[Fuel and light]])</f>
        <v>180.5</v>
      </c>
      <c r="AC33" s="1">
        <f>SUM(Table14[[#This Row],[Transport and communication]])</f>
        <v>162.9</v>
      </c>
      <c r="AD33" s="1">
        <f>SUM(Table14[[#This Row],[Housing]],Table14[[#This Row],[Household goods and services]])/2</f>
        <v>170.8</v>
      </c>
      <c r="AE33" s="1">
        <f>SUM(Table14[[#This Row],[Health]])</f>
        <v>178.7</v>
      </c>
      <c r="AF33" s="1">
        <f>SUM(Table14[[#This Row],[Recreation and amusement]],Table14[[#This Row],[Education]])/2</f>
        <v>170.8</v>
      </c>
      <c r="AG33" s="1">
        <f>SUM(Table14[[#This Row],[Miscellaneous]],Table14[[#This Row],[Personal care and effects]])/2</f>
        <v>171.3</v>
      </c>
    </row>
    <row r="34" spans="1:33" hidden="1" x14ac:dyDescent="0.3">
      <c r="A34" t="s">
        <v>36</v>
      </c>
      <c r="B34">
        <v>2022</v>
      </c>
      <c r="C34" t="s">
        <v>40</v>
      </c>
      <c r="D34">
        <v>166.4</v>
      </c>
      <c r="E34">
        <v>214.9</v>
      </c>
      <c r="F34">
        <v>171.9</v>
      </c>
      <c r="G34">
        <v>171</v>
      </c>
      <c r="H34">
        <v>177.7</v>
      </c>
      <c r="I34">
        <v>165.7</v>
      </c>
      <c r="J34">
        <v>228.6</v>
      </c>
      <c r="K34">
        <v>169.9</v>
      </c>
      <c r="L34">
        <v>123.4</v>
      </c>
      <c r="M34">
        <v>196.4</v>
      </c>
      <c r="N34">
        <v>161.6</v>
      </c>
      <c r="O34">
        <v>191.5</v>
      </c>
      <c r="P34">
        <v>183.3</v>
      </c>
      <c r="Q34">
        <v>171.2</v>
      </c>
      <c r="R34">
        <v>180</v>
      </c>
      <c r="S34">
        <v>166</v>
      </c>
      <c r="T34">
        <v>174.7</v>
      </c>
      <c r="U34">
        <v>158.80000000000001</v>
      </c>
      <c r="V34">
        <v>166.3</v>
      </c>
      <c r="W34">
        <v>171.2</v>
      </c>
      <c r="X34">
        <v>172.3</v>
      </c>
      <c r="Y34">
        <v>166.8</v>
      </c>
      <c r="Z34">
        <v>175.3</v>
      </c>
      <c r="AA34" s="1">
        <f>SUM(Table14[[#This Row],[Cereals and products]:[Food and beverages]])/13</f>
        <v>178.63846153846154</v>
      </c>
      <c r="AB34" s="1">
        <f>SUM(Table14[[#This Row],[Fuel and light]])</f>
        <v>180</v>
      </c>
      <c r="AC34" s="1">
        <f>SUM(Table14[[#This Row],[Transport and communication]])</f>
        <v>158.80000000000001</v>
      </c>
      <c r="AD34" s="1">
        <f>SUM(Table14[[#This Row],[Housing]],Table14[[#This Row],[Household goods and services]])/2</f>
        <v>168.6</v>
      </c>
      <c r="AE34" s="1">
        <f>SUM(Table14[[#This Row],[Health]])</f>
        <v>174.7</v>
      </c>
      <c r="AF34" s="1">
        <f>SUM(Table14[[#This Row],[Recreation and amusement]],Table14[[#This Row],[Education]])/2</f>
        <v>168.75</v>
      </c>
      <c r="AG34" s="1">
        <f>SUM(Table14[[#This Row],[Miscellaneous]],Table14[[#This Row],[Personal care and effects]])/2</f>
        <v>169.55</v>
      </c>
    </row>
    <row r="35" spans="1:33" hidden="1" x14ac:dyDescent="0.3">
      <c r="A35" t="s">
        <v>33</v>
      </c>
      <c r="B35">
        <v>2019</v>
      </c>
      <c r="C35" t="s">
        <v>41</v>
      </c>
      <c r="D35">
        <v>136.6</v>
      </c>
      <c r="E35">
        <v>152.5</v>
      </c>
      <c r="F35">
        <v>138.19999999999999</v>
      </c>
      <c r="G35">
        <v>142.4</v>
      </c>
      <c r="H35">
        <v>123.9</v>
      </c>
      <c r="I35">
        <v>135.5</v>
      </c>
      <c r="J35">
        <v>131.69999999999999</v>
      </c>
      <c r="K35">
        <v>121.3</v>
      </c>
      <c r="L35">
        <v>108.4</v>
      </c>
      <c r="M35">
        <v>138.9</v>
      </c>
      <c r="N35">
        <v>137</v>
      </c>
      <c r="O35">
        <v>155.80000000000001</v>
      </c>
      <c r="P35">
        <v>137.4</v>
      </c>
      <c r="Q35">
        <f>AVERAGE(Q36:Q37)</f>
        <v>147.69999999999999</v>
      </c>
      <c r="R35">
        <v>146.19999999999999</v>
      </c>
      <c r="S35">
        <v>150.1</v>
      </c>
      <c r="T35">
        <v>149.6</v>
      </c>
      <c r="U35">
        <v>128.6</v>
      </c>
      <c r="V35">
        <v>142.9</v>
      </c>
      <c r="W35">
        <v>155.19999999999999</v>
      </c>
      <c r="X35">
        <v>133.5</v>
      </c>
      <c r="Y35">
        <v>141.69999999999999</v>
      </c>
      <c r="Z35">
        <v>141</v>
      </c>
      <c r="AA35" s="1">
        <f>SUM(Table14[[#This Row],[Cereals and products]:[Food and beverages]])/13</f>
        <v>135.35384615384618</v>
      </c>
      <c r="AB35" s="1">
        <f>SUM(Table14[[#This Row],[Fuel and light]])</f>
        <v>146.19999999999999</v>
      </c>
      <c r="AC35" s="1">
        <f>SUM(Table14[[#This Row],[Transport and communication]])</f>
        <v>128.6</v>
      </c>
      <c r="AD35" s="1">
        <f>SUM(Table14[[#This Row],[Housing]],Table14[[#This Row],[Household goods and services]])/2</f>
        <v>148.89999999999998</v>
      </c>
      <c r="AE35" s="1">
        <f>SUM(Table14[[#This Row],[Health]])</f>
        <v>149.6</v>
      </c>
      <c r="AF35" s="1">
        <f>SUM(Table14[[#This Row],[Recreation and amusement]],Table14[[#This Row],[Education]])/2</f>
        <v>149.05000000000001</v>
      </c>
      <c r="AG35" s="1">
        <f>SUM(Table14[[#This Row],[Miscellaneous]],Table14[[#This Row],[Personal care and effects]])/2</f>
        <v>137.6</v>
      </c>
    </row>
    <row r="36" spans="1:33" hidden="1" x14ac:dyDescent="0.3">
      <c r="A36" t="s">
        <v>35</v>
      </c>
      <c r="B36">
        <v>2019</v>
      </c>
      <c r="C36" t="s">
        <v>41</v>
      </c>
      <c r="D36">
        <v>137.1</v>
      </c>
      <c r="E36">
        <v>151.4</v>
      </c>
      <c r="F36">
        <v>140.19999999999999</v>
      </c>
      <c r="G36">
        <v>142.1</v>
      </c>
      <c r="H36">
        <v>121.8</v>
      </c>
      <c r="I36">
        <v>135.4</v>
      </c>
      <c r="J36">
        <v>131.30000000000001</v>
      </c>
      <c r="K36">
        <v>120.3</v>
      </c>
      <c r="L36">
        <v>109.1</v>
      </c>
      <c r="M36">
        <v>139.4</v>
      </c>
      <c r="N36">
        <v>133.30000000000001</v>
      </c>
      <c r="O36">
        <v>154.6</v>
      </c>
      <c r="P36">
        <v>137.4</v>
      </c>
      <c r="Q36">
        <v>147.69999999999999</v>
      </c>
      <c r="R36">
        <v>139.5</v>
      </c>
      <c r="S36">
        <v>143.6</v>
      </c>
      <c r="T36">
        <v>145.1</v>
      </c>
      <c r="U36">
        <v>123.3</v>
      </c>
      <c r="V36">
        <v>136.69999999999999</v>
      </c>
      <c r="W36">
        <v>150.19999999999999</v>
      </c>
      <c r="X36">
        <v>132.80000000000001</v>
      </c>
      <c r="Y36">
        <v>136.9</v>
      </c>
      <c r="Z36">
        <v>139.6</v>
      </c>
      <c r="AA36" s="1">
        <f>SUM(Table14[[#This Row],[Cereals and products]:[Food and beverages]])/13</f>
        <v>134.87692307692308</v>
      </c>
      <c r="AB36" s="1">
        <f>SUM(Table14[[#This Row],[Fuel and light]])</f>
        <v>139.5</v>
      </c>
      <c r="AC36" s="1">
        <f>SUM(Table14[[#This Row],[Transport and communication]])</f>
        <v>123.3</v>
      </c>
      <c r="AD36" s="1">
        <f>SUM(Table14[[#This Row],[Housing]],Table14[[#This Row],[Household goods and services]])/2</f>
        <v>145.64999999999998</v>
      </c>
      <c r="AE36" s="1">
        <f>SUM(Table14[[#This Row],[Health]])</f>
        <v>145.1</v>
      </c>
      <c r="AF36" s="1">
        <f>SUM(Table14[[#This Row],[Recreation and amusement]],Table14[[#This Row],[Education]])/2</f>
        <v>143.44999999999999</v>
      </c>
      <c r="AG36" s="1">
        <f>SUM(Table14[[#This Row],[Miscellaneous]],Table14[[#This Row],[Personal care and effects]])/2</f>
        <v>134.85000000000002</v>
      </c>
    </row>
    <row r="37" spans="1:33" hidden="1" x14ac:dyDescent="0.3">
      <c r="A37" t="s">
        <v>36</v>
      </c>
      <c r="B37">
        <v>2019</v>
      </c>
      <c r="C37" t="s">
        <v>41</v>
      </c>
      <c r="D37">
        <v>138.30000000000001</v>
      </c>
      <c r="E37">
        <v>149.4</v>
      </c>
      <c r="F37">
        <v>143.5</v>
      </c>
      <c r="G37">
        <v>141.69999999999999</v>
      </c>
      <c r="H37">
        <v>118.1</v>
      </c>
      <c r="I37">
        <v>135.19999999999999</v>
      </c>
      <c r="J37">
        <v>130.5</v>
      </c>
      <c r="K37">
        <v>118.2</v>
      </c>
      <c r="L37">
        <v>110.4</v>
      </c>
      <c r="M37">
        <v>140.4</v>
      </c>
      <c r="N37">
        <v>128.1</v>
      </c>
      <c r="O37">
        <v>153.19999999999999</v>
      </c>
      <c r="P37">
        <v>137.30000000000001</v>
      </c>
      <c r="Q37">
        <v>147.69999999999999</v>
      </c>
      <c r="R37">
        <v>128.6</v>
      </c>
      <c r="S37">
        <v>136.30000000000001</v>
      </c>
      <c r="T37">
        <v>137.80000000000001</v>
      </c>
      <c r="U37">
        <v>118.6</v>
      </c>
      <c r="V37">
        <v>131.9</v>
      </c>
      <c r="W37">
        <v>146.6</v>
      </c>
      <c r="X37">
        <v>131.69999999999999</v>
      </c>
      <c r="Y37">
        <v>131.80000000000001</v>
      </c>
      <c r="Z37">
        <v>138</v>
      </c>
      <c r="AA37" s="1">
        <f>SUM(Table14[[#This Row],[Cereals and products]:[Food and beverages]])/13</f>
        <v>134.17692307692309</v>
      </c>
      <c r="AB37" s="1">
        <f>SUM(Table14[[#This Row],[Fuel and light]])</f>
        <v>128.6</v>
      </c>
      <c r="AC37" s="1">
        <f>SUM(Table14[[#This Row],[Transport and communication]])</f>
        <v>118.6</v>
      </c>
      <c r="AD37" s="1">
        <f>SUM(Table14[[#This Row],[Housing]],Table14[[#This Row],[Household goods and services]])/2</f>
        <v>142</v>
      </c>
      <c r="AE37" s="1">
        <f>SUM(Table14[[#This Row],[Health]])</f>
        <v>137.80000000000001</v>
      </c>
      <c r="AF37" s="1">
        <f>SUM(Table14[[#This Row],[Recreation and amusement]],Table14[[#This Row],[Education]])/2</f>
        <v>139.25</v>
      </c>
      <c r="AG37" s="1">
        <f>SUM(Table14[[#This Row],[Miscellaneous]],Table14[[#This Row],[Personal care and effects]])/2</f>
        <v>131.75</v>
      </c>
    </row>
    <row r="38" spans="1:33" hidden="1" x14ac:dyDescent="0.3">
      <c r="A38" t="s">
        <v>33</v>
      </c>
      <c r="B38">
        <v>2019</v>
      </c>
      <c r="C38" t="s">
        <v>42</v>
      </c>
      <c r="D38">
        <v>138.4</v>
      </c>
      <c r="E38">
        <v>164</v>
      </c>
      <c r="F38">
        <v>138.4</v>
      </c>
      <c r="G38">
        <v>143.9</v>
      </c>
      <c r="H38">
        <v>124.4</v>
      </c>
      <c r="I38">
        <v>146.4</v>
      </c>
      <c r="J38">
        <v>150.1</v>
      </c>
      <c r="K38">
        <v>130.6</v>
      </c>
      <c r="L38">
        <v>110.8</v>
      </c>
      <c r="M38">
        <v>141.69999999999999</v>
      </c>
      <c r="N38">
        <v>138.5</v>
      </c>
      <c r="O38">
        <v>156.69999999999999</v>
      </c>
      <c r="P38">
        <v>143</v>
      </c>
      <c r="Q38">
        <f>AVERAGE(Q39:Q40)</f>
        <v>150.6</v>
      </c>
      <c r="R38">
        <v>146.80000000000001</v>
      </c>
      <c r="S38">
        <v>150</v>
      </c>
      <c r="T38">
        <v>152.19999999999999</v>
      </c>
      <c r="U38">
        <v>131.19999999999999</v>
      </c>
      <c r="V38">
        <v>147.5</v>
      </c>
      <c r="W38">
        <v>159.1</v>
      </c>
      <c r="X38">
        <v>136.1</v>
      </c>
      <c r="Y38">
        <v>144.19999999999999</v>
      </c>
      <c r="Z38">
        <v>144.9</v>
      </c>
      <c r="AA38" s="1">
        <f>SUM(Table14[[#This Row],[Cereals and products]:[Food and beverages]])/13</f>
        <v>140.53076923076921</v>
      </c>
      <c r="AB38" s="1">
        <f>SUM(Table14[[#This Row],[Fuel and light]])</f>
        <v>146.80000000000001</v>
      </c>
      <c r="AC38" s="1">
        <f>SUM(Table14[[#This Row],[Transport and communication]])</f>
        <v>131.19999999999999</v>
      </c>
      <c r="AD38" s="1">
        <f>SUM(Table14[[#This Row],[Housing]],Table14[[#This Row],[Household goods and services]])/2</f>
        <v>150.30000000000001</v>
      </c>
      <c r="AE38" s="1">
        <f>SUM(Table14[[#This Row],[Health]])</f>
        <v>152.19999999999999</v>
      </c>
      <c r="AF38" s="1">
        <f>SUM(Table14[[#This Row],[Recreation and amusement]],Table14[[#This Row],[Education]])/2</f>
        <v>153.30000000000001</v>
      </c>
      <c r="AG38" s="1">
        <f>SUM(Table14[[#This Row],[Miscellaneous]],Table14[[#This Row],[Personal care and effects]])/2</f>
        <v>140.14999999999998</v>
      </c>
    </row>
    <row r="39" spans="1:33" hidden="1" x14ac:dyDescent="0.3">
      <c r="A39" t="s">
        <v>35</v>
      </c>
      <c r="B39">
        <v>2019</v>
      </c>
      <c r="C39" t="s">
        <v>42</v>
      </c>
      <c r="D39">
        <v>139.30000000000001</v>
      </c>
      <c r="E39">
        <v>162.69999999999999</v>
      </c>
      <c r="F39">
        <v>140</v>
      </c>
      <c r="G39">
        <v>144</v>
      </c>
      <c r="H39">
        <v>122.5</v>
      </c>
      <c r="I39">
        <v>150.30000000000001</v>
      </c>
      <c r="J39">
        <v>160.30000000000001</v>
      </c>
      <c r="K39">
        <v>130</v>
      </c>
      <c r="L39">
        <v>111.1</v>
      </c>
      <c r="M39">
        <v>141.69999999999999</v>
      </c>
      <c r="N39">
        <v>134.69999999999999</v>
      </c>
      <c r="O39">
        <v>156.19999999999999</v>
      </c>
      <c r="P39">
        <v>144.69999999999999</v>
      </c>
      <c r="Q39">
        <v>150.6</v>
      </c>
      <c r="R39">
        <v>139.30000000000001</v>
      </c>
      <c r="S39">
        <v>144.19999999999999</v>
      </c>
      <c r="T39">
        <v>147.9</v>
      </c>
      <c r="U39">
        <v>125.6</v>
      </c>
      <c r="V39">
        <v>140.5</v>
      </c>
      <c r="W39">
        <v>154</v>
      </c>
      <c r="X39">
        <v>135.69999999999999</v>
      </c>
      <c r="Y39">
        <v>139.5</v>
      </c>
      <c r="Z39">
        <v>144.19999999999999</v>
      </c>
      <c r="AA39" s="1">
        <f>SUM(Table14[[#This Row],[Cereals and products]:[Food and beverages]])/13</f>
        <v>141.34615384615384</v>
      </c>
      <c r="AB39" s="1">
        <f>SUM(Table14[[#This Row],[Fuel and light]])</f>
        <v>139.30000000000001</v>
      </c>
      <c r="AC39" s="1">
        <f>SUM(Table14[[#This Row],[Transport and communication]])</f>
        <v>125.6</v>
      </c>
      <c r="AD39" s="1">
        <f>SUM(Table14[[#This Row],[Housing]],Table14[[#This Row],[Household goods and services]])/2</f>
        <v>147.39999999999998</v>
      </c>
      <c r="AE39" s="1">
        <f>SUM(Table14[[#This Row],[Health]])</f>
        <v>147.9</v>
      </c>
      <c r="AF39" s="1">
        <f>SUM(Table14[[#This Row],[Recreation and amusement]],Table14[[#This Row],[Education]])/2</f>
        <v>147.25</v>
      </c>
      <c r="AG39" s="1">
        <f>SUM(Table14[[#This Row],[Miscellaneous]],Table14[[#This Row],[Personal care and effects]])/2</f>
        <v>137.6</v>
      </c>
    </row>
    <row r="40" spans="1:33" hidden="1" x14ac:dyDescent="0.3">
      <c r="A40" t="s">
        <v>36</v>
      </c>
      <c r="B40">
        <v>2019</v>
      </c>
      <c r="C40" t="s">
        <v>42</v>
      </c>
      <c r="D40">
        <v>141.4</v>
      </c>
      <c r="E40">
        <v>160.19999999999999</v>
      </c>
      <c r="F40">
        <v>142.5</v>
      </c>
      <c r="G40">
        <v>144.1</v>
      </c>
      <c r="H40">
        <v>119.3</v>
      </c>
      <c r="I40">
        <v>154.69999999999999</v>
      </c>
      <c r="J40">
        <v>180.1</v>
      </c>
      <c r="K40">
        <v>128.9</v>
      </c>
      <c r="L40">
        <v>111.8</v>
      </c>
      <c r="M40">
        <v>141.6</v>
      </c>
      <c r="N40">
        <v>129.5</v>
      </c>
      <c r="O40">
        <v>155.6</v>
      </c>
      <c r="P40">
        <v>147.69999999999999</v>
      </c>
      <c r="Q40">
        <v>150.6</v>
      </c>
      <c r="R40">
        <v>127</v>
      </c>
      <c r="S40">
        <v>137.69999999999999</v>
      </c>
      <c r="T40">
        <v>140.80000000000001</v>
      </c>
      <c r="U40">
        <v>120.6</v>
      </c>
      <c r="V40">
        <v>135</v>
      </c>
      <c r="W40">
        <v>150.4</v>
      </c>
      <c r="X40">
        <v>135.1</v>
      </c>
      <c r="Y40">
        <v>134.5</v>
      </c>
      <c r="Z40">
        <v>143.30000000000001</v>
      </c>
      <c r="AA40" s="1">
        <f>SUM(Table14[[#This Row],[Cereals and products]:[Food and beverages]])/13</f>
        <v>142.87692307692308</v>
      </c>
      <c r="AB40" s="1">
        <f>SUM(Table14[[#This Row],[Fuel and light]])</f>
        <v>127</v>
      </c>
      <c r="AC40" s="1">
        <f>SUM(Table14[[#This Row],[Transport and communication]])</f>
        <v>120.6</v>
      </c>
      <c r="AD40" s="1">
        <f>SUM(Table14[[#This Row],[Housing]],Table14[[#This Row],[Household goods and services]])/2</f>
        <v>144.14999999999998</v>
      </c>
      <c r="AE40" s="1">
        <f>SUM(Table14[[#This Row],[Health]])</f>
        <v>140.80000000000001</v>
      </c>
      <c r="AF40" s="1">
        <f>SUM(Table14[[#This Row],[Recreation and amusement]],Table14[[#This Row],[Education]])/2</f>
        <v>142.69999999999999</v>
      </c>
      <c r="AG40" s="1">
        <f>SUM(Table14[[#This Row],[Miscellaneous]],Table14[[#This Row],[Personal care and effects]])/2</f>
        <v>134.80000000000001</v>
      </c>
    </row>
    <row r="41" spans="1:33" hidden="1" x14ac:dyDescent="0.3">
      <c r="A41" t="s">
        <v>33</v>
      </c>
      <c r="B41">
        <v>2019</v>
      </c>
      <c r="C41" t="s">
        <v>43</v>
      </c>
      <c r="D41">
        <v>137.80000000000001</v>
      </c>
      <c r="E41">
        <v>163.5</v>
      </c>
      <c r="F41">
        <v>136.19999999999999</v>
      </c>
      <c r="G41">
        <v>143.19999999999999</v>
      </c>
      <c r="H41">
        <v>124.3</v>
      </c>
      <c r="I41">
        <v>143.30000000000001</v>
      </c>
      <c r="J41">
        <v>140.6</v>
      </c>
      <c r="K41">
        <v>128.69999999999999</v>
      </c>
      <c r="L41">
        <v>110.6</v>
      </c>
      <c r="M41">
        <v>140.4</v>
      </c>
      <c r="N41">
        <v>138</v>
      </c>
      <c r="O41">
        <v>156.6</v>
      </c>
      <c r="P41">
        <v>141</v>
      </c>
      <c r="Q41">
        <f>AVERAGE(Q42:Q43)</f>
        <v>149.4</v>
      </c>
      <c r="R41">
        <v>147.80000000000001</v>
      </c>
      <c r="S41">
        <v>149.6</v>
      </c>
      <c r="T41">
        <v>151.69999999999999</v>
      </c>
      <c r="U41">
        <v>130.19999999999999</v>
      </c>
      <c r="V41">
        <v>146.4</v>
      </c>
      <c r="W41">
        <v>157.69999999999999</v>
      </c>
      <c r="X41">
        <v>134.80000000000001</v>
      </c>
      <c r="Y41">
        <v>143.30000000000001</v>
      </c>
      <c r="Z41">
        <v>143.6</v>
      </c>
      <c r="AA41" s="1">
        <f>SUM(Table14[[#This Row],[Cereals and products]:[Food and beverages]])/13</f>
        <v>138.78461538461536</v>
      </c>
      <c r="AB41" s="1">
        <f>SUM(Table14[[#This Row],[Fuel and light]])</f>
        <v>147.80000000000001</v>
      </c>
      <c r="AC41" s="1">
        <f>SUM(Table14[[#This Row],[Transport and communication]])</f>
        <v>130.19999999999999</v>
      </c>
      <c r="AD41" s="1">
        <f>SUM(Table14[[#This Row],[Housing]],Table14[[#This Row],[Household goods and services]])/2</f>
        <v>149.5</v>
      </c>
      <c r="AE41" s="1">
        <f>SUM(Table14[[#This Row],[Health]])</f>
        <v>151.69999999999999</v>
      </c>
      <c r="AF41" s="1">
        <f>SUM(Table14[[#This Row],[Recreation and amusement]],Table14[[#This Row],[Education]])/2</f>
        <v>152.05000000000001</v>
      </c>
      <c r="AG41" s="1">
        <f>SUM(Table14[[#This Row],[Miscellaneous]],Table14[[#This Row],[Personal care and effects]])/2</f>
        <v>139.05000000000001</v>
      </c>
    </row>
    <row r="42" spans="1:33" hidden="1" x14ac:dyDescent="0.3">
      <c r="A42" t="s">
        <v>35</v>
      </c>
      <c r="B42">
        <v>2019</v>
      </c>
      <c r="C42" t="s">
        <v>43</v>
      </c>
      <c r="D42">
        <v>138.69999999999999</v>
      </c>
      <c r="E42">
        <v>162.1</v>
      </c>
      <c r="F42">
        <v>137.80000000000001</v>
      </c>
      <c r="G42">
        <v>143.30000000000001</v>
      </c>
      <c r="H42">
        <v>122.2</v>
      </c>
      <c r="I42">
        <v>146.80000000000001</v>
      </c>
      <c r="J42">
        <v>150.5</v>
      </c>
      <c r="K42">
        <v>128.30000000000001</v>
      </c>
      <c r="L42">
        <v>111</v>
      </c>
      <c r="M42">
        <v>140.6</v>
      </c>
      <c r="N42">
        <v>134.19999999999999</v>
      </c>
      <c r="O42">
        <v>155.9</v>
      </c>
      <c r="P42">
        <v>142.69999999999999</v>
      </c>
      <c r="Q42">
        <v>149.4</v>
      </c>
      <c r="R42">
        <v>141.19999999999999</v>
      </c>
      <c r="S42">
        <v>143.80000000000001</v>
      </c>
      <c r="T42">
        <v>147.4</v>
      </c>
      <c r="U42">
        <v>124.6</v>
      </c>
      <c r="V42">
        <v>139.6</v>
      </c>
      <c r="W42">
        <v>152.5</v>
      </c>
      <c r="X42">
        <v>134.30000000000001</v>
      </c>
      <c r="Y42">
        <v>138.6</v>
      </c>
      <c r="Z42">
        <v>142.9</v>
      </c>
      <c r="AA42" s="1">
        <f>SUM(Table14[[#This Row],[Cereals and products]:[Food and beverages]])/13</f>
        <v>139.54615384615386</v>
      </c>
      <c r="AB42" s="1">
        <f>SUM(Table14[[#This Row],[Fuel and light]])</f>
        <v>141.19999999999999</v>
      </c>
      <c r="AC42" s="1">
        <f>SUM(Table14[[#This Row],[Transport and communication]])</f>
        <v>124.6</v>
      </c>
      <c r="AD42" s="1">
        <f>SUM(Table14[[#This Row],[Housing]],Table14[[#This Row],[Household goods and services]])/2</f>
        <v>146.60000000000002</v>
      </c>
      <c r="AE42" s="1">
        <f>SUM(Table14[[#This Row],[Health]])</f>
        <v>147.4</v>
      </c>
      <c r="AF42" s="1">
        <f>SUM(Table14[[#This Row],[Recreation and amusement]],Table14[[#This Row],[Education]])/2</f>
        <v>146.05000000000001</v>
      </c>
      <c r="AG42" s="1">
        <f>SUM(Table14[[#This Row],[Miscellaneous]],Table14[[#This Row],[Personal care and effects]])/2</f>
        <v>136.44999999999999</v>
      </c>
    </row>
    <row r="43" spans="1:33" hidden="1" x14ac:dyDescent="0.3">
      <c r="A43" t="s">
        <v>36</v>
      </c>
      <c r="B43">
        <v>2019</v>
      </c>
      <c r="C43" t="s">
        <v>43</v>
      </c>
      <c r="D43">
        <v>140.69999999999999</v>
      </c>
      <c r="E43">
        <v>159.6</v>
      </c>
      <c r="F43">
        <v>140.4</v>
      </c>
      <c r="G43">
        <v>143.4</v>
      </c>
      <c r="H43">
        <v>118.6</v>
      </c>
      <c r="I43">
        <v>150.9</v>
      </c>
      <c r="J43">
        <v>169.8</v>
      </c>
      <c r="K43">
        <v>127.4</v>
      </c>
      <c r="L43">
        <v>111.8</v>
      </c>
      <c r="M43">
        <v>141</v>
      </c>
      <c r="N43">
        <v>129</v>
      </c>
      <c r="O43">
        <v>155.1</v>
      </c>
      <c r="P43">
        <v>145.6</v>
      </c>
      <c r="Q43">
        <v>149.4</v>
      </c>
      <c r="R43">
        <v>130.5</v>
      </c>
      <c r="S43">
        <v>137.4</v>
      </c>
      <c r="T43">
        <v>140.30000000000001</v>
      </c>
      <c r="U43">
        <v>119.6</v>
      </c>
      <c r="V43">
        <v>134.30000000000001</v>
      </c>
      <c r="W43">
        <v>148.9</v>
      </c>
      <c r="X43">
        <v>133.69999999999999</v>
      </c>
      <c r="Y43">
        <v>133.6</v>
      </c>
      <c r="Z43">
        <v>142.1</v>
      </c>
      <c r="AA43" s="1">
        <f>SUM(Table14[[#This Row],[Cereals and products]:[Food and beverages]])/13</f>
        <v>141.0230769230769</v>
      </c>
      <c r="AB43" s="1">
        <f>SUM(Table14[[#This Row],[Fuel and light]])</f>
        <v>130.5</v>
      </c>
      <c r="AC43" s="1">
        <f>SUM(Table14[[#This Row],[Transport and communication]])</f>
        <v>119.6</v>
      </c>
      <c r="AD43" s="1">
        <f>SUM(Table14[[#This Row],[Housing]],Table14[[#This Row],[Household goods and services]])/2</f>
        <v>143.4</v>
      </c>
      <c r="AE43" s="1">
        <f>SUM(Table14[[#This Row],[Health]])</f>
        <v>140.30000000000001</v>
      </c>
      <c r="AF43" s="1">
        <f>SUM(Table14[[#This Row],[Recreation and amusement]],Table14[[#This Row],[Education]])/2</f>
        <v>141.60000000000002</v>
      </c>
      <c r="AG43" s="1">
        <f>SUM(Table14[[#This Row],[Miscellaneous]],Table14[[#This Row],[Personal care and effects]])/2</f>
        <v>133.64999999999998</v>
      </c>
    </row>
    <row r="44" spans="1:33" hidden="1" x14ac:dyDescent="0.3">
      <c r="A44" t="s">
        <v>35</v>
      </c>
      <c r="B44">
        <v>2018</v>
      </c>
      <c r="C44" t="s">
        <v>40</v>
      </c>
      <c r="D44">
        <v>137.4</v>
      </c>
      <c r="E44">
        <v>149.5</v>
      </c>
      <c r="F44">
        <v>137.30000000000001</v>
      </c>
      <c r="G44">
        <v>141.9</v>
      </c>
      <c r="H44">
        <v>121.1</v>
      </c>
      <c r="I44">
        <v>142.5</v>
      </c>
      <c r="J44">
        <v>146.69999999999999</v>
      </c>
      <c r="K44">
        <v>119.1</v>
      </c>
      <c r="L44">
        <v>111.9</v>
      </c>
      <c r="M44">
        <v>141</v>
      </c>
      <c r="N44">
        <v>133.6</v>
      </c>
      <c r="O44">
        <v>154.5</v>
      </c>
      <c r="P44">
        <v>139.69999999999999</v>
      </c>
      <c r="Q44">
        <v>146.9</v>
      </c>
      <c r="R44">
        <v>145.30000000000001</v>
      </c>
      <c r="S44">
        <v>142.19999999999999</v>
      </c>
      <c r="T44">
        <v>142.1</v>
      </c>
      <c r="U44">
        <v>125.5</v>
      </c>
      <c r="V44">
        <v>136.5</v>
      </c>
      <c r="W44">
        <v>147.80000000000001</v>
      </c>
      <c r="X44">
        <v>132</v>
      </c>
      <c r="Y44">
        <v>136.30000000000001</v>
      </c>
      <c r="Z44">
        <v>140.80000000000001</v>
      </c>
      <c r="AA44" s="1">
        <f>SUM(Table14[[#This Row],[Cereals and products]:[Food and beverages]])/13</f>
        <v>136.63076923076923</v>
      </c>
      <c r="AB44" s="1">
        <f>SUM(Table14[[#This Row],[Fuel and light]])</f>
        <v>145.30000000000001</v>
      </c>
      <c r="AC44" s="1">
        <f>SUM(Table14[[#This Row],[Transport and communication]])</f>
        <v>125.5</v>
      </c>
      <c r="AD44" s="1">
        <f>SUM(Table14[[#This Row],[Housing]],Table14[[#This Row],[Household goods and services]])/2</f>
        <v>144.55000000000001</v>
      </c>
      <c r="AE44" s="1">
        <f>SUM(Table14[[#This Row],[Health]])</f>
        <v>142.1</v>
      </c>
      <c r="AF44" s="1">
        <f>SUM(Table14[[#This Row],[Recreation and amusement]],Table14[[#This Row],[Education]])/2</f>
        <v>142.15</v>
      </c>
      <c r="AG44" s="1">
        <f>SUM(Table14[[#This Row],[Miscellaneous]],Table14[[#This Row],[Personal care and effects]])/2</f>
        <v>134.15</v>
      </c>
    </row>
    <row r="45" spans="1:33" hidden="1" x14ac:dyDescent="0.3">
      <c r="A45" t="s">
        <v>36</v>
      </c>
      <c r="B45">
        <v>2018</v>
      </c>
      <c r="C45" t="s">
        <v>40</v>
      </c>
      <c r="D45">
        <v>137.6</v>
      </c>
      <c r="E45">
        <v>144.9</v>
      </c>
      <c r="F45">
        <v>133.5</v>
      </c>
      <c r="G45">
        <v>141.5</v>
      </c>
      <c r="H45">
        <v>118</v>
      </c>
      <c r="I45">
        <v>139.5</v>
      </c>
      <c r="J45">
        <v>153</v>
      </c>
      <c r="K45">
        <v>113.2</v>
      </c>
      <c r="L45">
        <v>112.8</v>
      </c>
      <c r="M45">
        <v>141.1</v>
      </c>
      <c r="N45">
        <v>127.6</v>
      </c>
      <c r="O45">
        <v>152</v>
      </c>
      <c r="P45">
        <v>139.4</v>
      </c>
      <c r="Q45">
        <v>146.30000000000001</v>
      </c>
      <c r="R45">
        <v>133.4</v>
      </c>
      <c r="S45">
        <v>135.1</v>
      </c>
      <c r="T45">
        <v>136.19999999999999</v>
      </c>
      <c r="U45">
        <v>123.3</v>
      </c>
      <c r="V45">
        <v>130.69999999999999</v>
      </c>
      <c r="W45">
        <v>145.5</v>
      </c>
      <c r="X45">
        <v>130.4</v>
      </c>
      <c r="Y45">
        <v>132.5</v>
      </c>
      <c r="Z45">
        <v>138.9</v>
      </c>
      <c r="AA45" s="1">
        <f>SUM(Table14[[#This Row],[Cereals and products]:[Food and beverages]])/13</f>
        <v>134.93076923076922</v>
      </c>
      <c r="AB45" s="1">
        <f>SUM(Table14[[#This Row],[Fuel and light]])</f>
        <v>133.4</v>
      </c>
      <c r="AC45" s="1">
        <f>SUM(Table14[[#This Row],[Transport and communication]])</f>
        <v>123.3</v>
      </c>
      <c r="AD45" s="1">
        <f>SUM(Table14[[#This Row],[Housing]],Table14[[#This Row],[Household goods and services]])/2</f>
        <v>140.69999999999999</v>
      </c>
      <c r="AE45" s="1">
        <f>SUM(Table14[[#This Row],[Health]])</f>
        <v>136.19999999999999</v>
      </c>
      <c r="AF45" s="1">
        <f>SUM(Table14[[#This Row],[Recreation and amusement]],Table14[[#This Row],[Education]])/2</f>
        <v>138.1</v>
      </c>
      <c r="AG45" s="1">
        <f>SUM(Table14[[#This Row],[Miscellaneous]],Table14[[#This Row],[Personal care and effects]])/2</f>
        <v>131.44999999999999</v>
      </c>
    </row>
    <row r="46" spans="1:33" hidden="1" x14ac:dyDescent="0.3">
      <c r="A46" t="s">
        <v>33</v>
      </c>
      <c r="B46">
        <v>2018</v>
      </c>
      <c r="C46" t="s">
        <v>40</v>
      </c>
      <c r="D46">
        <v>139.30000000000001</v>
      </c>
      <c r="E46">
        <v>147.6</v>
      </c>
      <c r="F46">
        <v>134.6</v>
      </c>
      <c r="G46">
        <v>141.9</v>
      </c>
      <c r="H46">
        <v>123.5</v>
      </c>
      <c r="I46">
        <v>144.5</v>
      </c>
      <c r="J46">
        <v>147.6</v>
      </c>
      <c r="K46">
        <v>121.4</v>
      </c>
      <c r="L46">
        <v>112.3</v>
      </c>
      <c r="M46">
        <v>139.5</v>
      </c>
      <c r="N46">
        <v>134.6</v>
      </c>
      <c r="O46">
        <v>155.19999999999999</v>
      </c>
      <c r="P46">
        <v>140.19999999999999</v>
      </c>
      <c r="Q46">
        <v>146.6</v>
      </c>
      <c r="R46">
        <v>149.69999999999999</v>
      </c>
      <c r="S46">
        <v>147.5</v>
      </c>
      <c r="T46">
        <v>144.80000000000001</v>
      </c>
      <c r="U46">
        <v>130.80000000000001</v>
      </c>
      <c r="V46">
        <v>140.1</v>
      </c>
      <c r="W46">
        <v>148</v>
      </c>
      <c r="X46">
        <v>134.4</v>
      </c>
      <c r="Y46">
        <v>139.80000000000001</v>
      </c>
      <c r="Z46">
        <v>142.19999999999999</v>
      </c>
      <c r="AA46" s="1">
        <f>SUM(Table14[[#This Row],[Cereals and products]:[Food and beverages]])/13</f>
        <v>137.09230769230768</v>
      </c>
      <c r="AB46" s="1">
        <f>SUM(Table14[[#This Row],[Fuel and light]])</f>
        <v>149.69999999999999</v>
      </c>
      <c r="AC46" s="1">
        <f>SUM(Table14[[#This Row],[Transport and communication]])</f>
        <v>130.80000000000001</v>
      </c>
      <c r="AD46" s="1">
        <f>SUM(Table14[[#This Row],[Housing]],Table14[[#This Row],[Household goods and services]])/2</f>
        <v>147.05000000000001</v>
      </c>
      <c r="AE46" s="1">
        <f>SUM(Table14[[#This Row],[Health]])</f>
        <v>144.80000000000001</v>
      </c>
      <c r="AF46" s="1">
        <f>SUM(Table14[[#This Row],[Recreation and amusement]],Table14[[#This Row],[Education]])/2</f>
        <v>144.05000000000001</v>
      </c>
      <c r="AG46" s="1">
        <f>SUM(Table14[[#This Row],[Miscellaneous]],Table14[[#This Row],[Personal care and effects]])/2</f>
        <v>137.10000000000002</v>
      </c>
    </row>
    <row r="47" spans="1:33" hidden="1" x14ac:dyDescent="0.3">
      <c r="A47" t="s">
        <v>36</v>
      </c>
      <c r="B47">
        <v>2017</v>
      </c>
      <c r="C47" t="s">
        <v>40</v>
      </c>
      <c r="D47">
        <v>133.9</v>
      </c>
      <c r="E47">
        <v>142.80000000000001</v>
      </c>
      <c r="F47">
        <v>131.4</v>
      </c>
      <c r="G47">
        <v>139.1</v>
      </c>
      <c r="H47">
        <v>114.9</v>
      </c>
      <c r="I47">
        <v>135.6</v>
      </c>
      <c r="J47">
        <v>173.2</v>
      </c>
      <c r="K47">
        <v>124.1</v>
      </c>
      <c r="L47">
        <v>122.6</v>
      </c>
      <c r="M47">
        <v>137.80000000000001</v>
      </c>
      <c r="N47">
        <v>125.1</v>
      </c>
      <c r="O47">
        <v>145.5</v>
      </c>
      <c r="P47">
        <v>139.69999999999999</v>
      </c>
      <c r="Q47">
        <v>137.30000000000001</v>
      </c>
      <c r="R47">
        <v>122.6</v>
      </c>
      <c r="S47">
        <v>128.30000000000001</v>
      </c>
      <c r="T47">
        <v>126.6</v>
      </c>
      <c r="U47">
        <v>115</v>
      </c>
      <c r="V47">
        <v>124.8</v>
      </c>
      <c r="W47">
        <v>136.30000000000001</v>
      </c>
      <c r="X47">
        <v>124.6</v>
      </c>
      <c r="Y47">
        <v>124.5</v>
      </c>
      <c r="Z47">
        <v>133.5</v>
      </c>
      <c r="AA47" s="1">
        <f>SUM(Table14[[#This Row],[Cereals and products]:[Food and beverages]])/13</f>
        <v>135.82307692307691</v>
      </c>
      <c r="AB47" s="1">
        <f>SUM(Table14[[#This Row],[Fuel and light]])</f>
        <v>122.6</v>
      </c>
      <c r="AC47" s="1">
        <f>SUM(Table14[[#This Row],[Transport and communication]])</f>
        <v>115</v>
      </c>
      <c r="AD47" s="1">
        <f>SUM(Table14[[#This Row],[Housing]],Table14[[#This Row],[Household goods and services]])/2</f>
        <v>132.80000000000001</v>
      </c>
      <c r="AE47" s="1">
        <f>SUM(Table14[[#This Row],[Health]])</f>
        <v>126.6</v>
      </c>
      <c r="AF47" s="1">
        <f>SUM(Table14[[#This Row],[Recreation and amusement]],Table14[[#This Row],[Education]])/2</f>
        <v>130.55000000000001</v>
      </c>
      <c r="AG47" s="1">
        <f>SUM(Table14[[#This Row],[Miscellaneous]],Table14[[#This Row],[Personal care and effects]])/2</f>
        <v>124.55</v>
      </c>
    </row>
    <row r="48" spans="1:33" hidden="1" x14ac:dyDescent="0.3">
      <c r="A48" t="s">
        <v>35</v>
      </c>
      <c r="B48">
        <v>2017</v>
      </c>
      <c r="C48" t="s">
        <v>40</v>
      </c>
      <c r="D48">
        <v>135.30000000000001</v>
      </c>
      <c r="E48">
        <v>142.19999999999999</v>
      </c>
      <c r="F48">
        <v>131.19999999999999</v>
      </c>
      <c r="G48">
        <v>140.6</v>
      </c>
      <c r="H48">
        <v>119</v>
      </c>
      <c r="I48">
        <v>141.5</v>
      </c>
      <c r="J48">
        <v>162.6</v>
      </c>
      <c r="K48">
        <v>132.30000000000001</v>
      </c>
      <c r="L48">
        <v>121.8</v>
      </c>
      <c r="M48">
        <v>136.30000000000001</v>
      </c>
      <c r="N48">
        <v>128.69999999999999</v>
      </c>
      <c r="O48">
        <v>148.1</v>
      </c>
      <c r="P48">
        <v>140.1</v>
      </c>
      <c r="Q48">
        <v>137.30000000000001</v>
      </c>
      <c r="R48">
        <v>132.19999999999999</v>
      </c>
      <c r="S48">
        <v>133.6</v>
      </c>
      <c r="T48">
        <v>131.30000000000001</v>
      </c>
      <c r="U48">
        <v>117.8</v>
      </c>
      <c r="V48">
        <v>128.4</v>
      </c>
      <c r="W48">
        <v>137.9</v>
      </c>
      <c r="X48">
        <v>126.2</v>
      </c>
      <c r="Y48">
        <v>127.7</v>
      </c>
      <c r="Z48">
        <v>136.1</v>
      </c>
      <c r="AA48" s="1">
        <f>SUM(Table14[[#This Row],[Cereals and products]:[Food and beverages]])/13</f>
        <v>136.89999999999998</v>
      </c>
      <c r="AB48" s="1">
        <f>SUM(Table14[[#This Row],[Fuel and light]])</f>
        <v>132.19999999999999</v>
      </c>
      <c r="AC48" s="1">
        <f>SUM(Table14[[#This Row],[Transport and communication]])</f>
        <v>117.8</v>
      </c>
      <c r="AD48" s="1">
        <f>SUM(Table14[[#This Row],[Housing]],Table14[[#This Row],[Household goods and services]])/2</f>
        <v>135.44999999999999</v>
      </c>
      <c r="AE48" s="1">
        <f>SUM(Table14[[#This Row],[Health]])</f>
        <v>131.30000000000001</v>
      </c>
      <c r="AF48" s="1">
        <f>SUM(Table14[[#This Row],[Recreation and amusement]],Table14[[#This Row],[Education]])/2</f>
        <v>133.15</v>
      </c>
      <c r="AG48" s="1">
        <f>SUM(Table14[[#This Row],[Miscellaneous]],Table14[[#This Row],[Personal care and effects]])/2</f>
        <v>126.95</v>
      </c>
    </row>
    <row r="49" spans="1:33" hidden="1" x14ac:dyDescent="0.3">
      <c r="A49" t="s">
        <v>33</v>
      </c>
      <c r="B49">
        <v>2017</v>
      </c>
      <c r="C49" t="s">
        <v>40</v>
      </c>
      <c r="D49">
        <v>135.9</v>
      </c>
      <c r="E49">
        <v>141.9</v>
      </c>
      <c r="F49">
        <v>131</v>
      </c>
      <c r="G49">
        <v>141.5</v>
      </c>
      <c r="H49">
        <v>121.4</v>
      </c>
      <c r="I49">
        <v>146.69999999999999</v>
      </c>
      <c r="J49">
        <v>157.1</v>
      </c>
      <c r="K49">
        <v>136.4</v>
      </c>
      <c r="L49">
        <v>121.4</v>
      </c>
      <c r="M49">
        <v>135.6</v>
      </c>
      <c r="N49">
        <v>131.30000000000001</v>
      </c>
      <c r="O49">
        <v>150.30000000000001</v>
      </c>
      <c r="P49">
        <v>140.4</v>
      </c>
      <c r="Q49">
        <v>137.30000000000001</v>
      </c>
      <c r="R49">
        <v>138.1</v>
      </c>
      <c r="S49">
        <v>138.4</v>
      </c>
      <c r="T49">
        <v>134.19999999999999</v>
      </c>
      <c r="U49">
        <v>121</v>
      </c>
      <c r="V49">
        <v>133</v>
      </c>
      <c r="W49">
        <v>140.1</v>
      </c>
      <c r="X49">
        <v>127.4</v>
      </c>
      <c r="Y49">
        <v>130.69999999999999</v>
      </c>
      <c r="Z49">
        <v>138.30000000000001</v>
      </c>
      <c r="AA49" s="1">
        <f>SUM(Table14[[#This Row],[Cereals and products]:[Food and beverages]])/13</f>
        <v>137.76153846153846</v>
      </c>
      <c r="AB49" s="1">
        <f>SUM(Table14[[#This Row],[Fuel and light]])</f>
        <v>138.1</v>
      </c>
      <c r="AC49" s="1">
        <f>SUM(Table14[[#This Row],[Transport and communication]])</f>
        <v>121</v>
      </c>
      <c r="AD49" s="1">
        <f>SUM(Table14[[#This Row],[Housing]],Table14[[#This Row],[Household goods and services]])/2</f>
        <v>137.85000000000002</v>
      </c>
      <c r="AE49" s="1">
        <f>SUM(Table14[[#This Row],[Health]])</f>
        <v>134.19999999999999</v>
      </c>
      <c r="AF49" s="1">
        <f>SUM(Table14[[#This Row],[Recreation and amusement]],Table14[[#This Row],[Education]])/2</f>
        <v>136.55000000000001</v>
      </c>
      <c r="AG49" s="1">
        <f>SUM(Table14[[#This Row],[Miscellaneous]],Table14[[#This Row],[Personal care and effects]])/2</f>
        <v>129.05000000000001</v>
      </c>
    </row>
    <row r="50" spans="1:33" hidden="1" x14ac:dyDescent="0.3">
      <c r="A50" t="s">
        <v>36</v>
      </c>
      <c r="B50">
        <v>2016</v>
      </c>
      <c r="C50" t="s">
        <v>40</v>
      </c>
      <c r="D50">
        <v>128.69999999999999</v>
      </c>
      <c r="E50">
        <v>138.4</v>
      </c>
      <c r="F50">
        <v>130.30000000000001</v>
      </c>
      <c r="G50">
        <v>132.69999999999999</v>
      </c>
      <c r="H50">
        <v>112.5</v>
      </c>
      <c r="I50">
        <v>130.4</v>
      </c>
      <c r="J50">
        <v>155.1</v>
      </c>
      <c r="K50">
        <v>175.7</v>
      </c>
      <c r="L50">
        <v>115.4</v>
      </c>
      <c r="M50">
        <v>145.30000000000001</v>
      </c>
      <c r="N50">
        <v>122.5</v>
      </c>
      <c r="O50">
        <v>139.6</v>
      </c>
      <c r="P50">
        <v>136.30000000000001</v>
      </c>
      <c r="Q50">
        <v>128.69999999999999</v>
      </c>
      <c r="R50">
        <v>115.2</v>
      </c>
      <c r="S50">
        <v>124.5</v>
      </c>
      <c r="T50">
        <v>121.8</v>
      </c>
      <c r="U50">
        <v>112.8</v>
      </c>
      <c r="V50">
        <v>121.2</v>
      </c>
      <c r="W50">
        <v>131.9</v>
      </c>
      <c r="X50">
        <v>120.8</v>
      </c>
      <c r="Y50">
        <v>120.9</v>
      </c>
      <c r="Z50">
        <v>128.6</v>
      </c>
      <c r="AA50" s="1">
        <f>SUM(Table14[[#This Row],[Cereals and products]:[Food and beverages]])/13</f>
        <v>135.6076923076923</v>
      </c>
      <c r="AB50" s="1">
        <f>SUM(Table14[[#This Row],[Fuel and light]])</f>
        <v>115.2</v>
      </c>
      <c r="AC50" s="1">
        <f>SUM(Table14[[#This Row],[Transport and communication]])</f>
        <v>112.8</v>
      </c>
      <c r="AD50" s="1">
        <f>SUM(Table14[[#This Row],[Housing]],Table14[[#This Row],[Household goods and services]])/2</f>
        <v>126.6</v>
      </c>
      <c r="AE50" s="1">
        <f>SUM(Table14[[#This Row],[Health]])</f>
        <v>121.8</v>
      </c>
      <c r="AF50" s="1">
        <f>SUM(Table14[[#This Row],[Recreation and amusement]],Table14[[#This Row],[Education]])/2</f>
        <v>126.55000000000001</v>
      </c>
      <c r="AG50" s="1">
        <f>SUM(Table14[[#This Row],[Miscellaneous]],Table14[[#This Row],[Personal care and effects]])/2</f>
        <v>120.85</v>
      </c>
    </row>
    <row r="51" spans="1:33" hidden="1" x14ac:dyDescent="0.3">
      <c r="A51" t="s">
        <v>35</v>
      </c>
      <c r="B51">
        <v>2016</v>
      </c>
      <c r="C51" t="s">
        <v>40</v>
      </c>
      <c r="D51">
        <v>130.5</v>
      </c>
      <c r="E51">
        <v>137.9</v>
      </c>
      <c r="F51">
        <v>130.19999999999999</v>
      </c>
      <c r="G51">
        <v>134.80000000000001</v>
      </c>
      <c r="H51">
        <v>117.8</v>
      </c>
      <c r="I51">
        <v>134.69999999999999</v>
      </c>
      <c r="J51">
        <v>151.19999999999999</v>
      </c>
      <c r="K51">
        <v>172.1</v>
      </c>
      <c r="L51">
        <v>114.1</v>
      </c>
      <c r="M51">
        <v>139.30000000000001</v>
      </c>
      <c r="N51">
        <v>126.1</v>
      </c>
      <c r="O51">
        <v>141.1</v>
      </c>
      <c r="P51">
        <v>137</v>
      </c>
      <c r="Q51">
        <v>128.69999999999999</v>
      </c>
      <c r="R51">
        <v>124.3</v>
      </c>
      <c r="S51">
        <v>128.4</v>
      </c>
      <c r="T51">
        <v>126.1</v>
      </c>
      <c r="U51">
        <v>115.2</v>
      </c>
      <c r="V51">
        <v>123.5</v>
      </c>
      <c r="W51">
        <v>132.4</v>
      </c>
      <c r="X51">
        <v>122.1</v>
      </c>
      <c r="Y51">
        <v>123.4</v>
      </c>
      <c r="Z51">
        <v>131.4</v>
      </c>
      <c r="AA51" s="1">
        <f>SUM(Table14[[#This Row],[Cereals and products]:[Food and beverages]])/13</f>
        <v>135.90769230769226</v>
      </c>
      <c r="AB51" s="1">
        <f>SUM(Table14[[#This Row],[Fuel and light]])</f>
        <v>124.3</v>
      </c>
      <c r="AC51" s="1">
        <f>SUM(Table14[[#This Row],[Transport and communication]])</f>
        <v>115.2</v>
      </c>
      <c r="AD51" s="1">
        <f>SUM(Table14[[#This Row],[Housing]],Table14[[#This Row],[Household goods and services]])/2</f>
        <v>128.55000000000001</v>
      </c>
      <c r="AE51" s="1">
        <f>SUM(Table14[[#This Row],[Health]])</f>
        <v>126.1</v>
      </c>
      <c r="AF51" s="1">
        <f>SUM(Table14[[#This Row],[Recreation and amusement]],Table14[[#This Row],[Education]])/2</f>
        <v>127.95</v>
      </c>
      <c r="AG51" s="1">
        <f>SUM(Table14[[#This Row],[Miscellaneous]],Table14[[#This Row],[Personal care and effects]])/2</f>
        <v>122.75</v>
      </c>
    </row>
    <row r="52" spans="1:33" hidden="1" x14ac:dyDescent="0.3">
      <c r="A52" t="s">
        <v>33</v>
      </c>
      <c r="B52">
        <v>2016</v>
      </c>
      <c r="C52" t="s">
        <v>40</v>
      </c>
      <c r="D52">
        <v>131.30000000000001</v>
      </c>
      <c r="E52">
        <v>137.6</v>
      </c>
      <c r="F52">
        <v>130.1</v>
      </c>
      <c r="G52">
        <v>136</v>
      </c>
      <c r="H52">
        <v>120.8</v>
      </c>
      <c r="I52">
        <v>138.4</v>
      </c>
      <c r="J52">
        <v>149.19999999999999</v>
      </c>
      <c r="K52">
        <v>170.2</v>
      </c>
      <c r="L52">
        <v>113.4</v>
      </c>
      <c r="M52">
        <v>136.30000000000001</v>
      </c>
      <c r="N52">
        <v>128.69999999999999</v>
      </c>
      <c r="O52">
        <v>142.4</v>
      </c>
      <c r="P52">
        <v>137.4</v>
      </c>
      <c r="Q52">
        <v>128.69999999999999</v>
      </c>
      <c r="R52">
        <v>129.80000000000001</v>
      </c>
      <c r="S52">
        <v>131.80000000000001</v>
      </c>
      <c r="T52">
        <v>128.69999999999999</v>
      </c>
      <c r="U52">
        <v>117.8</v>
      </c>
      <c r="V52">
        <v>126.5</v>
      </c>
      <c r="W52">
        <v>133</v>
      </c>
      <c r="X52">
        <v>123</v>
      </c>
      <c r="Y52">
        <v>125.7</v>
      </c>
      <c r="Z52">
        <v>133.80000000000001</v>
      </c>
      <c r="AA52" s="1">
        <f>SUM(Table14[[#This Row],[Cereals and products]:[Food and beverages]])/13</f>
        <v>136.2923076923077</v>
      </c>
      <c r="AB52" s="1">
        <f>SUM(Table14[[#This Row],[Fuel and light]])</f>
        <v>129.80000000000001</v>
      </c>
      <c r="AC52" s="1">
        <f>SUM(Table14[[#This Row],[Transport and communication]])</f>
        <v>117.8</v>
      </c>
      <c r="AD52" s="1">
        <f>SUM(Table14[[#This Row],[Housing]],Table14[[#This Row],[Household goods and services]])/2</f>
        <v>130.25</v>
      </c>
      <c r="AE52" s="1">
        <f>SUM(Table14[[#This Row],[Health]])</f>
        <v>128.69999999999999</v>
      </c>
      <c r="AF52" s="1">
        <f>SUM(Table14[[#This Row],[Recreation and amusement]],Table14[[#This Row],[Education]])/2</f>
        <v>129.75</v>
      </c>
      <c r="AG52" s="1">
        <f>SUM(Table14[[#This Row],[Miscellaneous]],Table14[[#This Row],[Personal care and effects]])/2</f>
        <v>124.35</v>
      </c>
    </row>
    <row r="53" spans="1:33" hidden="1" x14ac:dyDescent="0.3">
      <c r="A53" t="s">
        <v>36</v>
      </c>
      <c r="B53">
        <v>2015</v>
      </c>
      <c r="C53" t="s">
        <v>40</v>
      </c>
      <c r="D53">
        <v>123.6</v>
      </c>
      <c r="E53">
        <v>128.6</v>
      </c>
      <c r="F53">
        <v>115.9</v>
      </c>
      <c r="G53">
        <v>128.5</v>
      </c>
      <c r="H53">
        <v>109</v>
      </c>
      <c r="I53">
        <v>124.1</v>
      </c>
      <c r="J53">
        <v>165.8</v>
      </c>
      <c r="K53">
        <v>187.2</v>
      </c>
      <c r="L53">
        <v>89.4</v>
      </c>
      <c r="M53">
        <v>135.80000000000001</v>
      </c>
      <c r="N53">
        <v>119.4</v>
      </c>
      <c r="O53">
        <v>132.9</v>
      </c>
      <c r="P53">
        <v>132.6</v>
      </c>
      <c r="Q53">
        <v>122.4</v>
      </c>
      <c r="R53">
        <v>114.9</v>
      </c>
      <c r="S53">
        <v>120.7</v>
      </c>
      <c r="T53">
        <v>117.7</v>
      </c>
      <c r="U53">
        <v>109.3</v>
      </c>
      <c r="V53">
        <v>117.7</v>
      </c>
      <c r="W53">
        <v>126.5</v>
      </c>
      <c r="X53">
        <v>113.5</v>
      </c>
      <c r="Y53">
        <v>116.5</v>
      </c>
      <c r="Z53">
        <v>124.2</v>
      </c>
      <c r="AA53" s="1">
        <f>SUM(Table14[[#This Row],[Cereals and products]:[Food and beverages]])/13</f>
        <v>130.21538461538464</v>
      </c>
      <c r="AB53" s="1">
        <f>SUM(Table14[[#This Row],[Fuel and light]])</f>
        <v>114.9</v>
      </c>
      <c r="AC53" s="1">
        <f>SUM(Table14[[#This Row],[Transport and communication]])</f>
        <v>109.3</v>
      </c>
      <c r="AD53" s="1">
        <f>SUM(Table14[[#This Row],[Housing]],Table14[[#This Row],[Household goods and services]])/2</f>
        <v>121.55000000000001</v>
      </c>
      <c r="AE53" s="1">
        <f>SUM(Table14[[#This Row],[Health]])</f>
        <v>117.7</v>
      </c>
      <c r="AF53" s="1">
        <f>SUM(Table14[[#This Row],[Recreation and amusement]],Table14[[#This Row],[Education]])/2</f>
        <v>122.1</v>
      </c>
      <c r="AG53" s="1">
        <f>SUM(Table14[[#This Row],[Miscellaneous]],Table14[[#This Row],[Personal care and effects]])/2</f>
        <v>115</v>
      </c>
    </row>
    <row r="54" spans="1:33" hidden="1" x14ac:dyDescent="0.3">
      <c r="A54" t="s">
        <v>35</v>
      </c>
      <c r="B54">
        <v>2015</v>
      </c>
      <c r="C54" t="s">
        <v>40</v>
      </c>
      <c r="D54">
        <v>125</v>
      </c>
      <c r="E54">
        <v>129.80000000000001</v>
      </c>
      <c r="F54">
        <v>118.9</v>
      </c>
      <c r="G54">
        <v>129.1</v>
      </c>
      <c r="H54">
        <v>113.3</v>
      </c>
      <c r="I54">
        <v>129</v>
      </c>
      <c r="J54">
        <v>160.4</v>
      </c>
      <c r="K54">
        <v>165.3</v>
      </c>
      <c r="L54">
        <v>92.3</v>
      </c>
      <c r="M54">
        <v>129.69999999999999</v>
      </c>
      <c r="N54">
        <v>121.1</v>
      </c>
      <c r="O54">
        <v>133</v>
      </c>
      <c r="P54">
        <v>132.1</v>
      </c>
      <c r="Q54">
        <v>122.4</v>
      </c>
      <c r="R54">
        <v>120.8</v>
      </c>
      <c r="S54">
        <v>123</v>
      </c>
      <c r="T54">
        <v>120.4</v>
      </c>
      <c r="U54">
        <v>111.4</v>
      </c>
      <c r="V54">
        <v>118.7</v>
      </c>
      <c r="W54">
        <v>125.9</v>
      </c>
      <c r="X54">
        <v>113.9</v>
      </c>
      <c r="Y54">
        <v>117.9</v>
      </c>
      <c r="Z54">
        <v>126.1</v>
      </c>
      <c r="AA54" s="1">
        <f>SUM(Table14[[#This Row],[Cereals and products]:[Food and beverages]])/13</f>
        <v>129.15384615384613</v>
      </c>
      <c r="AB54" s="1">
        <f>SUM(Table14[[#This Row],[Fuel and light]])</f>
        <v>120.8</v>
      </c>
      <c r="AC54" s="1">
        <f>SUM(Table14[[#This Row],[Transport and communication]])</f>
        <v>111.4</v>
      </c>
      <c r="AD54" s="1">
        <f>SUM(Table14[[#This Row],[Housing]],Table14[[#This Row],[Household goods and services]])/2</f>
        <v>122.7</v>
      </c>
      <c r="AE54" s="1">
        <f>SUM(Table14[[#This Row],[Health]])</f>
        <v>120.4</v>
      </c>
      <c r="AF54" s="1">
        <f>SUM(Table14[[#This Row],[Recreation and amusement]],Table14[[#This Row],[Education]])/2</f>
        <v>122.30000000000001</v>
      </c>
      <c r="AG54" s="1">
        <f>SUM(Table14[[#This Row],[Miscellaneous]],Table14[[#This Row],[Personal care and effects]])/2</f>
        <v>115.9</v>
      </c>
    </row>
    <row r="55" spans="1:33" hidden="1" x14ac:dyDescent="0.3">
      <c r="A55" t="s">
        <v>33</v>
      </c>
      <c r="B55">
        <v>2015</v>
      </c>
      <c r="C55" t="s">
        <v>40</v>
      </c>
      <c r="D55">
        <v>125.6</v>
      </c>
      <c r="E55">
        <v>130.4</v>
      </c>
      <c r="F55">
        <v>120.8</v>
      </c>
      <c r="G55">
        <v>129.4</v>
      </c>
      <c r="H55">
        <v>115.8</v>
      </c>
      <c r="I55">
        <v>133.19999999999999</v>
      </c>
      <c r="J55">
        <v>157.69999999999999</v>
      </c>
      <c r="K55">
        <v>154.19999999999999</v>
      </c>
      <c r="L55">
        <v>93.7</v>
      </c>
      <c r="M55">
        <v>126.6</v>
      </c>
      <c r="N55">
        <v>122.3</v>
      </c>
      <c r="O55">
        <v>133.1</v>
      </c>
      <c r="P55">
        <v>131.80000000000001</v>
      </c>
      <c r="Q55">
        <v>122.4</v>
      </c>
      <c r="R55">
        <v>124.4</v>
      </c>
      <c r="S55">
        <v>125.1</v>
      </c>
      <c r="T55">
        <v>122</v>
      </c>
      <c r="U55">
        <v>113.8</v>
      </c>
      <c r="V55">
        <v>120.1</v>
      </c>
      <c r="W55">
        <v>125.1</v>
      </c>
      <c r="X55">
        <v>114.2</v>
      </c>
      <c r="Y55">
        <v>119.2</v>
      </c>
      <c r="Z55">
        <v>127.7</v>
      </c>
      <c r="AA55" s="1">
        <f>SUM(Table14[[#This Row],[Cereals and products]:[Food and beverages]])/13</f>
        <v>128.8153846153846</v>
      </c>
      <c r="AB55" s="1">
        <f>SUM(Table14[[#This Row],[Fuel and light]])</f>
        <v>124.4</v>
      </c>
      <c r="AC55" s="1">
        <f>SUM(Table14[[#This Row],[Transport and communication]])</f>
        <v>113.8</v>
      </c>
      <c r="AD55" s="1">
        <f>SUM(Table14[[#This Row],[Housing]],Table14[[#This Row],[Household goods and services]])/2</f>
        <v>123.75</v>
      </c>
      <c r="AE55" s="1">
        <f>SUM(Table14[[#This Row],[Health]])</f>
        <v>122</v>
      </c>
      <c r="AF55" s="1">
        <f>SUM(Table14[[#This Row],[Recreation and amusement]],Table14[[#This Row],[Education]])/2</f>
        <v>122.6</v>
      </c>
      <c r="AG55" s="1">
        <f>SUM(Table14[[#This Row],[Miscellaneous]],Table14[[#This Row],[Personal care and effects]])/2</f>
        <v>116.7</v>
      </c>
    </row>
    <row r="56" spans="1:33" hidden="1" x14ac:dyDescent="0.3">
      <c r="A56" t="s">
        <v>33</v>
      </c>
      <c r="B56">
        <v>2014</v>
      </c>
      <c r="C56" t="s">
        <v>40</v>
      </c>
      <c r="D56">
        <v>122.6</v>
      </c>
      <c r="E56">
        <v>122.5</v>
      </c>
      <c r="F56">
        <v>118.3</v>
      </c>
      <c r="G56">
        <v>123.2</v>
      </c>
      <c r="H56">
        <v>110.5</v>
      </c>
      <c r="I56">
        <v>128.9</v>
      </c>
      <c r="J56">
        <v>155.30000000000001</v>
      </c>
      <c r="K56">
        <v>115.5</v>
      </c>
      <c r="L56">
        <v>104</v>
      </c>
      <c r="M56">
        <v>115.3</v>
      </c>
      <c r="N56">
        <v>116.8</v>
      </c>
      <c r="O56">
        <v>123.2</v>
      </c>
      <c r="P56">
        <v>125.1</v>
      </c>
      <c r="Q56">
        <v>110.5</v>
      </c>
      <c r="R56">
        <v>116.4</v>
      </c>
      <c r="S56">
        <v>117.5</v>
      </c>
      <c r="T56">
        <v>115.3</v>
      </c>
      <c r="U56">
        <v>112.6</v>
      </c>
      <c r="V56">
        <v>113</v>
      </c>
      <c r="W56">
        <v>116.9</v>
      </c>
      <c r="X56">
        <v>109.3</v>
      </c>
      <c r="Y56">
        <v>114</v>
      </c>
      <c r="Z56">
        <v>121</v>
      </c>
      <c r="AA56" s="1">
        <f>SUM(Table14[[#This Row],[Cereals and products]:[Food and beverages]])/13</f>
        <v>121.63076923076922</v>
      </c>
      <c r="AB56" s="1">
        <f>SUM(Table14[[#This Row],[Fuel and light]])</f>
        <v>116.4</v>
      </c>
      <c r="AC56" s="1">
        <f>SUM(Table14[[#This Row],[Transport and communication]])</f>
        <v>112.6</v>
      </c>
      <c r="AD56" s="1">
        <f>SUM(Table14[[#This Row],[Housing]],Table14[[#This Row],[Household goods and services]])/2</f>
        <v>114</v>
      </c>
      <c r="AE56" s="1">
        <f>SUM(Table14[[#This Row],[Health]])</f>
        <v>115.3</v>
      </c>
      <c r="AF56" s="1">
        <f>SUM(Table14[[#This Row],[Recreation and amusement]],Table14[[#This Row],[Education]])/2</f>
        <v>114.95</v>
      </c>
      <c r="AG56" s="1">
        <f>SUM(Table14[[#This Row],[Miscellaneous]],Table14[[#This Row],[Personal care and effects]])/2</f>
        <v>111.65</v>
      </c>
    </row>
    <row r="57" spans="1:33" hidden="1" x14ac:dyDescent="0.3">
      <c r="A57" t="s">
        <v>35</v>
      </c>
      <c r="B57">
        <v>2014</v>
      </c>
      <c r="C57" t="s">
        <v>40</v>
      </c>
      <c r="D57">
        <v>123.2</v>
      </c>
      <c r="E57">
        <v>123.8</v>
      </c>
      <c r="F57">
        <v>118.1</v>
      </c>
      <c r="G57">
        <v>123.2</v>
      </c>
      <c r="H57">
        <v>107.9</v>
      </c>
      <c r="I57">
        <v>126.4</v>
      </c>
      <c r="J57">
        <v>156.80000000000001</v>
      </c>
      <c r="K57">
        <v>116.1</v>
      </c>
      <c r="L57">
        <v>103.1</v>
      </c>
      <c r="M57">
        <v>118.1</v>
      </c>
      <c r="N57">
        <v>116.1</v>
      </c>
      <c r="O57">
        <v>124.5</v>
      </c>
      <c r="P57">
        <v>125.4</v>
      </c>
      <c r="Q57">
        <v>116.7</v>
      </c>
      <c r="R57">
        <v>114.7</v>
      </c>
      <c r="S57">
        <v>116.7</v>
      </c>
      <c r="T57">
        <v>114.3</v>
      </c>
      <c r="U57">
        <v>111.8</v>
      </c>
      <c r="V57">
        <v>113.3</v>
      </c>
      <c r="W57">
        <v>118.8</v>
      </c>
      <c r="X57">
        <v>109.6</v>
      </c>
      <c r="Y57">
        <v>113.9</v>
      </c>
      <c r="Z57">
        <v>120.1</v>
      </c>
      <c r="AA57" s="1">
        <f>SUM(Table14[[#This Row],[Cereals and products]:[Food and beverages]])/13</f>
        <v>121.74615384615385</v>
      </c>
      <c r="AB57" s="1">
        <f>SUM(Table14[[#This Row],[Fuel and light]])</f>
        <v>114.7</v>
      </c>
      <c r="AC57" s="1">
        <f>SUM(Table14[[#This Row],[Transport and communication]])</f>
        <v>111.8</v>
      </c>
      <c r="AD57" s="1">
        <f>SUM(Table14[[#This Row],[Housing]],Table14[[#This Row],[Household goods and services]])/2</f>
        <v>116.7</v>
      </c>
      <c r="AE57" s="1">
        <f>SUM(Table14[[#This Row],[Health]])</f>
        <v>114.3</v>
      </c>
      <c r="AF57" s="1">
        <f>SUM(Table14[[#This Row],[Recreation and amusement]],Table14[[#This Row],[Education]])/2</f>
        <v>116.05</v>
      </c>
      <c r="AG57" s="1">
        <f>SUM(Table14[[#This Row],[Miscellaneous]],Table14[[#This Row],[Personal care and effects]])/2</f>
        <v>111.75</v>
      </c>
    </row>
    <row r="58" spans="1:33" hidden="1" x14ac:dyDescent="0.3">
      <c r="A58" t="s">
        <v>36</v>
      </c>
      <c r="B58">
        <v>2014</v>
      </c>
      <c r="C58" t="s">
        <v>40</v>
      </c>
      <c r="D58">
        <v>124.6</v>
      </c>
      <c r="E58">
        <v>126.1</v>
      </c>
      <c r="F58">
        <v>117.8</v>
      </c>
      <c r="G58">
        <v>123.1</v>
      </c>
      <c r="H58">
        <v>103.5</v>
      </c>
      <c r="I58">
        <v>123.5</v>
      </c>
      <c r="J58">
        <v>159.6</v>
      </c>
      <c r="K58">
        <v>117.4</v>
      </c>
      <c r="L58">
        <v>101.2</v>
      </c>
      <c r="M58">
        <v>123.8</v>
      </c>
      <c r="N58">
        <v>115.2</v>
      </c>
      <c r="O58">
        <v>125.9</v>
      </c>
      <c r="P58">
        <v>125.8</v>
      </c>
      <c r="Q58">
        <v>116.7</v>
      </c>
      <c r="R58">
        <v>112</v>
      </c>
      <c r="S58">
        <v>115.8</v>
      </c>
      <c r="T58">
        <v>112.6</v>
      </c>
      <c r="U58">
        <v>111</v>
      </c>
      <c r="V58">
        <v>113.6</v>
      </c>
      <c r="W58">
        <v>120.2</v>
      </c>
      <c r="X58">
        <v>110.1</v>
      </c>
      <c r="Y58">
        <v>113.7</v>
      </c>
      <c r="Z58">
        <v>119.1</v>
      </c>
      <c r="AA58" s="1">
        <f>SUM(Table14[[#This Row],[Cereals and products]:[Food and beverages]])/13</f>
        <v>122.11538461538461</v>
      </c>
      <c r="AB58" s="1">
        <f>SUM(Table14[[#This Row],[Fuel and light]])</f>
        <v>112</v>
      </c>
      <c r="AC58" s="1">
        <f>SUM(Table14[[#This Row],[Transport and communication]])</f>
        <v>111</v>
      </c>
      <c r="AD58" s="1">
        <f>SUM(Table14[[#This Row],[Housing]],Table14[[#This Row],[Household goods and services]])/2</f>
        <v>116.25</v>
      </c>
      <c r="AE58" s="1">
        <f>SUM(Table14[[#This Row],[Health]])</f>
        <v>112.6</v>
      </c>
      <c r="AF58" s="1">
        <f>SUM(Table14[[#This Row],[Recreation and amusement]],Table14[[#This Row],[Education]])/2</f>
        <v>116.9</v>
      </c>
      <c r="AG58" s="1">
        <f>SUM(Table14[[#This Row],[Miscellaneous]],Table14[[#This Row],[Personal care and effects]])/2</f>
        <v>111.9</v>
      </c>
    </row>
    <row r="59" spans="1:33" hidden="1" x14ac:dyDescent="0.3">
      <c r="A59" t="s">
        <v>33</v>
      </c>
      <c r="B59">
        <v>2013</v>
      </c>
      <c r="C59" t="s">
        <v>40</v>
      </c>
      <c r="D59">
        <v>116.3</v>
      </c>
      <c r="E59">
        <v>115.4</v>
      </c>
      <c r="F59">
        <v>112.6</v>
      </c>
      <c r="G59">
        <v>111.7</v>
      </c>
      <c r="H59">
        <v>107.7</v>
      </c>
      <c r="I59">
        <v>113.2</v>
      </c>
      <c r="J59">
        <v>164.9</v>
      </c>
      <c r="K59">
        <v>108.3</v>
      </c>
      <c r="L59">
        <v>103.9</v>
      </c>
      <c r="M59">
        <v>108.2</v>
      </c>
      <c r="N59">
        <v>111.1</v>
      </c>
      <c r="O59">
        <v>114.9</v>
      </c>
      <c r="P59">
        <v>119.8</v>
      </c>
      <c r="Q59">
        <v>169.5</v>
      </c>
      <c r="R59">
        <v>111.6</v>
      </c>
      <c r="S59">
        <v>110.4</v>
      </c>
      <c r="T59">
        <v>108.9</v>
      </c>
      <c r="U59">
        <v>109.3</v>
      </c>
      <c r="V59">
        <v>108.3</v>
      </c>
      <c r="W59">
        <v>110.2</v>
      </c>
      <c r="X59">
        <v>107.5</v>
      </c>
      <c r="Y59">
        <v>109.1</v>
      </c>
      <c r="Z59">
        <v>115.5</v>
      </c>
      <c r="AA59" s="1">
        <f>SUM(Table14[[#This Row],[Cereals and products]:[Food and beverages]])/13</f>
        <v>116</v>
      </c>
      <c r="AB59" s="1">
        <f>SUM(Table14[[#This Row],[Fuel and light]])</f>
        <v>111.6</v>
      </c>
      <c r="AC59" s="1">
        <f>SUM(Table14[[#This Row],[Transport and communication]])</f>
        <v>109.3</v>
      </c>
      <c r="AD59" s="1">
        <f>SUM(Table14[[#This Row],[Housing]],Table14[[#This Row],[Household goods and services]])/2</f>
        <v>139.94999999999999</v>
      </c>
      <c r="AE59" s="1">
        <f>SUM(Table14[[#This Row],[Health]])</f>
        <v>108.9</v>
      </c>
      <c r="AF59" s="1">
        <f>SUM(Table14[[#This Row],[Recreation and amusement]],Table14[[#This Row],[Education]])/2</f>
        <v>109.25</v>
      </c>
      <c r="AG59" s="1">
        <f>SUM(Table14[[#This Row],[Miscellaneous]],Table14[[#This Row],[Personal care and effects]])/2</f>
        <v>108.3</v>
      </c>
    </row>
    <row r="60" spans="1:33" hidden="1" x14ac:dyDescent="0.3">
      <c r="A60" t="s">
        <v>35</v>
      </c>
      <c r="B60">
        <v>2013</v>
      </c>
      <c r="C60" t="s">
        <v>40</v>
      </c>
      <c r="D60">
        <v>117.1</v>
      </c>
      <c r="E60">
        <v>116.3</v>
      </c>
      <c r="F60">
        <v>113.3</v>
      </c>
      <c r="G60">
        <v>111.2</v>
      </c>
      <c r="H60">
        <v>105.7</v>
      </c>
      <c r="I60">
        <v>109.9</v>
      </c>
      <c r="J60">
        <v>171.2</v>
      </c>
      <c r="K60">
        <v>107.3</v>
      </c>
      <c r="L60">
        <v>102.7</v>
      </c>
      <c r="M60">
        <v>108.7</v>
      </c>
      <c r="N60">
        <v>111.2</v>
      </c>
      <c r="O60">
        <v>115.4</v>
      </c>
      <c r="P60">
        <v>120.2</v>
      </c>
      <c r="Q60">
        <v>110.5</v>
      </c>
      <c r="R60">
        <v>110.9</v>
      </c>
      <c r="S60">
        <v>110.3</v>
      </c>
      <c r="T60">
        <v>108.6</v>
      </c>
      <c r="U60">
        <v>109.5</v>
      </c>
      <c r="V60">
        <v>108.1</v>
      </c>
      <c r="W60">
        <v>110.8</v>
      </c>
      <c r="X60">
        <v>107.4</v>
      </c>
      <c r="Y60">
        <v>109.2</v>
      </c>
      <c r="Z60">
        <v>114.8</v>
      </c>
      <c r="AA60" s="1">
        <f>SUM(Table14[[#This Row],[Cereals and products]:[Food and beverages]])/13</f>
        <v>116.16923076923079</v>
      </c>
      <c r="AB60" s="1">
        <f>SUM(Table14[[#This Row],[Fuel and light]])</f>
        <v>110.9</v>
      </c>
      <c r="AC60" s="1">
        <f>SUM(Table14[[#This Row],[Transport and communication]])</f>
        <v>109.5</v>
      </c>
      <c r="AD60" s="1">
        <f>SUM(Table14[[#This Row],[Housing]],Table14[[#This Row],[Household goods and services]])/2</f>
        <v>110.4</v>
      </c>
      <c r="AE60" s="1">
        <f>SUM(Table14[[#This Row],[Health]])</f>
        <v>108.6</v>
      </c>
      <c r="AF60" s="1">
        <f>SUM(Table14[[#This Row],[Recreation and amusement]],Table14[[#This Row],[Education]])/2</f>
        <v>109.44999999999999</v>
      </c>
      <c r="AG60" s="1">
        <f>SUM(Table14[[#This Row],[Miscellaneous]],Table14[[#This Row],[Personal care and effects]])/2</f>
        <v>108.30000000000001</v>
      </c>
    </row>
    <row r="61" spans="1:33" hidden="1" x14ac:dyDescent="0.3">
      <c r="A61" t="s">
        <v>36</v>
      </c>
      <c r="B61">
        <v>2013</v>
      </c>
      <c r="C61" t="s">
        <v>40</v>
      </c>
      <c r="D61">
        <v>118.9</v>
      </c>
      <c r="E61">
        <v>118.1</v>
      </c>
      <c r="F61">
        <v>114.5</v>
      </c>
      <c r="G61">
        <v>110.4</v>
      </c>
      <c r="H61">
        <v>102.3</v>
      </c>
      <c r="I61">
        <v>106.2</v>
      </c>
      <c r="J61">
        <v>183.5</v>
      </c>
      <c r="K61">
        <v>105.3</v>
      </c>
      <c r="L61">
        <v>100.2</v>
      </c>
      <c r="M61">
        <v>109.6</v>
      </c>
      <c r="N61">
        <v>111.4</v>
      </c>
      <c r="O61">
        <v>116</v>
      </c>
      <c r="P61">
        <v>120.8</v>
      </c>
      <c r="Q61">
        <v>110.5</v>
      </c>
      <c r="R61">
        <v>109.7</v>
      </c>
      <c r="S61">
        <v>110.2</v>
      </c>
      <c r="T61">
        <v>108.2</v>
      </c>
      <c r="U61">
        <v>109.7</v>
      </c>
      <c r="V61">
        <v>108</v>
      </c>
      <c r="W61">
        <v>111.3</v>
      </c>
      <c r="X61">
        <v>107.3</v>
      </c>
      <c r="Y61">
        <v>109.4</v>
      </c>
      <c r="Z61">
        <v>114</v>
      </c>
      <c r="AA61" s="1">
        <f>SUM(Table14[[#This Row],[Cereals and products]:[Food and beverages]])/13</f>
        <v>116.7076923076923</v>
      </c>
      <c r="AB61" s="1">
        <f>SUM(Table14[[#This Row],[Fuel and light]])</f>
        <v>109.7</v>
      </c>
      <c r="AC61" s="1">
        <f>SUM(Table14[[#This Row],[Transport and communication]])</f>
        <v>109.7</v>
      </c>
      <c r="AD61" s="1">
        <f>SUM(Table14[[#This Row],[Housing]],Table14[[#This Row],[Household goods and services]])/2</f>
        <v>110.35</v>
      </c>
      <c r="AE61" s="1">
        <f>SUM(Table14[[#This Row],[Health]])</f>
        <v>108.2</v>
      </c>
      <c r="AF61" s="1">
        <f>SUM(Table14[[#This Row],[Recreation and amusement]],Table14[[#This Row],[Education]])/2</f>
        <v>109.65</v>
      </c>
      <c r="AG61" s="1">
        <f>SUM(Table14[[#This Row],[Miscellaneous]],Table14[[#This Row],[Personal care and effects]])/2</f>
        <v>108.35</v>
      </c>
    </row>
    <row r="62" spans="1:33" hidden="1" x14ac:dyDescent="0.3">
      <c r="A62" t="s">
        <v>33</v>
      </c>
      <c r="B62">
        <v>2013</v>
      </c>
      <c r="C62" t="s">
        <v>44</v>
      </c>
      <c r="D62">
        <v>117.3</v>
      </c>
      <c r="E62">
        <v>114.9</v>
      </c>
      <c r="F62">
        <v>116.2</v>
      </c>
      <c r="G62">
        <v>112.8</v>
      </c>
      <c r="H62">
        <v>108.9</v>
      </c>
      <c r="I62">
        <v>116.6</v>
      </c>
      <c r="J62">
        <v>178.1</v>
      </c>
      <c r="K62">
        <v>109.1</v>
      </c>
      <c r="L62">
        <v>103.6</v>
      </c>
      <c r="M62">
        <v>109</v>
      </c>
      <c r="N62">
        <v>111.8</v>
      </c>
      <c r="O62">
        <v>116</v>
      </c>
      <c r="P62">
        <v>122.5</v>
      </c>
      <c r="Q62">
        <v>171.2</v>
      </c>
      <c r="R62">
        <v>112.6</v>
      </c>
      <c r="S62">
        <v>111.3</v>
      </c>
      <c r="T62">
        <v>109.7</v>
      </c>
      <c r="U62">
        <v>109.6</v>
      </c>
      <c r="V62">
        <v>108.7</v>
      </c>
      <c r="W62">
        <v>111</v>
      </c>
      <c r="X62">
        <v>108.2</v>
      </c>
      <c r="Y62">
        <v>109.8</v>
      </c>
      <c r="Z62">
        <v>117.4</v>
      </c>
      <c r="AA62" s="1">
        <f>SUM(Table14[[#This Row],[Cereals and products]:[Food and beverages]])/13</f>
        <v>118.21538461538461</v>
      </c>
      <c r="AB62" s="1">
        <f>SUM(Table14[[#This Row],[Fuel and light]])</f>
        <v>112.6</v>
      </c>
      <c r="AC62" s="1">
        <f>SUM(Table14[[#This Row],[Transport and communication]])</f>
        <v>109.6</v>
      </c>
      <c r="AD62" s="1">
        <f>SUM(Table14[[#This Row],[Housing]],Table14[[#This Row],[Household goods and services]])/2</f>
        <v>141.25</v>
      </c>
      <c r="AE62" s="1">
        <f>SUM(Table14[[#This Row],[Health]])</f>
        <v>109.7</v>
      </c>
      <c r="AF62" s="1">
        <f>SUM(Table14[[#This Row],[Recreation and amusement]],Table14[[#This Row],[Education]])/2</f>
        <v>109.85</v>
      </c>
      <c r="AG62" s="1">
        <f>SUM(Table14[[#This Row],[Miscellaneous]],Table14[[#This Row],[Personal care and effects]])/2</f>
        <v>109</v>
      </c>
    </row>
    <row r="63" spans="1:33" x14ac:dyDescent="0.3">
      <c r="A63" t="s">
        <v>33</v>
      </c>
      <c r="B63">
        <v>2022</v>
      </c>
      <c r="C63" t="s">
        <v>45</v>
      </c>
      <c r="D63">
        <v>166.9</v>
      </c>
      <c r="E63">
        <v>207.2</v>
      </c>
      <c r="F63">
        <v>180.2</v>
      </c>
      <c r="G63">
        <v>172.3</v>
      </c>
      <c r="H63">
        <v>194</v>
      </c>
      <c r="I63">
        <v>159.1</v>
      </c>
      <c r="J63">
        <v>171.6</v>
      </c>
      <c r="K63">
        <v>170.2</v>
      </c>
      <c r="L63">
        <v>121.5</v>
      </c>
      <c r="M63">
        <v>204.8</v>
      </c>
      <c r="N63">
        <v>176.4</v>
      </c>
      <c r="O63">
        <v>186.9</v>
      </c>
      <c r="P63">
        <v>176.6</v>
      </c>
      <c r="Q63">
        <v>164.2</v>
      </c>
      <c r="R63">
        <v>181.9</v>
      </c>
      <c r="S63">
        <v>175.5</v>
      </c>
      <c r="T63">
        <v>182.3</v>
      </c>
      <c r="U63">
        <v>167.5</v>
      </c>
      <c r="V63">
        <v>170.8</v>
      </c>
      <c r="W63">
        <v>176.9</v>
      </c>
      <c r="X63">
        <v>173.4</v>
      </c>
      <c r="Y63">
        <v>174.6</v>
      </c>
      <c r="Z63">
        <v>177.8</v>
      </c>
      <c r="AA63" s="1">
        <f>SUM(Table14[[#This Row],[Cereals and products]:[Food and beverages]])/13</f>
        <v>175.97692307692307</v>
      </c>
      <c r="AB63" s="1">
        <f>SUM(Table14[[#This Row],[Fuel and light]])</f>
        <v>181.9</v>
      </c>
      <c r="AC63" s="1">
        <f>SUM(Table14[[#This Row],[Transport and communication]])</f>
        <v>167.5</v>
      </c>
      <c r="AD63" s="1">
        <f>SUM(Table14[[#This Row],[Housing]],Table14[[#This Row],[Household goods and services]])/2</f>
        <v>169.85</v>
      </c>
      <c r="AE63" s="1">
        <f>SUM(Table14[[#This Row],[Health]])</f>
        <v>182.3</v>
      </c>
      <c r="AF63" s="1">
        <f>SUM(Table14[[#This Row],[Recreation and amusement]],Table14[[#This Row],[Education]])/2</f>
        <v>173.85000000000002</v>
      </c>
      <c r="AG63" s="1">
        <f>SUM(Table14[[#This Row],[Miscellaneous]],Table14[[#This Row],[Personal care and effects]])/2</f>
        <v>174</v>
      </c>
    </row>
    <row r="64" spans="1:33" hidden="1" x14ac:dyDescent="0.3">
      <c r="A64" t="s">
        <v>35</v>
      </c>
      <c r="B64">
        <v>2022</v>
      </c>
      <c r="C64" t="s">
        <v>45</v>
      </c>
      <c r="D64">
        <v>167.4</v>
      </c>
      <c r="E64">
        <v>209.4</v>
      </c>
      <c r="F64">
        <v>181.4</v>
      </c>
      <c r="G64">
        <v>172.3</v>
      </c>
      <c r="H64">
        <v>188.9</v>
      </c>
      <c r="I64">
        <v>160.69999999999999</v>
      </c>
      <c r="J64">
        <v>183.1</v>
      </c>
      <c r="K64">
        <v>170.5</v>
      </c>
      <c r="L64">
        <v>122.1</v>
      </c>
      <c r="M64">
        <v>202.8</v>
      </c>
      <c r="N64">
        <v>170.4</v>
      </c>
      <c r="O64">
        <v>189.5</v>
      </c>
      <c r="P64">
        <v>178.3</v>
      </c>
      <c r="Q64">
        <v>171.8</v>
      </c>
      <c r="R64">
        <v>181.3</v>
      </c>
      <c r="S64">
        <v>171.4</v>
      </c>
      <c r="T64">
        <v>179.8</v>
      </c>
      <c r="U64">
        <v>163</v>
      </c>
      <c r="V64">
        <v>168.5</v>
      </c>
      <c r="W64">
        <v>173.7</v>
      </c>
      <c r="X64">
        <v>173.6</v>
      </c>
      <c r="Y64">
        <v>171.1</v>
      </c>
      <c r="Z64">
        <v>176.5</v>
      </c>
      <c r="AA64" s="1">
        <f>SUM(Table14[[#This Row],[Cereals and products]:[Food and beverages]])/13</f>
        <v>176.67692307692309</v>
      </c>
      <c r="AB64" s="1">
        <f>SUM(Table14[[#This Row],[Fuel and light]])</f>
        <v>181.3</v>
      </c>
      <c r="AC64" s="1">
        <f>SUM(Table14[[#This Row],[Transport and communication]])</f>
        <v>163</v>
      </c>
      <c r="AD64" s="1">
        <f>SUM(Table14[[#This Row],[Housing]],Table14[[#This Row],[Household goods and services]])/2</f>
        <v>171.60000000000002</v>
      </c>
      <c r="AE64" s="1">
        <f>SUM(Table14[[#This Row],[Health]])</f>
        <v>179.8</v>
      </c>
      <c r="AF64" s="1">
        <f>SUM(Table14[[#This Row],[Recreation and amusement]],Table14[[#This Row],[Education]])/2</f>
        <v>171.1</v>
      </c>
      <c r="AG64" s="1">
        <f>SUM(Table14[[#This Row],[Miscellaneous]],Table14[[#This Row],[Personal care and effects]])/2</f>
        <v>172.35</v>
      </c>
    </row>
    <row r="65" spans="1:33" hidden="1" x14ac:dyDescent="0.3">
      <c r="A65" t="s">
        <v>36</v>
      </c>
      <c r="B65">
        <v>2022</v>
      </c>
      <c r="C65" t="s">
        <v>45</v>
      </c>
      <c r="D65">
        <v>168.4</v>
      </c>
      <c r="E65">
        <v>213.4</v>
      </c>
      <c r="F65">
        <v>183.2</v>
      </c>
      <c r="G65">
        <v>172.3</v>
      </c>
      <c r="H65">
        <v>180</v>
      </c>
      <c r="I65">
        <v>162.6</v>
      </c>
      <c r="J65">
        <v>205.5</v>
      </c>
      <c r="K65">
        <v>171</v>
      </c>
      <c r="L65">
        <v>123.4</v>
      </c>
      <c r="M65">
        <v>198.8</v>
      </c>
      <c r="N65">
        <v>162.1</v>
      </c>
      <c r="O65">
        <v>192.4</v>
      </c>
      <c r="P65">
        <v>181.3</v>
      </c>
      <c r="Q65">
        <v>171.8</v>
      </c>
      <c r="R65">
        <v>180.3</v>
      </c>
      <c r="S65">
        <v>166.9</v>
      </c>
      <c r="T65">
        <v>175.8</v>
      </c>
      <c r="U65">
        <v>158.9</v>
      </c>
      <c r="V65">
        <v>166.7</v>
      </c>
      <c r="W65">
        <v>171.5</v>
      </c>
      <c r="X65">
        <v>173.8</v>
      </c>
      <c r="Y65">
        <v>167.4</v>
      </c>
      <c r="Z65">
        <v>174.1</v>
      </c>
      <c r="AA65" s="1">
        <f>SUM(Table14[[#This Row],[Cereals and products]:[Food and beverages]])/13</f>
        <v>178.03076923076924</v>
      </c>
      <c r="AB65" s="1">
        <f>SUM(Table14[[#This Row],[Fuel and light]])</f>
        <v>180.3</v>
      </c>
      <c r="AC65" s="1">
        <f>SUM(Table14[[#This Row],[Transport and communication]])</f>
        <v>158.9</v>
      </c>
      <c r="AD65" s="1">
        <f>SUM(Table14[[#This Row],[Housing]],Table14[[#This Row],[Household goods and services]])/2</f>
        <v>169.35000000000002</v>
      </c>
      <c r="AE65" s="1">
        <f>SUM(Table14[[#This Row],[Health]])</f>
        <v>175.8</v>
      </c>
      <c r="AF65" s="1">
        <f>SUM(Table14[[#This Row],[Recreation and amusement]],Table14[[#This Row],[Education]])/2</f>
        <v>169.1</v>
      </c>
      <c r="AG65" s="1">
        <f>SUM(Table14[[#This Row],[Miscellaneous]],Table14[[#This Row],[Personal care and effects]])/2</f>
        <v>170.60000000000002</v>
      </c>
    </row>
    <row r="66" spans="1:33" hidden="1" x14ac:dyDescent="0.3">
      <c r="A66" t="s">
        <v>33</v>
      </c>
      <c r="B66">
        <v>2019</v>
      </c>
      <c r="C66" t="s">
        <v>46</v>
      </c>
      <c r="D66">
        <v>136.9</v>
      </c>
      <c r="E66">
        <v>154.1</v>
      </c>
      <c r="F66">
        <v>138.69999999999999</v>
      </c>
      <c r="G66">
        <v>142.5</v>
      </c>
      <c r="H66">
        <v>124.1</v>
      </c>
      <c r="I66">
        <v>136.1</v>
      </c>
      <c r="J66">
        <v>128.19999999999999</v>
      </c>
      <c r="K66">
        <v>122.3</v>
      </c>
      <c r="L66">
        <v>108.3</v>
      </c>
      <c r="M66">
        <v>138.9</v>
      </c>
      <c r="N66">
        <v>137.4</v>
      </c>
      <c r="O66">
        <v>156.4</v>
      </c>
      <c r="P66">
        <v>137.30000000000001</v>
      </c>
      <c r="Q66">
        <f>AVERAGE(Q67:Q68)</f>
        <v>149</v>
      </c>
      <c r="R66">
        <v>146.4</v>
      </c>
      <c r="S66">
        <v>150</v>
      </c>
      <c r="T66">
        <v>150.4</v>
      </c>
      <c r="U66">
        <v>129.9</v>
      </c>
      <c r="V66">
        <v>143.80000000000001</v>
      </c>
      <c r="W66">
        <v>155.5</v>
      </c>
      <c r="X66">
        <v>134</v>
      </c>
      <c r="Y66">
        <v>142.4</v>
      </c>
      <c r="Z66">
        <v>141.19999999999999</v>
      </c>
      <c r="AA66" s="1">
        <f>SUM(Table14[[#This Row],[Cereals and products]:[Food and beverages]])/13</f>
        <v>135.4769230769231</v>
      </c>
      <c r="AB66" s="1">
        <f>SUM(Table14[[#This Row],[Fuel and light]])</f>
        <v>146.4</v>
      </c>
      <c r="AC66" s="1">
        <f>SUM(Table14[[#This Row],[Transport and communication]])</f>
        <v>129.9</v>
      </c>
      <c r="AD66" s="1">
        <f>SUM(Table14[[#This Row],[Housing]],Table14[[#This Row],[Household goods and services]])/2</f>
        <v>149.5</v>
      </c>
      <c r="AE66" s="1">
        <f>SUM(Table14[[#This Row],[Health]])</f>
        <v>150.4</v>
      </c>
      <c r="AF66" s="1">
        <f>SUM(Table14[[#This Row],[Recreation and amusement]],Table14[[#This Row],[Education]])/2</f>
        <v>149.65</v>
      </c>
      <c r="AG66" s="1">
        <f>SUM(Table14[[#This Row],[Miscellaneous]],Table14[[#This Row],[Personal care and effects]])/2</f>
        <v>138.19999999999999</v>
      </c>
    </row>
    <row r="67" spans="1:33" hidden="1" x14ac:dyDescent="0.3">
      <c r="A67" t="s">
        <v>35</v>
      </c>
      <c r="B67">
        <v>2019</v>
      </c>
      <c r="C67" t="s">
        <v>46</v>
      </c>
      <c r="D67">
        <v>137.80000000000001</v>
      </c>
      <c r="E67">
        <v>153</v>
      </c>
      <c r="F67">
        <v>140.30000000000001</v>
      </c>
      <c r="G67">
        <v>142.30000000000001</v>
      </c>
      <c r="H67">
        <v>122</v>
      </c>
      <c r="I67">
        <v>137.6</v>
      </c>
      <c r="J67">
        <v>132.6</v>
      </c>
      <c r="K67">
        <v>121.8</v>
      </c>
      <c r="L67">
        <v>109</v>
      </c>
      <c r="M67">
        <v>139.5</v>
      </c>
      <c r="N67">
        <v>133.69999999999999</v>
      </c>
      <c r="O67">
        <v>155.19999999999999</v>
      </c>
      <c r="P67">
        <v>138.1</v>
      </c>
      <c r="Q67">
        <v>149</v>
      </c>
      <c r="R67">
        <v>139.69999999999999</v>
      </c>
      <c r="S67">
        <v>143.80000000000001</v>
      </c>
      <c r="T67">
        <v>146.19999999999999</v>
      </c>
      <c r="U67">
        <v>124.6</v>
      </c>
      <c r="V67">
        <v>137.69999999999999</v>
      </c>
      <c r="W67">
        <v>150.30000000000001</v>
      </c>
      <c r="X67">
        <v>133.4</v>
      </c>
      <c r="Y67">
        <v>137.69999999999999</v>
      </c>
      <c r="Z67">
        <v>140.4</v>
      </c>
      <c r="AA67" s="1">
        <f>SUM(Table14[[#This Row],[Cereals and products]:[Food and beverages]])/13</f>
        <v>135.6076923076923</v>
      </c>
      <c r="AB67" s="1">
        <f>SUM(Table14[[#This Row],[Fuel and light]])</f>
        <v>139.69999999999999</v>
      </c>
      <c r="AC67" s="1">
        <f>SUM(Table14[[#This Row],[Transport and communication]])</f>
        <v>124.6</v>
      </c>
      <c r="AD67" s="1">
        <f>SUM(Table14[[#This Row],[Housing]],Table14[[#This Row],[Household goods and services]])/2</f>
        <v>146.4</v>
      </c>
      <c r="AE67" s="1">
        <f>SUM(Table14[[#This Row],[Health]])</f>
        <v>146.19999999999999</v>
      </c>
      <c r="AF67" s="1">
        <f>SUM(Table14[[#This Row],[Recreation and amusement]],Table14[[#This Row],[Education]])/2</f>
        <v>144</v>
      </c>
      <c r="AG67" s="1">
        <f>SUM(Table14[[#This Row],[Miscellaneous]],Table14[[#This Row],[Personal care and effects]])/2</f>
        <v>135.55000000000001</v>
      </c>
    </row>
    <row r="68" spans="1:33" hidden="1" x14ac:dyDescent="0.3">
      <c r="A68" t="s">
        <v>36</v>
      </c>
      <c r="B68">
        <v>2019</v>
      </c>
      <c r="C68" t="s">
        <v>46</v>
      </c>
      <c r="D68">
        <v>139.69999999999999</v>
      </c>
      <c r="E68">
        <v>151.1</v>
      </c>
      <c r="F68">
        <v>142.9</v>
      </c>
      <c r="G68">
        <v>141.9</v>
      </c>
      <c r="H68">
        <v>118.4</v>
      </c>
      <c r="I68">
        <v>139.4</v>
      </c>
      <c r="J68">
        <v>141.19999999999999</v>
      </c>
      <c r="K68">
        <v>120.7</v>
      </c>
      <c r="L68">
        <v>110.4</v>
      </c>
      <c r="M68">
        <v>140.69999999999999</v>
      </c>
      <c r="N68">
        <v>128.5</v>
      </c>
      <c r="O68">
        <v>153.9</v>
      </c>
      <c r="P68">
        <v>139.6</v>
      </c>
      <c r="Q68">
        <v>149</v>
      </c>
      <c r="R68">
        <v>128.80000000000001</v>
      </c>
      <c r="S68">
        <v>136.80000000000001</v>
      </c>
      <c r="T68">
        <v>139.19999999999999</v>
      </c>
      <c r="U68">
        <v>119.9</v>
      </c>
      <c r="V68">
        <v>133</v>
      </c>
      <c r="W68">
        <v>146.69999999999999</v>
      </c>
      <c r="X68">
        <v>132.5</v>
      </c>
      <c r="Y68">
        <v>132.80000000000001</v>
      </c>
      <c r="Z68">
        <v>139.5</v>
      </c>
      <c r="AA68" s="1">
        <f>SUM(Table14[[#This Row],[Cereals and products]:[Food and beverages]])/13</f>
        <v>136.03076923076924</v>
      </c>
      <c r="AB68" s="1">
        <f>SUM(Table14[[#This Row],[Fuel and light]])</f>
        <v>128.80000000000001</v>
      </c>
      <c r="AC68" s="1">
        <f>SUM(Table14[[#This Row],[Transport and communication]])</f>
        <v>119.9</v>
      </c>
      <c r="AD68" s="1">
        <f>SUM(Table14[[#This Row],[Housing]],Table14[[#This Row],[Household goods and services]])/2</f>
        <v>142.9</v>
      </c>
      <c r="AE68" s="1">
        <f>SUM(Table14[[#This Row],[Health]])</f>
        <v>139.19999999999999</v>
      </c>
      <c r="AF68" s="1">
        <f>SUM(Table14[[#This Row],[Recreation and amusement]],Table14[[#This Row],[Education]])/2</f>
        <v>139.85</v>
      </c>
      <c r="AG68" s="1">
        <f>SUM(Table14[[#This Row],[Miscellaneous]],Table14[[#This Row],[Personal care and effects]])/2</f>
        <v>132.65</v>
      </c>
    </row>
    <row r="69" spans="1:33" hidden="1" x14ac:dyDescent="0.3">
      <c r="A69" t="s">
        <v>33</v>
      </c>
      <c r="B69">
        <v>2019</v>
      </c>
      <c r="C69" t="s">
        <v>47</v>
      </c>
      <c r="D69">
        <v>137.4</v>
      </c>
      <c r="E69">
        <v>159.5</v>
      </c>
      <c r="F69">
        <v>134.5</v>
      </c>
      <c r="G69">
        <v>142.6</v>
      </c>
      <c r="H69">
        <v>124</v>
      </c>
      <c r="I69">
        <v>143.69999999999999</v>
      </c>
      <c r="J69">
        <v>133.4</v>
      </c>
      <c r="K69">
        <v>125.1</v>
      </c>
      <c r="L69">
        <v>109.3</v>
      </c>
      <c r="M69">
        <v>139.30000000000001</v>
      </c>
      <c r="N69">
        <v>137.69999999999999</v>
      </c>
      <c r="O69">
        <v>156.4</v>
      </c>
      <c r="P69">
        <v>139.19999999999999</v>
      </c>
      <c r="Q69">
        <v>150.1</v>
      </c>
      <c r="R69">
        <v>146.9</v>
      </c>
      <c r="S69">
        <v>149.5</v>
      </c>
      <c r="T69">
        <v>151.30000000000001</v>
      </c>
      <c r="U69">
        <v>130.19999999999999</v>
      </c>
      <c r="V69">
        <v>145.9</v>
      </c>
      <c r="W69">
        <v>156.69999999999999</v>
      </c>
      <c r="X69">
        <v>133.9</v>
      </c>
      <c r="Y69">
        <v>142.9</v>
      </c>
      <c r="Z69">
        <v>142.4</v>
      </c>
      <c r="AA69" s="1">
        <f>SUM(Table14[[#This Row],[Cereals and products]:[Food and beverages]])/13</f>
        <v>137.0846153846154</v>
      </c>
      <c r="AB69" s="1">
        <f>SUM(Table14[[#This Row],[Fuel and light]])</f>
        <v>146.9</v>
      </c>
      <c r="AC69" s="1">
        <f>SUM(Table14[[#This Row],[Transport and communication]])</f>
        <v>130.19999999999999</v>
      </c>
      <c r="AD69" s="1">
        <f>SUM(Table14[[#This Row],[Housing]],Table14[[#This Row],[Household goods and services]])/2</f>
        <v>149.80000000000001</v>
      </c>
      <c r="AE69" s="1">
        <f>SUM(Table14[[#This Row],[Health]])</f>
        <v>151.30000000000001</v>
      </c>
      <c r="AF69" s="1">
        <f>SUM(Table14[[#This Row],[Recreation and amusement]],Table14[[#This Row],[Education]])/2</f>
        <v>151.30000000000001</v>
      </c>
      <c r="AG69" s="1">
        <f>SUM(Table14[[#This Row],[Miscellaneous]],Table14[[#This Row],[Personal care and effects]])/2</f>
        <v>138.4</v>
      </c>
    </row>
    <row r="70" spans="1:33" hidden="1" x14ac:dyDescent="0.3">
      <c r="A70" t="s">
        <v>35</v>
      </c>
      <c r="B70">
        <v>2019</v>
      </c>
      <c r="C70" t="s">
        <v>47</v>
      </c>
      <c r="D70">
        <v>138.30000000000001</v>
      </c>
      <c r="E70">
        <v>158.5</v>
      </c>
      <c r="F70">
        <v>136</v>
      </c>
      <c r="G70">
        <v>142.5</v>
      </c>
      <c r="H70">
        <v>122</v>
      </c>
      <c r="I70">
        <v>146.5</v>
      </c>
      <c r="J70">
        <v>143</v>
      </c>
      <c r="K70">
        <v>124.9</v>
      </c>
      <c r="L70">
        <v>109.9</v>
      </c>
      <c r="M70">
        <v>139.9</v>
      </c>
      <c r="N70">
        <v>134</v>
      </c>
      <c r="O70">
        <v>155.5</v>
      </c>
      <c r="P70">
        <v>140.9</v>
      </c>
      <c r="Q70">
        <v>150.1</v>
      </c>
      <c r="R70">
        <v>140.30000000000001</v>
      </c>
      <c r="S70">
        <v>143.69999999999999</v>
      </c>
      <c r="T70">
        <v>146.9</v>
      </c>
      <c r="U70">
        <v>124.9</v>
      </c>
      <c r="V70">
        <v>139.19999999999999</v>
      </c>
      <c r="W70">
        <v>151.6</v>
      </c>
      <c r="X70">
        <v>133.4</v>
      </c>
      <c r="Y70">
        <v>138.19999999999999</v>
      </c>
      <c r="Z70">
        <v>142</v>
      </c>
      <c r="AA70" s="1">
        <f>SUM(Table14[[#This Row],[Cereals and products]:[Food and beverages]])/13</f>
        <v>137.83846153846156</v>
      </c>
      <c r="AB70" s="1">
        <f>SUM(Table14[[#This Row],[Fuel and light]])</f>
        <v>140.30000000000001</v>
      </c>
      <c r="AC70" s="1">
        <f>SUM(Table14[[#This Row],[Transport and communication]])</f>
        <v>124.9</v>
      </c>
      <c r="AD70" s="1">
        <f>SUM(Table14[[#This Row],[Housing]],Table14[[#This Row],[Household goods and services]])/2</f>
        <v>146.89999999999998</v>
      </c>
      <c r="AE70" s="1">
        <f>SUM(Table14[[#This Row],[Health]])</f>
        <v>146.9</v>
      </c>
      <c r="AF70" s="1">
        <f>SUM(Table14[[#This Row],[Recreation and amusement]],Table14[[#This Row],[Education]])/2</f>
        <v>145.39999999999998</v>
      </c>
      <c r="AG70" s="1">
        <f>SUM(Table14[[#This Row],[Miscellaneous]],Table14[[#This Row],[Personal care and effects]])/2</f>
        <v>135.80000000000001</v>
      </c>
    </row>
    <row r="71" spans="1:33" hidden="1" x14ac:dyDescent="0.3">
      <c r="A71" t="s">
        <v>36</v>
      </c>
      <c r="B71">
        <v>2019</v>
      </c>
      <c r="C71" t="s">
        <v>47</v>
      </c>
      <c r="D71">
        <v>140.4</v>
      </c>
      <c r="E71">
        <v>156.69999999999999</v>
      </c>
      <c r="F71">
        <v>138.30000000000001</v>
      </c>
      <c r="G71">
        <v>142.4</v>
      </c>
      <c r="H71">
        <v>118.6</v>
      </c>
      <c r="I71">
        <v>149.69999999999999</v>
      </c>
      <c r="J71">
        <v>161.6</v>
      </c>
      <c r="K71">
        <v>124.4</v>
      </c>
      <c r="L71">
        <v>111.2</v>
      </c>
      <c r="M71">
        <v>141</v>
      </c>
      <c r="N71">
        <v>128.9</v>
      </c>
      <c r="O71">
        <v>154.5</v>
      </c>
      <c r="P71">
        <v>143.80000000000001</v>
      </c>
      <c r="Q71">
        <v>150.1</v>
      </c>
      <c r="R71">
        <v>129.4</v>
      </c>
      <c r="S71">
        <v>137.19999999999999</v>
      </c>
      <c r="T71">
        <v>139.80000000000001</v>
      </c>
      <c r="U71">
        <v>120.1</v>
      </c>
      <c r="V71">
        <v>134</v>
      </c>
      <c r="W71">
        <v>148</v>
      </c>
      <c r="X71">
        <v>132.6</v>
      </c>
      <c r="Y71">
        <v>133.30000000000001</v>
      </c>
      <c r="Z71">
        <v>141.5</v>
      </c>
      <c r="AA71" s="1">
        <f>SUM(Table14[[#This Row],[Cereals and products]:[Food and beverages]])/13</f>
        <v>139.34615384615387</v>
      </c>
      <c r="AB71" s="1">
        <f>SUM(Table14[[#This Row],[Fuel and light]])</f>
        <v>129.4</v>
      </c>
      <c r="AC71" s="1">
        <f>SUM(Table14[[#This Row],[Transport and communication]])</f>
        <v>120.1</v>
      </c>
      <c r="AD71" s="1">
        <f>SUM(Table14[[#This Row],[Housing]],Table14[[#This Row],[Household goods and services]])/2</f>
        <v>143.64999999999998</v>
      </c>
      <c r="AE71" s="1">
        <f>SUM(Table14[[#This Row],[Health]])</f>
        <v>139.80000000000001</v>
      </c>
      <c r="AF71" s="1">
        <f>SUM(Table14[[#This Row],[Recreation and amusement]],Table14[[#This Row],[Education]])/2</f>
        <v>141</v>
      </c>
      <c r="AG71" s="1">
        <f>SUM(Table14[[#This Row],[Miscellaneous]],Table14[[#This Row],[Personal care and effects]])/2</f>
        <v>132.94999999999999</v>
      </c>
    </row>
    <row r="72" spans="1:33" hidden="1" x14ac:dyDescent="0.3">
      <c r="A72" t="s">
        <v>33</v>
      </c>
      <c r="B72">
        <v>2019</v>
      </c>
      <c r="C72" t="s">
        <v>45</v>
      </c>
      <c r="D72">
        <v>141.80000000000001</v>
      </c>
      <c r="E72">
        <v>163.69999999999999</v>
      </c>
      <c r="F72">
        <v>143.80000000000001</v>
      </c>
      <c r="G72">
        <v>147.1</v>
      </c>
      <c r="H72">
        <v>126</v>
      </c>
      <c r="I72">
        <v>146.19999999999999</v>
      </c>
      <c r="J72">
        <v>191.4</v>
      </c>
      <c r="K72">
        <v>136.19999999999999</v>
      </c>
      <c r="L72">
        <v>113.8</v>
      </c>
      <c r="M72">
        <v>147.30000000000001</v>
      </c>
      <c r="N72">
        <v>138.69999999999999</v>
      </c>
      <c r="O72">
        <v>157.69999999999999</v>
      </c>
      <c r="P72">
        <v>150.9</v>
      </c>
      <c r="Q72">
        <v>146.9</v>
      </c>
      <c r="R72">
        <v>148.4</v>
      </c>
      <c r="S72">
        <v>150.9</v>
      </c>
      <c r="T72">
        <v>154.30000000000001</v>
      </c>
      <c r="U72">
        <v>132.1</v>
      </c>
      <c r="V72">
        <v>149.1</v>
      </c>
      <c r="W72">
        <v>160.80000000000001</v>
      </c>
      <c r="X72">
        <v>140.6</v>
      </c>
      <c r="Y72">
        <v>146.1</v>
      </c>
      <c r="Z72">
        <v>149.9</v>
      </c>
      <c r="AA72" s="1">
        <f>SUM(Table14[[#This Row],[Cereals and products]:[Food and beverages]])/13</f>
        <v>146.50769230769231</v>
      </c>
      <c r="AB72" s="1">
        <f>SUM(Table14[[#This Row],[Fuel and light]])</f>
        <v>148.4</v>
      </c>
      <c r="AC72" s="1">
        <f>SUM(Table14[[#This Row],[Transport and communication]])</f>
        <v>132.1</v>
      </c>
      <c r="AD72" s="1">
        <f>SUM(Table14[[#This Row],[Housing]],Table14[[#This Row],[Household goods and services]])/2</f>
        <v>148.9</v>
      </c>
      <c r="AE72" s="1">
        <f>SUM(Table14[[#This Row],[Health]])</f>
        <v>154.30000000000001</v>
      </c>
      <c r="AF72" s="1">
        <f>SUM(Table14[[#This Row],[Recreation and amusement]],Table14[[#This Row],[Education]])/2</f>
        <v>154.94999999999999</v>
      </c>
      <c r="AG72" s="1">
        <f>SUM(Table14[[#This Row],[Miscellaneous]],Table14[[#This Row],[Personal care and effects]])/2</f>
        <v>143.35</v>
      </c>
    </row>
    <row r="73" spans="1:33" hidden="1" x14ac:dyDescent="0.3">
      <c r="A73" t="s">
        <v>35</v>
      </c>
      <c r="B73">
        <v>2019</v>
      </c>
      <c r="C73" t="s">
        <v>45</v>
      </c>
      <c r="D73">
        <v>142.5</v>
      </c>
      <c r="E73">
        <v>163.19999999999999</v>
      </c>
      <c r="F73">
        <v>145.6</v>
      </c>
      <c r="G73">
        <v>146.69999999999999</v>
      </c>
      <c r="H73">
        <v>124.3</v>
      </c>
      <c r="I73">
        <v>147.4</v>
      </c>
      <c r="J73">
        <v>199.6</v>
      </c>
      <c r="K73">
        <v>135.69999999999999</v>
      </c>
      <c r="L73">
        <v>114.2</v>
      </c>
      <c r="M73">
        <v>147</v>
      </c>
      <c r="N73">
        <v>135.30000000000001</v>
      </c>
      <c r="O73">
        <v>157.5</v>
      </c>
      <c r="P73">
        <v>151.9</v>
      </c>
      <c r="Q73">
        <v>153.5</v>
      </c>
      <c r="R73">
        <v>142.30000000000001</v>
      </c>
      <c r="S73">
        <v>145.30000000000001</v>
      </c>
      <c r="T73">
        <v>149.9</v>
      </c>
      <c r="U73">
        <v>126.6</v>
      </c>
      <c r="V73">
        <v>142.1</v>
      </c>
      <c r="W73">
        <v>155.5</v>
      </c>
      <c r="X73">
        <v>140.30000000000001</v>
      </c>
      <c r="Y73">
        <v>141.30000000000001</v>
      </c>
      <c r="Z73">
        <v>148.6</v>
      </c>
      <c r="AA73" s="1">
        <f>SUM(Table14[[#This Row],[Cereals and products]:[Food and beverages]])/13</f>
        <v>146.99230769230769</v>
      </c>
      <c r="AB73" s="1">
        <f>SUM(Table14[[#This Row],[Fuel and light]])</f>
        <v>142.30000000000001</v>
      </c>
      <c r="AC73" s="1">
        <f>SUM(Table14[[#This Row],[Transport and communication]])</f>
        <v>126.6</v>
      </c>
      <c r="AD73" s="1">
        <f>SUM(Table14[[#This Row],[Housing]],Table14[[#This Row],[Household goods and services]])/2</f>
        <v>149.4</v>
      </c>
      <c r="AE73" s="1">
        <f>SUM(Table14[[#This Row],[Health]])</f>
        <v>149.9</v>
      </c>
      <c r="AF73" s="1">
        <f>SUM(Table14[[#This Row],[Recreation and amusement]],Table14[[#This Row],[Education]])/2</f>
        <v>148.80000000000001</v>
      </c>
      <c r="AG73" s="1">
        <f>SUM(Table14[[#This Row],[Miscellaneous]],Table14[[#This Row],[Personal care and effects]])/2</f>
        <v>140.80000000000001</v>
      </c>
    </row>
    <row r="74" spans="1:33" hidden="1" x14ac:dyDescent="0.3">
      <c r="A74" t="s">
        <v>36</v>
      </c>
      <c r="B74">
        <v>2019</v>
      </c>
      <c r="C74" t="s">
        <v>45</v>
      </c>
      <c r="D74">
        <v>144.1</v>
      </c>
      <c r="E74">
        <v>162.4</v>
      </c>
      <c r="F74">
        <v>148.4</v>
      </c>
      <c r="G74">
        <v>145.9</v>
      </c>
      <c r="H74">
        <v>121.5</v>
      </c>
      <c r="I74">
        <v>148.80000000000001</v>
      </c>
      <c r="J74">
        <v>215.7</v>
      </c>
      <c r="K74">
        <v>134.6</v>
      </c>
      <c r="L74">
        <v>115</v>
      </c>
      <c r="M74">
        <v>146.30000000000001</v>
      </c>
      <c r="N74">
        <v>130.5</v>
      </c>
      <c r="O74">
        <v>157.19999999999999</v>
      </c>
      <c r="P74">
        <v>153.6</v>
      </c>
      <c r="Q74">
        <v>153.5</v>
      </c>
      <c r="R74">
        <v>132.19999999999999</v>
      </c>
      <c r="S74">
        <v>139.1</v>
      </c>
      <c r="T74">
        <v>142.80000000000001</v>
      </c>
      <c r="U74">
        <v>121.7</v>
      </c>
      <c r="V74">
        <v>136.69999999999999</v>
      </c>
      <c r="W74">
        <v>151.80000000000001</v>
      </c>
      <c r="X74">
        <v>139.80000000000001</v>
      </c>
      <c r="Y74">
        <v>136.30000000000001</v>
      </c>
      <c r="Z74">
        <v>147</v>
      </c>
      <c r="AA74" s="1">
        <f>SUM(Table14[[#This Row],[Cereals and products]:[Food and beverages]])/13</f>
        <v>147.99999999999997</v>
      </c>
      <c r="AB74" s="1">
        <f>SUM(Table14[[#This Row],[Fuel and light]])</f>
        <v>132.19999999999999</v>
      </c>
      <c r="AC74" s="1">
        <f>SUM(Table14[[#This Row],[Transport and communication]])</f>
        <v>121.7</v>
      </c>
      <c r="AD74" s="1">
        <f>SUM(Table14[[#This Row],[Housing]],Table14[[#This Row],[Household goods and services]])/2</f>
        <v>146.30000000000001</v>
      </c>
      <c r="AE74" s="1">
        <f>SUM(Table14[[#This Row],[Health]])</f>
        <v>142.80000000000001</v>
      </c>
      <c r="AF74" s="1">
        <f>SUM(Table14[[#This Row],[Recreation and amusement]],Table14[[#This Row],[Education]])/2</f>
        <v>144.25</v>
      </c>
      <c r="AG74" s="1">
        <f>SUM(Table14[[#This Row],[Miscellaneous]],Table14[[#This Row],[Personal care and effects]])/2</f>
        <v>138.05000000000001</v>
      </c>
    </row>
    <row r="75" spans="1:33" hidden="1" x14ac:dyDescent="0.3">
      <c r="A75" t="s">
        <v>33</v>
      </c>
      <c r="B75">
        <v>2018</v>
      </c>
      <c r="C75" t="s">
        <v>45</v>
      </c>
      <c r="D75">
        <v>137.1</v>
      </c>
      <c r="E75">
        <v>150.80000000000001</v>
      </c>
      <c r="F75">
        <v>136.69999999999999</v>
      </c>
      <c r="G75">
        <v>141.9</v>
      </c>
      <c r="H75">
        <v>122.8</v>
      </c>
      <c r="I75">
        <v>143.9</v>
      </c>
      <c r="J75">
        <v>147.5</v>
      </c>
      <c r="K75">
        <v>121</v>
      </c>
      <c r="L75">
        <v>111.6</v>
      </c>
      <c r="M75">
        <v>140.6</v>
      </c>
      <c r="N75">
        <v>137.5</v>
      </c>
      <c r="O75">
        <v>156.1</v>
      </c>
      <c r="P75">
        <v>140</v>
      </c>
      <c r="Q75">
        <v>138.6</v>
      </c>
      <c r="R75">
        <v>150.30000000000001</v>
      </c>
      <c r="S75">
        <v>148</v>
      </c>
      <c r="T75">
        <v>145.4</v>
      </c>
      <c r="U75">
        <v>130.30000000000001</v>
      </c>
      <c r="V75">
        <v>143.1</v>
      </c>
      <c r="W75">
        <v>150.19999999999999</v>
      </c>
      <c r="X75">
        <v>133.1</v>
      </c>
      <c r="Y75">
        <v>140.1</v>
      </c>
      <c r="Z75">
        <v>142.4</v>
      </c>
      <c r="AA75" s="1">
        <f>SUM(Table14[[#This Row],[Cereals and products]:[Food and beverages]])/13</f>
        <v>137.49999999999997</v>
      </c>
      <c r="AB75" s="1">
        <f>SUM(Table14[[#This Row],[Fuel and light]])</f>
        <v>150.30000000000001</v>
      </c>
      <c r="AC75" s="1">
        <f>SUM(Table14[[#This Row],[Transport and communication]])</f>
        <v>130.30000000000001</v>
      </c>
      <c r="AD75" s="1">
        <f>SUM(Table14[[#This Row],[Housing]],Table14[[#This Row],[Household goods and services]])/2</f>
        <v>143.30000000000001</v>
      </c>
      <c r="AE75" s="1">
        <f>SUM(Table14[[#This Row],[Health]])</f>
        <v>145.4</v>
      </c>
      <c r="AF75" s="1">
        <f>SUM(Table14[[#This Row],[Recreation and amusement]],Table14[[#This Row],[Education]])/2</f>
        <v>146.64999999999998</v>
      </c>
      <c r="AG75" s="1">
        <f>SUM(Table14[[#This Row],[Miscellaneous]],Table14[[#This Row],[Personal care and effects]])/2</f>
        <v>136.6</v>
      </c>
    </row>
    <row r="76" spans="1:33" hidden="1" x14ac:dyDescent="0.3">
      <c r="A76" t="s">
        <v>35</v>
      </c>
      <c r="B76">
        <v>2018</v>
      </c>
      <c r="C76" t="s">
        <v>45</v>
      </c>
      <c r="D76">
        <v>137.4</v>
      </c>
      <c r="E76">
        <v>149.19999999999999</v>
      </c>
      <c r="F76">
        <v>137.1</v>
      </c>
      <c r="G76">
        <v>141.80000000000001</v>
      </c>
      <c r="H76">
        <v>121.1</v>
      </c>
      <c r="I76">
        <v>142.80000000000001</v>
      </c>
      <c r="J76">
        <v>146.69999999999999</v>
      </c>
      <c r="K76">
        <v>119.1</v>
      </c>
      <c r="L76">
        <v>111.9</v>
      </c>
      <c r="M76">
        <v>140.9</v>
      </c>
      <c r="N76">
        <v>133.5</v>
      </c>
      <c r="O76">
        <v>154.5</v>
      </c>
      <c r="P76">
        <v>139.69999999999999</v>
      </c>
      <c r="Q76">
        <v>146.9</v>
      </c>
      <c r="R76">
        <v>145.1</v>
      </c>
      <c r="S76">
        <v>142.19999999999999</v>
      </c>
      <c r="T76">
        <v>142.1</v>
      </c>
      <c r="U76">
        <v>125.5</v>
      </c>
      <c r="V76">
        <v>136.5</v>
      </c>
      <c r="W76">
        <v>147.80000000000001</v>
      </c>
      <c r="X76">
        <v>132</v>
      </c>
      <c r="Y76">
        <v>136.30000000000001</v>
      </c>
      <c r="Z76">
        <v>140.80000000000001</v>
      </c>
      <c r="AA76" s="1">
        <f>SUM(Table14[[#This Row],[Cereals and products]:[Food and beverages]])/13</f>
        <v>136.59230769230771</v>
      </c>
      <c r="AB76" s="1">
        <f>SUM(Table14[[#This Row],[Fuel and light]])</f>
        <v>145.1</v>
      </c>
      <c r="AC76" s="1">
        <f>SUM(Table14[[#This Row],[Transport and communication]])</f>
        <v>125.5</v>
      </c>
      <c r="AD76" s="1">
        <f>SUM(Table14[[#This Row],[Housing]],Table14[[#This Row],[Household goods and services]])/2</f>
        <v>144.55000000000001</v>
      </c>
      <c r="AE76" s="1">
        <f>SUM(Table14[[#This Row],[Health]])</f>
        <v>142.1</v>
      </c>
      <c r="AF76" s="1">
        <f>SUM(Table14[[#This Row],[Recreation and amusement]],Table14[[#This Row],[Education]])/2</f>
        <v>142.15</v>
      </c>
      <c r="AG76" s="1">
        <f>SUM(Table14[[#This Row],[Miscellaneous]],Table14[[#This Row],[Personal care and effects]])/2</f>
        <v>134.15</v>
      </c>
    </row>
    <row r="77" spans="1:33" hidden="1" x14ac:dyDescent="0.3">
      <c r="A77" t="s">
        <v>36</v>
      </c>
      <c r="B77">
        <v>2018</v>
      </c>
      <c r="C77" t="s">
        <v>45</v>
      </c>
      <c r="D77">
        <v>138.1</v>
      </c>
      <c r="E77">
        <v>146.30000000000001</v>
      </c>
      <c r="F77">
        <v>137.80000000000001</v>
      </c>
      <c r="G77">
        <v>141.6</v>
      </c>
      <c r="H77">
        <v>118.1</v>
      </c>
      <c r="I77">
        <v>141.5</v>
      </c>
      <c r="J77">
        <v>145.19999999999999</v>
      </c>
      <c r="K77">
        <v>115.3</v>
      </c>
      <c r="L77">
        <v>112.5</v>
      </c>
      <c r="M77">
        <v>141.4</v>
      </c>
      <c r="N77">
        <v>128</v>
      </c>
      <c r="O77">
        <v>152.6</v>
      </c>
      <c r="P77">
        <v>139.1</v>
      </c>
      <c r="Q77">
        <v>146.9</v>
      </c>
      <c r="R77">
        <v>136.69999999999999</v>
      </c>
      <c r="S77">
        <v>135.80000000000001</v>
      </c>
      <c r="T77">
        <v>136.80000000000001</v>
      </c>
      <c r="U77">
        <v>121.2</v>
      </c>
      <c r="V77">
        <v>131.30000000000001</v>
      </c>
      <c r="W77">
        <v>146.1</v>
      </c>
      <c r="X77">
        <v>130.5</v>
      </c>
      <c r="Y77">
        <v>132.19999999999999</v>
      </c>
      <c r="Z77">
        <v>139</v>
      </c>
      <c r="AA77" s="1">
        <f>SUM(Table14[[#This Row],[Cereals and products]:[Food and beverages]])/13</f>
        <v>135.19230769230768</v>
      </c>
      <c r="AB77" s="1">
        <f>SUM(Table14[[#This Row],[Fuel and light]])</f>
        <v>136.69999999999999</v>
      </c>
      <c r="AC77" s="1">
        <f>SUM(Table14[[#This Row],[Transport and communication]])</f>
        <v>121.2</v>
      </c>
      <c r="AD77" s="1">
        <f>SUM(Table14[[#This Row],[Housing]],Table14[[#This Row],[Household goods and services]])/2</f>
        <v>141.35000000000002</v>
      </c>
      <c r="AE77" s="1">
        <f>SUM(Table14[[#This Row],[Health]])</f>
        <v>136.80000000000001</v>
      </c>
      <c r="AF77" s="1">
        <f>SUM(Table14[[#This Row],[Recreation and amusement]],Table14[[#This Row],[Education]])/2</f>
        <v>138.69999999999999</v>
      </c>
      <c r="AG77" s="1">
        <f>SUM(Table14[[#This Row],[Miscellaneous]],Table14[[#This Row],[Personal care and effects]])/2</f>
        <v>131.35</v>
      </c>
    </row>
    <row r="78" spans="1:33" hidden="1" x14ac:dyDescent="0.3">
      <c r="A78" t="s">
        <v>36</v>
      </c>
      <c r="B78">
        <v>2017</v>
      </c>
      <c r="C78" t="s">
        <v>45</v>
      </c>
      <c r="D78">
        <v>134.30000000000001</v>
      </c>
      <c r="E78">
        <v>142.1</v>
      </c>
      <c r="F78">
        <v>146.69999999999999</v>
      </c>
      <c r="G78">
        <v>139.5</v>
      </c>
      <c r="H78">
        <v>115.2</v>
      </c>
      <c r="I78">
        <v>136.4</v>
      </c>
      <c r="J78">
        <v>185.2</v>
      </c>
      <c r="K78">
        <v>122.2</v>
      </c>
      <c r="L78">
        <v>123.9</v>
      </c>
      <c r="M78">
        <v>138.30000000000001</v>
      </c>
      <c r="N78">
        <v>125.4</v>
      </c>
      <c r="O78">
        <v>146</v>
      </c>
      <c r="P78">
        <v>141.5</v>
      </c>
      <c r="Q78">
        <v>138.6</v>
      </c>
      <c r="R78">
        <v>125.7</v>
      </c>
      <c r="S78">
        <v>128.80000000000001</v>
      </c>
      <c r="T78">
        <v>127.4</v>
      </c>
      <c r="U78">
        <v>115.3</v>
      </c>
      <c r="V78">
        <v>125.1</v>
      </c>
      <c r="W78">
        <v>136.6</v>
      </c>
      <c r="X78">
        <v>124.9</v>
      </c>
      <c r="Y78">
        <v>124.9</v>
      </c>
      <c r="Z78">
        <v>134.80000000000001</v>
      </c>
      <c r="AA78" s="1">
        <f>SUM(Table14[[#This Row],[Cereals and products]:[Food and beverages]])/13</f>
        <v>138.2076923076923</v>
      </c>
      <c r="AB78" s="1">
        <f>SUM(Table14[[#This Row],[Fuel and light]])</f>
        <v>125.7</v>
      </c>
      <c r="AC78" s="1">
        <f>SUM(Table14[[#This Row],[Transport and communication]])</f>
        <v>115.3</v>
      </c>
      <c r="AD78" s="1">
        <f>SUM(Table14[[#This Row],[Housing]],Table14[[#This Row],[Household goods and services]])/2</f>
        <v>133.69999999999999</v>
      </c>
      <c r="AE78" s="1">
        <f>SUM(Table14[[#This Row],[Health]])</f>
        <v>127.4</v>
      </c>
      <c r="AF78" s="1">
        <f>SUM(Table14[[#This Row],[Recreation and amusement]],Table14[[#This Row],[Education]])/2</f>
        <v>130.85</v>
      </c>
      <c r="AG78" s="1">
        <f>SUM(Table14[[#This Row],[Miscellaneous]],Table14[[#This Row],[Personal care and effects]])/2</f>
        <v>124.9</v>
      </c>
    </row>
    <row r="79" spans="1:33" hidden="1" x14ac:dyDescent="0.3">
      <c r="A79" t="s">
        <v>35</v>
      </c>
      <c r="B79">
        <v>2017</v>
      </c>
      <c r="C79" t="s">
        <v>45</v>
      </c>
      <c r="D79">
        <v>135.69999999999999</v>
      </c>
      <c r="E79">
        <v>142.4</v>
      </c>
      <c r="F79">
        <v>142.9</v>
      </c>
      <c r="G79">
        <v>140.80000000000001</v>
      </c>
      <c r="H79">
        <v>119.2</v>
      </c>
      <c r="I79">
        <v>142.19999999999999</v>
      </c>
      <c r="J79">
        <v>173.8</v>
      </c>
      <c r="K79">
        <v>131.19999999999999</v>
      </c>
      <c r="L79">
        <v>123</v>
      </c>
      <c r="M79">
        <v>136.80000000000001</v>
      </c>
      <c r="N79">
        <v>129.19999999999999</v>
      </c>
      <c r="O79">
        <v>148.9</v>
      </c>
      <c r="P79">
        <v>142.1</v>
      </c>
      <c r="Q79">
        <v>138.6</v>
      </c>
      <c r="R79">
        <v>135.30000000000001</v>
      </c>
      <c r="S79">
        <v>134.4</v>
      </c>
      <c r="T79">
        <v>132.6</v>
      </c>
      <c r="U79">
        <v>118.3</v>
      </c>
      <c r="V79">
        <v>128.9</v>
      </c>
      <c r="W79">
        <v>138.6</v>
      </c>
      <c r="X79">
        <v>126.8</v>
      </c>
      <c r="Y79">
        <v>128.4</v>
      </c>
      <c r="Z79">
        <v>137.6</v>
      </c>
      <c r="AA79" s="1">
        <f>SUM(Table14[[#This Row],[Cereals and products]:[Food and beverages]])/13</f>
        <v>139.09230769230768</v>
      </c>
      <c r="AB79" s="1">
        <f>SUM(Table14[[#This Row],[Fuel and light]])</f>
        <v>135.30000000000001</v>
      </c>
      <c r="AC79" s="1">
        <f>SUM(Table14[[#This Row],[Transport and communication]])</f>
        <v>118.3</v>
      </c>
      <c r="AD79" s="1">
        <f>SUM(Table14[[#This Row],[Housing]],Table14[[#This Row],[Household goods and services]])/2</f>
        <v>136.5</v>
      </c>
      <c r="AE79" s="1">
        <f>SUM(Table14[[#This Row],[Health]])</f>
        <v>132.6</v>
      </c>
      <c r="AF79" s="1">
        <f>SUM(Table14[[#This Row],[Recreation and amusement]],Table14[[#This Row],[Education]])/2</f>
        <v>133.75</v>
      </c>
      <c r="AG79" s="1">
        <f>SUM(Table14[[#This Row],[Miscellaneous]],Table14[[#This Row],[Personal care and effects]])/2</f>
        <v>127.6</v>
      </c>
    </row>
    <row r="80" spans="1:33" hidden="1" x14ac:dyDescent="0.3">
      <c r="A80" t="s">
        <v>33</v>
      </c>
      <c r="B80">
        <v>2017</v>
      </c>
      <c r="C80" t="s">
        <v>45</v>
      </c>
      <c r="D80">
        <v>136.30000000000001</v>
      </c>
      <c r="E80">
        <v>142.5</v>
      </c>
      <c r="F80">
        <v>140.5</v>
      </c>
      <c r="G80">
        <v>141.5</v>
      </c>
      <c r="H80">
        <v>121.6</v>
      </c>
      <c r="I80">
        <v>147.30000000000001</v>
      </c>
      <c r="J80">
        <v>168</v>
      </c>
      <c r="K80">
        <v>135.80000000000001</v>
      </c>
      <c r="L80">
        <v>122.5</v>
      </c>
      <c r="M80">
        <v>136</v>
      </c>
      <c r="N80">
        <v>131.9</v>
      </c>
      <c r="O80">
        <v>151.4</v>
      </c>
      <c r="P80">
        <v>142.4</v>
      </c>
      <c r="Q80">
        <v>138.6</v>
      </c>
      <c r="R80">
        <v>141.1</v>
      </c>
      <c r="S80">
        <v>139.4</v>
      </c>
      <c r="T80">
        <v>135.80000000000001</v>
      </c>
      <c r="U80">
        <v>121.6</v>
      </c>
      <c r="V80">
        <v>133.69999999999999</v>
      </c>
      <c r="W80">
        <v>141.5</v>
      </c>
      <c r="X80">
        <v>128.1</v>
      </c>
      <c r="Y80">
        <v>131.69999999999999</v>
      </c>
      <c r="Z80">
        <v>140</v>
      </c>
      <c r="AA80" s="1">
        <f>SUM(Table14[[#This Row],[Cereals and products]:[Food and beverages]])/13</f>
        <v>139.82307692307694</v>
      </c>
      <c r="AB80" s="1">
        <f>SUM(Table14[[#This Row],[Fuel and light]])</f>
        <v>141.1</v>
      </c>
      <c r="AC80" s="1">
        <f>SUM(Table14[[#This Row],[Transport and communication]])</f>
        <v>121.6</v>
      </c>
      <c r="AD80" s="1">
        <f>SUM(Table14[[#This Row],[Housing]],Table14[[#This Row],[Household goods and services]])/2</f>
        <v>139</v>
      </c>
      <c r="AE80" s="1">
        <f>SUM(Table14[[#This Row],[Health]])</f>
        <v>135.80000000000001</v>
      </c>
      <c r="AF80" s="1">
        <f>SUM(Table14[[#This Row],[Recreation and amusement]],Table14[[#This Row],[Education]])/2</f>
        <v>137.6</v>
      </c>
      <c r="AG80" s="1">
        <f>SUM(Table14[[#This Row],[Miscellaneous]],Table14[[#This Row],[Personal care and effects]])/2</f>
        <v>129.89999999999998</v>
      </c>
    </row>
    <row r="81" spans="1:33" hidden="1" x14ac:dyDescent="0.3">
      <c r="A81" t="s">
        <v>36</v>
      </c>
      <c r="B81">
        <v>2016</v>
      </c>
      <c r="C81" t="s">
        <v>45</v>
      </c>
      <c r="D81">
        <v>130.19999999999999</v>
      </c>
      <c r="E81">
        <v>138.5</v>
      </c>
      <c r="F81">
        <v>134.1</v>
      </c>
      <c r="G81">
        <v>132.9</v>
      </c>
      <c r="H81">
        <v>112.6</v>
      </c>
      <c r="I81">
        <v>130.80000000000001</v>
      </c>
      <c r="J81">
        <v>142</v>
      </c>
      <c r="K81">
        <v>174.9</v>
      </c>
      <c r="L81">
        <v>115.6</v>
      </c>
      <c r="M81">
        <v>145.4</v>
      </c>
      <c r="N81">
        <v>122.7</v>
      </c>
      <c r="O81">
        <v>140.30000000000001</v>
      </c>
      <c r="P81">
        <v>135.19999999999999</v>
      </c>
      <c r="Q81">
        <v>129.1</v>
      </c>
      <c r="R81">
        <v>116.2</v>
      </c>
      <c r="S81">
        <v>124.7</v>
      </c>
      <c r="T81">
        <v>122.1</v>
      </c>
      <c r="U81">
        <v>113.4</v>
      </c>
      <c r="V81">
        <v>121.7</v>
      </c>
      <c r="W81">
        <v>132.1</v>
      </c>
      <c r="X81">
        <v>121.3</v>
      </c>
      <c r="Y81">
        <v>121.3</v>
      </c>
      <c r="Z81">
        <v>128.5</v>
      </c>
      <c r="AA81" s="1">
        <f>SUM(Table14[[#This Row],[Cereals and products]:[Food and beverages]])/13</f>
        <v>135.01538461538462</v>
      </c>
      <c r="AB81" s="1">
        <f>SUM(Table14[[#This Row],[Fuel and light]])</f>
        <v>116.2</v>
      </c>
      <c r="AC81" s="1">
        <f>SUM(Table14[[#This Row],[Transport and communication]])</f>
        <v>113.4</v>
      </c>
      <c r="AD81" s="1">
        <f>SUM(Table14[[#This Row],[Housing]],Table14[[#This Row],[Household goods and services]])/2</f>
        <v>126.9</v>
      </c>
      <c r="AE81" s="1">
        <f>SUM(Table14[[#This Row],[Health]])</f>
        <v>122.1</v>
      </c>
      <c r="AF81" s="1">
        <f>SUM(Table14[[#This Row],[Recreation and amusement]],Table14[[#This Row],[Education]])/2</f>
        <v>126.9</v>
      </c>
      <c r="AG81" s="1">
        <f>SUM(Table14[[#This Row],[Miscellaneous]],Table14[[#This Row],[Personal care and effects]])/2</f>
        <v>121.3</v>
      </c>
    </row>
    <row r="82" spans="1:33" hidden="1" x14ac:dyDescent="0.3">
      <c r="A82" t="s">
        <v>35</v>
      </c>
      <c r="B82">
        <v>2016</v>
      </c>
      <c r="C82" t="s">
        <v>45</v>
      </c>
      <c r="D82">
        <v>131.4</v>
      </c>
      <c r="E82">
        <v>137.80000000000001</v>
      </c>
      <c r="F82">
        <v>132</v>
      </c>
      <c r="G82">
        <v>135</v>
      </c>
      <c r="H82">
        <v>118</v>
      </c>
      <c r="I82">
        <v>134.1</v>
      </c>
      <c r="J82">
        <v>141.9</v>
      </c>
      <c r="K82">
        <v>171.7</v>
      </c>
      <c r="L82">
        <v>114.1</v>
      </c>
      <c r="M82">
        <v>139.69999999999999</v>
      </c>
      <c r="N82">
        <v>126.2</v>
      </c>
      <c r="O82">
        <v>141.80000000000001</v>
      </c>
      <c r="P82">
        <v>136.1</v>
      </c>
      <c r="Q82">
        <v>129.1</v>
      </c>
      <c r="R82">
        <v>125</v>
      </c>
      <c r="S82">
        <v>128.6</v>
      </c>
      <c r="T82">
        <v>126.4</v>
      </c>
      <c r="U82">
        <v>115.7</v>
      </c>
      <c r="V82">
        <v>124</v>
      </c>
      <c r="W82">
        <v>132.80000000000001</v>
      </c>
      <c r="X82">
        <v>122.6</v>
      </c>
      <c r="Y82">
        <v>123.8</v>
      </c>
      <c r="Z82">
        <v>131.19999999999999</v>
      </c>
      <c r="AA82" s="1">
        <f>SUM(Table14[[#This Row],[Cereals and products]:[Food and beverages]])/13</f>
        <v>135.36923076923077</v>
      </c>
      <c r="AB82" s="1">
        <f>SUM(Table14[[#This Row],[Fuel and light]])</f>
        <v>125</v>
      </c>
      <c r="AC82" s="1">
        <f>SUM(Table14[[#This Row],[Transport and communication]])</f>
        <v>115.7</v>
      </c>
      <c r="AD82" s="1">
        <f>SUM(Table14[[#This Row],[Housing]],Table14[[#This Row],[Household goods and services]])/2</f>
        <v>128.85</v>
      </c>
      <c r="AE82" s="1">
        <f>SUM(Table14[[#This Row],[Health]])</f>
        <v>126.4</v>
      </c>
      <c r="AF82" s="1">
        <f>SUM(Table14[[#This Row],[Recreation and amusement]],Table14[[#This Row],[Education]])/2</f>
        <v>128.4</v>
      </c>
      <c r="AG82" s="1">
        <f>SUM(Table14[[#This Row],[Miscellaneous]],Table14[[#This Row],[Personal care and effects]])/2</f>
        <v>123.19999999999999</v>
      </c>
    </row>
    <row r="83" spans="1:33" hidden="1" x14ac:dyDescent="0.3">
      <c r="A83" t="s">
        <v>33</v>
      </c>
      <c r="B83">
        <v>2016</v>
      </c>
      <c r="C83" t="s">
        <v>45</v>
      </c>
      <c r="D83">
        <v>132</v>
      </c>
      <c r="E83">
        <v>137.4</v>
      </c>
      <c r="F83">
        <v>130.6</v>
      </c>
      <c r="G83">
        <v>136.19999999999999</v>
      </c>
      <c r="H83">
        <v>121.1</v>
      </c>
      <c r="I83">
        <v>136.9</v>
      </c>
      <c r="J83">
        <v>141.80000000000001</v>
      </c>
      <c r="K83">
        <v>170</v>
      </c>
      <c r="L83">
        <v>113.4</v>
      </c>
      <c r="M83">
        <v>136.80000000000001</v>
      </c>
      <c r="N83">
        <v>128.69999999999999</v>
      </c>
      <c r="O83">
        <v>143.1</v>
      </c>
      <c r="P83">
        <v>136.6</v>
      </c>
      <c r="Q83">
        <v>129.1</v>
      </c>
      <c r="R83">
        <v>130.30000000000001</v>
      </c>
      <c r="S83">
        <v>132.1</v>
      </c>
      <c r="T83">
        <v>129.1</v>
      </c>
      <c r="U83">
        <v>118.2</v>
      </c>
      <c r="V83">
        <v>126.9</v>
      </c>
      <c r="W83">
        <v>133.69999999999999</v>
      </c>
      <c r="X83">
        <v>123.5</v>
      </c>
      <c r="Y83">
        <v>126.1</v>
      </c>
      <c r="Z83">
        <v>133.6</v>
      </c>
      <c r="AA83" s="1">
        <f>SUM(Table14[[#This Row],[Cereals and products]:[Food and beverages]])/13</f>
        <v>135.73846153846154</v>
      </c>
      <c r="AB83" s="1">
        <f>SUM(Table14[[#This Row],[Fuel and light]])</f>
        <v>130.30000000000001</v>
      </c>
      <c r="AC83" s="1">
        <f>SUM(Table14[[#This Row],[Transport and communication]])</f>
        <v>118.2</v>
      </c>
      <c r="AD83" s="1">
        <f>SUM(Table14[[#This Row],[Housing]],Table14[[#This Row],[Household goods and services]])/2</f>
        <v>130.6</v>
      </c>
      <c r="AE83" s="1">
        <f>SUM(Table14[[#This Row],[Health]])</f>
        <v>129.1</v>
      </c>
      <c r="AF83" s="1">
        <f>SUM(Table14[[#This Row],[Recreation and amusement]],Table14[[#This Row],[Education]])/2</f>
        <v>130.30000000000001</v>
      </c>
      <c r="AG83" s="1">
        <f>SUM(Table14[[#This Row],[Miscellaneous]],Table14[[#This Row],[Personal care and effects]])/2</f>
        <v>124.8</v>
      </c>
    </row>
    <row r="84" spans="1:33" hidden="1" x14ac:dyDescent="0.3">
      <c r="A84" t="s">
        <v>36</v>
      </c>
      <c r="B84">
        <v>2015</v>
      </c>
      <c r="C84" t="s">
        <v>45</v>
      </c>
      <c r="D84">
        <v>124</v>
      </c>
      <c r="E84">
        <v>129.80000000000001</v>
      </c>
      <c r="F84">
        <v>121.5</v>
      </c>
      <c r="G84">
        <v>128.6</v>
      </c>
      <c r="H84">
        <v>110</v>
      </c>
      <c r="I84">
        <v>123.7</v>
      </c>
      <c r="J84">
        <v>164.6</v>
      </c>
      <c r="K84">
        <v>191.6</v>
      </c>
      <c r="L84">
        <v>90.8</v>
      </c>
      <c r="M84">
        <v>137.1</v>
      </c>
      <c r="N84">
        <v>119.8</v>
      </c>
      <c r="O84">
        <v>133.69999999999999</v>
      </c>
      <c r="P84">
        <v>133.30000000000001</v>
      </c>
      <c r="Q84">
        <v>122.9</v>
      </c>
      <c r="R84">
        <v>115.1</v>
      </c>
      <c r="S84">
        <v>121</v>
      </c>
      <c r="T84">
        <v>118.1</v>
      </c>
      <c r="U84">
        <v>109.3</v>
      </c>
      <c r="V84">
        <v>117.9</v>
      </c>
      <c r="W84">
        <v>126.6</v>
      </c>
      <c r="X84">
        <v>113.3</v>
      </c>
      <c r="Y84">
        <v>116.6</v>
      </c>
      <c r="Z84">
        <v>124.6</v>
      </c>
      <c r="AA84" s="1">
        <f>SUM(Table14[[#This Row],[Cereals and products]:[Food and beverages]])/13</f>
        <v>131.42307692307691</v>
      </c>
      <c r="AB84" s="1">
        <f>SUM(Table14[[#This Row],[Fuel and light]])</f>
        <v>115.1</v>
      </c>
      <c r="AC84" s="1">
        <f>SUM(Table14[[#This Row],[Transport and communication]])</f>
        <v>109.3</v>
      </c>
      <c r="AD84" s="1">
        <f>SUM(Table14[[#This Row],[Housing]],Table14[[#This Row],[Household goods and services]])/2</f>
        <v>121.95</v>
      </c>
      <c r="AE84" s="1">
        <f>SUM(Table14[[#This Row],[Health]])</f>
        <v>118.1</v>
      </c>
      <c r="AF84" s="1">
        <f>SUM(Table14[[#This Row],[Recreation and amusement]],Table14[[#This Row],[Education]])/2</f>
        <v>122.25</v>
      </c>
      <c r="AG84" s="1">
        <f>SUM(Table14[[#This Row],[Miscellaneous]],Table14[[#This Row],[Personal care and effects]])/2</f>
        <v>114.94999999999999</v>
      </c>
    </row>
    <row r="85" spans="1:33" hidden="1" x14ac:dyDescent="0.3">
      <c r="A85" t="s">
        <v>35</v>
      </c>
      <c r="B85">
        <v>2015</v>
      </c>
      <c r="C85" t="s">
        <v>45</v>
      </c>
      <c r="D85">
        <v>125.4</v>
      </c>
      <c r="E85">
        <v>130.30000000000001</v>
      </c>
      <c r="F85">
        <v>121.6</v>
      </c>
      <c r="G85">
        <v>129.19999999999999</v>
      </c>
      <c r="H85">
        <v>114.9</v>
      </c>
      <c r="I85">
        <v>128.19999999999999</v>
      </c>
      <c r="J85">
        <v>158.4</v>
      </c>
      <c r="K85">
        <v>171.2</v>
      </c>
      <c r="L85">
        <v>93.3</v>
      </c>
      <c r="M85">
        <v>131.19999999999999</v>
      </c>
      <c r="N85">
        <v>121.7</v>
      </c>
      <c r="O85">
        <v>134</v>
      </c>
      <c r="P85">
        <v>132.69999999999999</v>
      </c>
      <c r="Q85">
        <v>122.9</v>
      </c>
      <c r="R85">
        <v>121.6</v>
      </c>
      <c r="S85">
        <v>123.4</v>
      </c>
      <c r="T85">
        <v>120.9</v>
      </c>
      <c r="U85">
        <v>111.5</v>
      </c>
      <c r="V85">
        <v>119.2</v>
      </c>
      <c r="W85">
        <v>126.3</v>
      </c>
      <c r="X85">
        <v>113.8</v>
      </c>
      <c r="Y85">
        <v>118.1</v>
      </c>
      <c r="Z85">
        <v>126.6</v>
      </c>
      <c r="AA85" s="1">
        <f>SUM(Table14[[#This Row],[Cereals and products]:[Food and beverages]])/13</f>
        <v>130.16153846153844</v>
      </c>
      <c r="AB85" s="1">
        <f>SUM(Table14[[#This Row],[Fuel and light]])</f>
        <v>121.6</v>
      </c>
      <c r="AC85" s="1">
        <f>SUM(Table14[[#This Row],[Transport and communication]])</f>
        <v>111.5</v>
      </c>
      <c r="AD85" s="1">
        <f>SUM(Table14[[#This Row],[Housing]],Table14[[#This Row],[Household goods and services]])/2</f>
        <v>123.15</v>
      </c>
      <c r="AE85" s="1">
        <f>SUM(Table14[[#This Row],[Health]])</f>
        <v>120.9</v>
      </c>
      <c r="AF85" s="1">
        <f>SUM(Table14[[#This Row],[Recreation and amusement]],Table14[[#This Row],[Education]])/2</f>
        <v>122.75</v>
      </c>
      <c r="AG85" s="1">
        <f>SUM(Table14[[#This Row],[Miscellaneous]],Table14[[#This Row],[Personal care and effects]])/2</f>
        <v>115.94999999999999</v>
      </c>
    </row>
    <row r="86" spans="1:33" hidden="1" x14ac:dyDescent="0.3">
      <c r="A86" t="s">
        <v>33</v>
      </c>
      <c r="B86">
        <v>2015</v>
      </c>
      <c r="C86" t="s">
        <v>45</v>
      </c>
      <c r="D86">
        <v>126.1</v>
      </c>
      <c r="E86">
        <v>130.6</v>
      </c>
      <c r="F86">
        <v>121.7</v>
      </c>
      <c r="G86">
        <v>129.5</v>
      </c>
      <c r="H86">
        <v>117.8</v>
      </c>
      <c r="I86">
        <v>132.1</v>
      </c>
      <c r="J86">
        <v>155.19999999999999</v>
      </c>
      <c r="K86">
        <v>160.80000000000001</v>
      </c>
      <c r="L86">
        <v>94.5</v>
      </c>
      <c r="M86">
        <v>128.30000000000001</v>
      </c>
      <c r="N86">
        <v>123.1</v>
      </c>
      <c r="O86">
        <v>134.19999999999999</v>
      </c>
      <c r="P86">
        <v>132.4</v>
      </c>
      <c r="Q86">
        <v>122.9</v>
      </c>
      <c r="R86">
        <v>125.6</v>
      </c>
      <c r="S86">
        <v>125.6</v>
      </c>
      <c r="T86">
        <v>122.6</v>
      </c>
      <c r="U86">
        <v>114</v>
      </c>
      <c r="V86">
        <v>120.9</v>
      </c>
      <c r="W86">
        <v>125.8</v>
      </c>
      <c r="X86">
        <v>114.2</v>
      </c>
      <c r="Y86">
        <v>119.6</v>
      </c>
      <c r="Z86">
        <v>128.30000000000001</v>
      </c>
      <c r="AA86" s="1">
        <f>SUM(Table14[[#This Row],[Cereals and products]:[Food and beverages]])/13</f>
        <v>129.71538461538461</v>
      </c>
      <c r="AB86" s="1">
        <f>SUM(Table14[[#This Row],[Fuel and light]])</f>
        <v>125.6</v>
      </c>
      <c r="AC86" s="1">
        <f>SUM(Table14[[#This Row],[Transport and communication]])</f>
        <v>114</v>
      </c>
      <c r="AD86" s="1">
        <f>SUM(Table14[[#This Row],[Housing]],Table14[[#This Row],[Household goods and services]])/2</f>
        <v>124.25</v>
      </c>
      <c r="AE86" s="1">
        <f>SUM(Table14[[#This Row],[Health]])</f>
        <v>122.6</v>
      </c>
      <c r="AF86" s="1">
        <f>SUM(Table14[[#This Row],[Recreation and amusement]],Table14[[#This Row],[Education]])/2</f>
        <v>123.35</v>
      </c>
      <c r="AG86" s="1">
        <f>SUM(Table14[[#This Row],[Miscellaneous]],Table14[[#This Row],[Personal care and effects]])/2</f>
        <v>116.9</v>
      </c>
    </row>
    <row r="87" spans="1:33" hidden="1" x14ac:dyDescent="0.3">
      <c r="A87" t="s">
        <v>33</v>
      </c>
      <c r="B87">
        <v>2014</v>
      </c>
      <c r="C87" t="s">
        <v>45</v>
      </c>
      <c r="D87">
        <v>122.7</v>
      </c>
      <c r="E87">
        <v>122.6</v>
      </c>
      <c r="F87">
        <v>119.9</v>
      </c>
      <c r="G87">
        <v>124</v>
      </c>
      <c r="H87">
        <v>110.5</v>
      </c>
      <c r="I87">
        <v>128.80000000000001</v>
      </c>
      <c r="J87">
        <v>152</v>
      </c>
      <c r="K87">
        <v>116.2</v>
      </c>
      <c r="L87">
        <v>103.3</v>
      </c>
      <c r="M87">
        <v>115.8</v>
      </c>
      <c r="N87">
        <v>116.8</v>
      </c>
      <c r="O87">
        <v>124.5</v>
      </c>
      <c r="P87">
        <v>124.9</v>
      </c>
      <c r="Q87">
        <v>111.1</v>
      </c>
      <c r="R87">
        <v>117.3</v>
      </c>
      <c r="S87">
        <v>118.1</v>
      </c>
      <c r="T87">
        <v>115.9</v>
      </c>
      <c r="U87">
        <v>112</v>
      </c>
      <c r="V87">
        <v>113.3</v>
      </c>
      <c r="W87">
        <v>117.2</v>
      </c>
      <c r="X87">
        <v>108.8</v>
      </c>
      <c r="Y87">
        <v>114.1</v>
      </c>
      <c r="Z87">
        <v>121.1</v>
      </c>
      <c r="AA87" s="1">
        <f>SUM(Table14[[#This Row],[Cereals and products]:[Food and beverages]])/13</f>
        <v>121.69230769230769</v>
      </c>
      <c r="AB87" s="1">
        <f>SUM(Table14[[#This Row],[Fuel and light]])</f>
        <v>117.3</v>
      </c>
      <c r="AC87" s="1">
        <f>SUM(Table14[[#This Row],[Transport and communication]])</f>
        <v>112</v>
      </c>
      <c r="AD87" s="1">
        <f>SUM(Table14[[#This Row],[Housing]],Table14[[#This Row],[Household goods and services]])/2</f>
        <v>114.6</v>
      </c>
      <c r="AE87" s="1">
        <f>SUM(Table14[[#This Row],[Health]])</f>
        <v>115.9</v>
      </c>
      <c r="AF87" s="1">
        <f>SUM(Table14[[#This Row],[Recreation and amusement]],Table14[[#This Row],[Education]])/2</f>
        <v>115.25</v>
      </c>
      <c r="AG87" s="1">
        <f>SUM(Table14[[#This Row],[Miscellaneous]],Table14[[#This Row],[Personal care and effects]])/2</f>
        <v>111.44999999999999</v>
      </c>
    </row>
    <row r="88" spans="1:33" hidden="1" x14ac:dyDescent="0.3">
      <c r="A88" t="s">
        <v>35</v>
      </c>
      <c r="B88">
        <v>2014</v>
      </c>
      <c r="C88" t="s">
        <v>45</v>
      </c>
      <c r="D88">
        <v>123.3</v>
      </c>
      <c r="E88">
        <v>123.7</v>
      </c>
      <c r="F88">
        <v>121</v>
      </c>
      <c r="G88">
        <v>124.2</v>
      </c>
      <c r="H88">
        <v>107.8</v>
      </c>
      <c r="I88">
        <v>125.7</v>
      </c>
      <c r="J88">
        <v>152.4</v>
      </c>
      <c r="K88">
        <v>117.2</v>
      </c>
      <c r="L88">
        <v>102.1</v>
      </c>
      <c r="M88">
        <v>118.7</v>
      </c>
      <c r="N88">
        <v>116.4</v>
      </c>
      <c r="O88">
        <v>125.6</v>
      </c>
      <c r="P88">
        <v>125.1</v>
      </c>
      <c r="Q88">
        <v>117.1</v>
      </c>
      <c r="R88">
        <v>115.5</v>
      </c>
      <c r="S88">
        <v>117.3</v>
      </c>
      <c r="T88">
        <v>114.8</v>
      </c>
      <c r="U88">
        <v>110.8</v>
      </c>
      <c r="V88">
        <v>113.7</v>
      </c>
      <c r="W88">
        <v>119</v>
      </c>
      <c r="X88">
        <v>109.1</v>
      </c>
      <c r="Y88">
        <v>113.8</v>
      </c>
      <c r="Z88">
        <v>120.1</v>
      </c>
      <c r="AA88" s="1">
        <f>SUM(Table14[[#This Row],[Cereals and products]:[Food and beverages]])/13</f>
        <v>121.78461538461539</v>
      </c>
      <c r="AB88" s="1">
        <f>SUM(Table14[[#This Row],[Fuel and light]])</f>
        <v>115.5</v>
      </c>
      <c r="AC88" s="1">
        <f>SUM(Table14[[#This Row],[Transport and communication]])</f>
        <v>110.8</v>
      </c>
      <c r="AD88" s="1">
        <f>SUM(Table14[[#This Row],[Housing]],Table14[[#This Row],[Household goods and services]])/2</f>
        <v>117.19999999999999</v>
      </c>
      <c r="AE88" s="1">
        <f>SUM(Table14[[#This Row],[Health]])</f>
        <v>114.8</v>
      </c>
      <c r="AF88" s="1">
        <f>SUM(Table14[[#This Row],[Recreation and amusement]],Table14[[#This Row],[Education]])/2</f>
        <v>116.35</v>
      </c>
      <c r="AG88" s="1">
        <f>SUM(Table14[[#This Row],[Miscellaneous]],Table14[[#This Row],[Personal care and effects]])/2</f>
        <v>111.44999999999999</v>
      </c>
    </row>
    <row r="89" spans="1:33" hidden="1" x14ac:dyDescent="0.3">
      <c r="A89" t="s">
        <v>36</v>
      </c>
      <c r="B89">
        <v>2014</v>
      </c>
      <c r="C89" t="s">
        <v>45</v>
      </c>
      <c r="D89">
        <v>124.5</v>
      </c>
      <c r="E89">
        <v>125.6</v>
      </c>
      <c r="F89">
        <v>122.7</v>
      </c>
      <c r="G89">
        <v>124.6</v>
      </c>
      <c r="H89">
        <v>103.2</v>
      </c>
      <c r="I89">
        <v>122.2</v>
      </c>
      <c r="J89">
        <v>153.19999999999999</v>
      </c>
      <c r="K89">
        <v>119.3</v>
      </c>
      <c r="L89">
        <v>99.8</v>
      </c>
      <c r="M89">
        <v>124.6</v>
      </c>
      <c r="N89">
        <v>115.8</v>
      </c>
      <c r="O89">
        <v>126.9</v>
      </c>
      <c r="P89">
        <v>125.4</v>
      </c>
      <c r="Q89">
        <v>117.1</v>
      </c>
      <c r="R89">
        <v>112.6</v>
      </c>
      <c r="S89">
        <v>116.4</v>
      </c>
      <c r="T89">
        <v>113</v>
      </c>
      <c r="U89">
        <v>109.7</v>
      </c>
      <c r="V89">
        <v>114</v>
      </c>
      <c r="W89">
        <v>120.3</v>
      </c>
      <c r="X89">
        <v>109.6</v>
      </c>
      <c r="Y89">
        <v>113.4</v>
      </c>
      <c r="Z89">
        <v>119</v>
      </c>
      <c r="AA89" s="1">
        <f>SUM(Table14[[#This Row],[Cereals and products]:[Food and beverages]])/13</f>
        <v>122.13846153846154</v>
      </c>
      <c r="AB89" s="1">
        <f>SUM(Table14[[#This Row],[Fuel and light]])</f>
        <v>112.6</v>
      </c>
      <c r="AC89" s="1">
        <f>SUM(Table14[[#This Row],[Transport and communication]])</f>
        <v>109.7</v>
      </c>
      <c r="AD89" s="1">
        <f>SUM(Table14[[#This Row],[Housing]],Table14[[#This Row],[Household goods and services]])/2</f>
        <v>116.75</v>
      </c>
      <c r="AE89" s="1">
        <f>SUM(Table14[[#This Row],[Health]])</f>
        <v>113</v>
      </c>
      <c r="AF89" s="1">
        <f>SUM(Table14[[#This Row],[Recreation and amusement]],Table14[[#This Row],[Education]])/2</f>
        <v>117.15</v>
      </c>
      <c r="AG89" s="1">
        <f>SUM(Table14[[#This Row],[Miscellaneous]],Table14[[#This Row],[Personal care and effects]])/2</f>
        <v>111.5</v>
      </c>
    </row>
    <row r="90" spans="1:33" hidden="1" x14ac:dyDescent="0.3">
      <c r="A90" t="s">
        <v>35</v>
      </c>
      <c r="B90">
        <v>2013</v>
      </c>
      <c r="C90" t="s">
        <v>45</v>
      </c>
      <c r="D90">
        <v>118.1</v>
      </c>
      <c r="E90">
        <v>115.4</v>
      </c>
      <c r="F90">
        <v>118.7</v>
      </c>
      <c r="G90">
        <v>112.5</v>
      </c>
      <c r="H90">
        <v>106.8</v>
      </c>
      <c r="I90">
        <v>113.5</v>
      </c>
      <c r="J90">
        <v>183.1</v>
      </c>
      <c r="K90">
        <v>108.2</v>
      </c>
      <c r="L90">
        <v>102.2</v>
      </c>
      <c r="M90">
        <v>109.4</v>
      </c>
      <c r="N90">
        <v>111.8</v>
      </c>
      <c r="O90">
        <v>116.5</v>
      </c>
      <c r="P90">
        <v>122.6</v>
      </c>
      <c r="Q90">
        <v>111.1</v>
      </c>
      <c r="R90">
        <v>111.6</v>
      </c>
      <c r="S90">
        <v>111.1</v>
      </c>
      <c r="T90">
        <v>109.3</v>
      </c>
      <c r="U90">
        <v>109.5</v>
      </c>
      <c r="V90">
        <v>108.6</v>
      </c>
      <c r="W90">
        <v>111.2</v>
      </c>
      <c r="X90">
        <v>108.1</v>
      </c>
      <c r="Y90">
        <v>109.7</v>
      </c>
      <c r="Z90">
        <v>116.3</v>
      </c>
      <c r="AA90" s="1">
        <f>SUM(Table14[[#This Row],[Cereals and products]:[Food and beverages]])/13</f>
        <v>118.36923076923077</v>
      </c>
      <c r="AB90" s="1">
        <f>SUM(Table14[[#This Row],[Fuel and light]])</f>
        <v>111.6</v>
      </c>
      <c r="AC90" s="1">
        <f>SUM(Table14[[#This Row],[Transport and communication]])</f>
        <v>109.5</v>
      </c>
      <c r="AD90" s="1">
        <f>SUM(Table14[[#This Row],[Housing]],Table14[[#This Row],[Household goods and services]])/2</f>
        <v>111.1</v>
      </c>
      <c r="AE90" s="1">
        <f>SUM(Table14[[#This Row],[Health]])</f>
        <v>109.3</v>
      </c>
      <c r="AF90" s="1">
        <f>SUM(Table14[[#This Row],[Recreation and amusement]],Table14[[#This Row],[Education]])/2</f>
        <v>109.9</v>
      </c>
      <c r="AG90" s="1">
        <f>SUM(Table14[[#This Row],[Miscellaneous]],Table14[[#This Row],[Personal care and effects]])/2</f>
        <v>108.9</v>
      </c>
    </row>
    <row r="91" spans="1:33" hidden="1" x14ac:dyDescent="0.3">
      <c r="A91" t="s">
        <v>36</v>
      </c>
      <c r="B91">
        <v>2013</v>
      </c>
      <c r="C91" t="s">
        <v>45</v>
      </c>
      <c r="D91">
        <v>119.8</v>
      </c>
      <c r="E91">
        <v>116.3</v>
      </c>
      <c r="F91">
        <v>122.6</v>
      </c>
      <c r="G91">
        <v>112</v>
      </c>
      <c r="H91">
        <v>103.2</v>
      </c>
      <c r="I91">
        <v>110</v>
      </c>
      <c r="J91">
        <v>192.8</v>
      </c>
      <c r="K91">
        <v>106.3</v>
      </c>
      <c r="L91">
        <v>99.5</v>
      </c>
      <c r="M91">
        <v>110.3</v>
      </c>
      <c r="N91">
        <v>111.8</v>
      </c>
      <c r="O91">
        <v>117.1</v>
      </c>
      <c r="P91">
        <v>122.9</v>
      </c>
      <c r="Q91">
        <v>111.1</v>
      </c>
      <c r="R91">
        <v>110</v>
      </c>
      <c r="S91">
        <v>110.9</v>
      </c>
      <c r="T91">
        <v>108.6</v>
      </c>
      <c r="U91">
        <v>109.5</v>
      </c>
      <c r="V91">
        <v>108.5</v>
      </c>
      <c r="W91">
        <v>111.3</v>
      </c>
      <c r="X91">
        <v>107.9</v>
      </c>
      <c r="Y91">
        <v>109.6</v>
      </c>
      <c r="Z91">
        <v>115</v>
      </c>
      <c r="AA91" s="1">
        <f>SUM(Table14[[#This Row],[Cereals and products]:[Food and beverages]])/13</f>
        <v>118.8153846153846</v>
      </c>
      <c r="AB91" s="1">
        <f>SUM(Table14[[#This Row],[Fuel and light]])</f>
        <v>110</v>
      </c>
      <c r="AC91" s="1">
        <f>SUM(Table14[[#This Row],[Transport and communication]])</f>
        <v>109.5</v>
      </c>
      <c r="AD91" s="1">
        <f>SUM(Table14[[#This Row],[Housing]],Table14[[#This Row],[Household goods and services]])/2</f>
        <v>111</v>
      </c>
      <c r="AE91" s="1">
        <f>SUM(Table14[[#This Row],[Health]])</f>
        <v>108.6</v>
      </c>
      <c r="AF91" s="1">
        <f>SUM(Table14[[#This Row],[Recreation and amusement]],Table14[[#This Row],[Education]])/2</f>
        <v>109.9</v>
      </c>
      <c r="AG91" s="1">
        <f>SUM(Table14[[#This Row],[Miscellaneous]],Table14[[#This Row],[Personal care and effects]])/2</f>
        <v>108.75</v>
      </c>
    </row>
    <row r="92" spans="1:33" hidden="1" x14ac:dyDescent="0.3">
      <c r="A92" t="s">
        <v>33</v>
      </c>
      <c r="B92">
        <v>2023</v>
      </c>
      <c r="C92" t="s">
        <v>47</v>
      </c>
      <c r="D92">
        <v>173.2</v>
      </c>
      <c r="E92">
        <v>211.5</v>
      </c>
      <c r="F92">
        <v>171</v>
      </c>
      <c r="G92">
        <v>179.6</v>
      </c>
      <c r="H92">
        <v>173.3</v>
      </c>
      <c r="I92">
        <v>169</v>
      </c>
      <c r="J92">
        <v>148.69999999999999</v>
      </c>
      <c r="K92">
        <v>174.9</v>
      </c>
      <c r="L92">
        <v>121.9</v>
      </c>
      <c r="M92">
        <v>221</v>
      </c>
      <c r="N92">
        <v>178.7</v>
      </c>
      <c r="O92">
        <v>191.1</v>
      </c>
      <c r="P92">
        <v>176.8</v>
      </c>
      <c r="Q92">
        <f>AVERAGE(Q93:Q94)</f>
        <v>175.6</v>
      </c>
      <c r="R92">
        <v>182.5</v>
      </c>
      <c r="S92">
        <v>179.8</v>
      </c>
      <c r="T92">
        <v>187.8</v>
      </c>
      <c r="U92">
        <v>169.7</v>
      </c>
      <c r="V92">
        <v>173.8</v>
      </c>
      <c r="W92">
        <v>180.3</v>
      </c>
      <c r="X92">
        <v>184.9</v>
      </c>
      <c r="Y92">
        <v>179.5</v>
      </c>
      <c r="Z92">
        <v>179.8</v>
      </c>
      <c r="AA92" s="1">
        <f>SUM(Table14[[#This Row],[Cereals and products]:[Food and beverages]])/13</f>
        <v>176.20769230769235</v>
      </c>
      <c r="AB92" s="1">
        <f>SUM(Table14[[#This Row],[Fuel and light]])</f>
        <v>182.5</v>
      </c>
      <c r="AC92" s="1">
        <f>SUM(Table14[[#This Row],[Transport and communication]])</f>
        <v>169.7</v>
      </c>
      <c r="AD92" s="1">
        <f>SUM(Table14[[#This Row],[Housing]],Table14[[#This Row],[Household goods and services]])/2</f>
        <v>177.7</v>
      </c>
      <c r="AE92" s="1">
        <f>SUM(Table14[[#This Row],[Health]])</f>
        <v>187.8</v>
      </c>
      <c r="AF92" s="1">
        <f>SUM(Table14[[#This Row],[Recreation and amusement]],Table14[[#This Row],[Education]])/2</f>
        <v>177.05</v>
      </c>
      <c r="AG92" s="1">
        <f>SUM(Table14[[#This Row],[Miscellaneous]],Table14[[#This Row],[Personal care and effects]])/2</f>
        <v>182.2</v>
      </c>
    </row>
    <row r="93" spans="1:33" hidden="1" x14ac:dyDescent="0.3">
      <c r="A93" t="s">
        <v>35</v>
      </c>
      <c r="B93">
        <v>2023</v>
      </c>
      <c r="C93" t="s">
        <v>47</v>
      </c>
      <c r="D93">
        <v>173.7</v>
      </c>
      <c r="E93">
        <v>214.3</v>
      </c>
      <c r="F93">
        <v>173.2</v>
      </c>
      <c r="G93">
        <v>179.5</v>
      </c>
      <c r="H93">
        <v>170</v>
      </c>
      <c r="I93">
        <v>172.2</v>
      </c>
      <c r="J93">
        <v>161</v>
      </c>
      <c r="K93">
        <v>175.6</v>
      </c>
      <c r="L93">
        <v>122.7</v>
      </c>
      <c r="M93">
        <v>218</v>
      </c>
      <c r="N93">
        <v>173.4</v>
      </c>
      <c r="O93">
        <v>194.2</v>
      </c>
      <c r="P93">
        <v>179.1</v>
      </c>
      <c r="Q93">
        <v>175.6</v>
      </c>
      <c r="R93">
        <v>182.8</v>
      </c>
      <c r="S93">
        <v>175.2</v>
      </c>
      <c r="T93">
        <v>185.7</v>
      </c>
      <c r="U93">
        <v>164.8</v>
      </c>
      <c r="V93">
        <v>171.2</v>
      </c>
      <c r="W93">
        <v>177.1</v>
      </c>
      <c r="X93">
        <v>185.2</v>
      </c>
      <c r="Y93">
        <v>175.7</v>
      </c>
      <c r="Z93">
        <v>179.1</v>
      </c>
      <c r="AA93" s="1">
        <f>SUM(Table14[[#This Row],[Cereals and products]:[Food and beverages]])/13</f>
        <v>177.45384615384617</v>
      </c>
      <c r="AB93" s="1">
        <f>SUM(Table14[[#This Row],[Fuel and light]])</f>
        <v>182.8</v>
      </c>
      <c r="AC93" s="1">
        <f>SUM(Table14[[#This Row],[Transport and communication]])</f>
        <v>164.8</v>
      </c>
      <c r="AD93" s="1">
        <f>SUM(Table14[[#This Row],[Housing]],Table14[[#This Row],[Household goods and services]])/2</f>
        <v>175.39999999999998</v>
      </c>
      <c r="AE93" s="1">
        <f>SUM(Table14[[#This Row],[Health]])</f>
        <v>185.7</v>
      </c>
      <c r="AF93" s="1">
        <f>SUM(Table14[[#This Row],[Recreation and amusement]],Table14[[#This Row],[Education]])/2</f>
        <v>174.14999999999998</v>
      </c>
      <c r="AG93" s="1">
        <f>SUM(Table14[[#This Row],[Miscellaneous]],Table14[[#This Row],[Personal care and effects]])/2</f>
        <v>180.45</v>
      </c>
    </row>
    <row r="94" spans="1:33" hidden="1" x14ac:dyDescent="0.3">
      <c r="A94" t="s">
        <v>36</v>
      </c>
      <c r="B94">
        <v>2023</v>
      </c>
      <c r="C94" t="s">
        <v>47</v>
      </c>
      <c r="D94">
        <v>174.7</v>
      </c>
      <c r="E94">
        <v>219.4</v>
      </c>
      <c r="F94">
        <v>176.7</v>
      </c>
      <c r="G94">
        <v>179.4</v>
      </c>
      <c r="H94">
        <v>164.4</v>
      </c>
      <c r="I94">
        <v>175.8</v>
      </c>
      <c r="J94">
        <v>185</v>
      </c>
      <c r="K94">
        <v>176.9</v>
      </c>
      <c r="L94">
        <v>124.2</v>
      </c>
      <c r="M94">
        <v>211.9</v>
      </c>
      <c r="N94">
        <v>165.9</v>
      </c>
      <c r="O94">
        <v>197.7</v>
      </c>
      <c r="P94">
        <v>183.1</v>
      </c>
      <c r="Q94">
        <v>175.6</v>
      </c>
      <c r="R94">
        <v>183.4</v>
      </c>
      <c r="S94">
        <v>170.1</v>
      </c>
      <c r="T94">
        <v>182.2</v>
      </c>
      <c r="U94">
        <v>160.4</v>
      </c>
      <c r="V94">
        <v>169.2</v>
      </c>
      <c r="W94">
        <v>174.8</v>
      </c>
      <c r="X94">
        <v>185.6</v>
      </c>
      <c r="Y94">
        <v>171.6</v>
      </c>
      <c r="Z94">
        <v>178.2</v>
      </c>
      <c r="AA94" s="1">
        <f>SUM(Table14[[#This Row],[Cereals and products]:[Food and beverages]])/13</f>
        <v>179.62307692307692</v>
      </c>
      <c r="AB94" s="1">
        <f>SUM(Table14[[#This Row],[Fuel and light]])</f>
        <v>183.4</v>
      </c>
      <c r="AC94" s="1">
        <f>SUM(Table14[[#This Row],[Transport and communication]])</f>
        <v>160.4</v>
      </c>
      <c r="AD94" s="1">
        <f>SUM(Table14[[#This Row],[Housing]],Table14[[#This Row],[Household goods and services]])/2</f>
        <v>172.85</v>
      </c>
      <c r="AE94" s="1">
        <f>SUM(Table14[[#This Row],[Health]])</f>
        <v>182.2</v>
      </c>
      <c r="AF94" s="1">
        <f>SUM(Table14[[#This Row],[Recreation and amusement]],Table14[[#This Row],[Education]])/2</f>
        <v>172</v>
      </c>
      <c r="AG94" s="1">
        <f>SUM(Table14[[#This Row],[Miscellaneous]],Table14[[#This Row],[Personal care and effects]])/2</f>
        <v>178.6</v>
      </c>
    </row>
    <row r="95" spans="1:33" x14ac:dyDescent="0.3">
      <c r="A95" t="s">
        <v>33</v>
      </c>
      <c r="B95">
        <v>2022</v>
      </c>
      <c r="C95" t="s">
        <v>47</v>
      </c>
      <c r="D95">
        <v>152.9</v>
      </c>
      <c r="E95">
        <v>214.7</v>
      </c>
      <c r="F95">
        <v>161.4</v>
      </c>
      <c r="G95">
        <v>164.6</v>
      </c>
      <c r="H95">
        <v>209.9</v>
      </c>
      <c r="I95">
        <v>168</v>
      </c>
      <c r="J95">
        <v>160.4</v>
      </c>
      <c r="K95">
        <v>165</v>
      </c>
      <c r="L95">
        <v>118.9</v>
      </c>
      <c r="M95">
        <v>186.6</v>
      </c>
      <c r="N95">
        <v>173.2</v>
      </c>
      <c r="O95">
        <v>180.4</v>
      </c>
      <c r="P95">
        <v>170.8</v>
      </c>
      <c r="Q95">
        <f>AVERAGE(Q96:Q97)</f>
        <v>167.5</v>
      </c>
      <c r="R95">
        <v>175.3</v>
      </c>
      <c r="S95">
        <v>168.9</v>
      </c>
      <c r="T95">
        <v>177.7</v>
      </c>
      <c r="U95">
        <v>167.1</v>
      </c>
      <c r="V95">
        <v>167.6</v>
      </c>
      <c r="W95">
        <v>171.8</v>
      </c>
      <c r="X95">
        <v>168.5</v>
      </c>
      <c r="Y95">
        <v>170.9</v>
      </c>
      <c r="Z95">
        <v>172.5</v>
      </c>
      <c r="AA95" s="1">
        <f>SUM(Table14[[#This Row],[Cereals and products]:[Food and beverages]])/13</f>
        <v>171.2923076923077</v>
      </c>
      <c r="AB95" s="1">
        <f>SUM(Table14[[#This Row],[Fuel and light]])</f>
        <v>175.3</v>
      </c>
      <c r="AC95" s="1">
        <f>SUM(Table14[[#This Row],[Transport and communication]])</f>
        <v>167.1</v>
      </c>
      <c r="AD95" s="1">
        <f>SUM(Table14[[#This Row],[Housing]],Table14[[#This Row],[Household goods and services]])/2</f>
        <v>168.2</v>
      </c>
      <c r="AE95" s="1">
        <f>SUM(Table14[[#This Row],[Health]])</f>
        <v>177.7</v>
      </c>
      <c r="AF95" s="1">
        <f>SUM(Table14[[#This Row],[Recreation and amusement]],Table14[[#This Row],[Education]])/2</f>
        <v>169.7</v>
      </c>
      <c r="AG95" s="1">
        <f>SUM(Table14[[#This Row],[Miscellaneous]],Table14[[#This Row],[Personal care and effects]])/2</f>
        <v>169.7</v>
      </c>
    </row>
    <row r="96" spans="1:33" hidden="1" x14ac:dyDescent="0.3">
      <c r="A96" t="s">
        <v>35</v>
      </c>
      <c r="B96">
        <v>2022</v>
      </c>
      <c r="C96" t="s">
        <v>47</v>
      </c>
      <c r="D96">
        <v>154.1</v>
      </c>
      <c r="E96">
        <v>217</v>
      </c>
      <c r="F96">
        <v>162.4</v>
      </c>
      <c r="G96">
        <v>164.9</v>
      </c>
      <c r="H96">
        <v>202.4</v>
      </c>
      <c r="I96">
        <v>171</v>
      </c>
      <c r="J96">
        <v>174.9</v>
      </c>
      <c r="K96">
        <v>164.7</v>
      </c>
      <c r="L96">
        <v>119.7</v>
      </c>
      <c r="M96">
        <v>184.9</v>
      </c>
      <c r="N96">
        <v>167.1</v>
      </c>
      <c r="O96">
        <v>182.5</v>
      </c>
      <c r="P96">
        <v>173.3</v>
      </c>
      <c r="Q96">
        <v>167.5</v>
      </c>
      <c r="R96">
        <v>174.6</v>
      </c>
      <c r="S96">
        <v>165.2</v>
      </c>
      <c r="T96">
        <v>174.8</v>
      </c>
      <c r="U96">
        <v>163</v>
      </c>
      <c r="V96">
        <v>165.1</v>
      </c>
      <c r="W96">
        <v>167.9</v>
      </c>
      <c r="X96">
        <v>168.4</v>
      </c>
      <c r="Y96">
        <v>167.5</v>
      </c>
      <c r="Z96">
        <v>171.7</v>
      </c>
      <c r="AA96" s="1">
        <f>SUM(Table14[[#This Row],[Cereals and products]:[Food and beverages]])/13</f>
        <v>172.22307692307697</v>
      </c>
      <c r="AB96" s="1">
        <f>SUM(Table14[[#This Row],[Fuel and light]])</f>
        <v>174.6</v>
      </c>
      <c r="AC96" s="1">
        <f>SUM(Table14[[#This Row],[Transport and communication]])</f>
        <v>163</v>
      </c>
      <c r="AD96" s="1">
        <f>SUM(Table14[[#This Row],[Housing]],Table14[[#This Row],[Household goods and services]])/2</f>
        <v>166.35</v>
      </c>
      <c r="AE96" s="1">
        <f>SUM(Table14[[#This Row],[Health]])</f>
        <v>174.8</v>
      </c>
      <c r="AF96" s="1">
        <f>SUM(Table14[[#This Row],[Recreation and amusement]],Table14[[#This Row],[Education]])/2</f>
        <v>166.5</v>
      </c>
      <c r="AG96" s="1">
        <f>SUM(Table14[[#This Row],[Miscellaneous]],Table14[[#This Row],[Personal care and effects]])/2</f>
        <v>167.95</v>
      </c>
    </row>
    <row r="97" spans="1:33" hidden="1" x14ac:dyDescent="0.3">
      <c r="A97" t="s">
        <v>36</v>
      </c>
      <c r="B97">
        <v>2022</v>
      </c>
      <c r="C97" t="s">
        <v>47</v>
      </c>
      <c r="D97">
        <v>156.69999999999999</v>
      </c>
      <c r="E97">
        <v>221.2</v>
      </c>
      <c r="F97">
        <v>164.1</v>
      </c>
      <c r="G97">
        <v>165.4</v>
      </c>
      <c r="H97">
        <v>189.5</v>
      </c>
      <c r="I97">
        <v>174.5</v>
      </c>
      <c r="J97">
        <v>203.2</v>
      </c>
      <c r="K97">
        <v>164.1</v>
      </c>
      <c r="L97">
        <v>121.2</v>
      </c>
      <c r="M97">
        <v>181.4</v>
      </c>
      <c r="N97">
        <v>158.5</v>
      </c>
      <c r="O97">
        <v>184.9</v>
      </c>
      <c r="P97">
        <v>177.5</v>
      </c>
      <c r="Q97">
        <v>167.5</v>
      </c>
      <c r="R97">
        <v>173.5</v>
      </c>
      <c r="S97">
        <v>161.1</v>
      </c>
      <c r="T97">
        <v>170.1</v>
      </c>
      <c r="U97">
        <v>159.4</v>
      </c>
      <c r="V97">
        <v>163.19999999999999</v>
      </c>
      <c r="W97">
        <v>165.2</v>
      </c>
      <c r="X97">
        <v>168.2</v>
      </c>
      <c r="Y97">
        <v>163.80000000000001</v>
      </c>
      <c r="Z97">
        <v>170.8</v>
      </c>
      <c r="AA97" s="1">
        <f>SUM(Table14[[#This Row],[Cereals and products]:[Food and beverages]])/13</f>
        <v>174.01538461538465</v>
      </c>
      <c r="AB97" s="1">
        <f>SUM(Table14[[#This Row],[Fuel and light]])</f>
        <v>173.5</v>
      </c>
      <c r="AC97" s="1">
        <f>SUM(Table14[[#This Row],[Transport and communication]])</f>
        <v>159.4</v>
      </c>
      <c r="AD97" s="1">
        <f>SUM(Table14[[#This Row],[Housing]],Table14[[#This Row],[Household goods and services]])/2</f>
        <v>164.3</v>
      </c>
      <c r="AE97" s="1">
        <f>SUM(Table14[[#This Row],[Health]])</f>
        <v>170.1</v>
      </c>
      <c r="AF97" s="1">
        <f>SUM(Table14[[#This Row],[Recreation and amusement]],Table14[[#This Row],[Education]])/2</f>
        <v>164.2</v>
      </c>
      <c r="AG97" s="1">
        <f>SUM(Table14[[#This Row],[Miscellaneous]],Table14[[#This Row],[Personal care and effects]])/2</f>
        <v>166</v>
      </c>
    </row>
    <row r="98" spans="1:33" hidden="1" x14ac:dyDescent="0.3">
      <c r="A98" t="s">
        <v>33</v>
      </c>
      <c r="B98">
        <v>2019</v>
      </c>
      <c r="C98" t="s">
        <v>40</v>
      </c>
      <c r="D98">
        <v>141</v>
      </c>
      <c r="E98">
        <v>161.6</v>
      </c>
      <c r="F98">
        <v>141.19999999999999</v>
      </c>
      <c r="G98">
        <v>146.5</v>
      </c>
      <c r="H98">
        <v>125.6</v>
      </c>
      <c r="I98">
        <v>145.69999999999999</v>
      </c>
      <c r="J98">
        <v>178.8</v>
      </c>
      <c r="K98">
        <v>133.1</v>
      </c>
      <c r="L98">
        <v>113.6</v>
      </c>
      <c r="M98">
        <v>145.5</v>
      </c>
      <c r="N98">
        <v>138.6</v>
      </c>
      <c r="O98">
        <v>157.4</v>
      </c>
      <c r="P98">
        <v>148.30000000000001</v>
      </c>
      <c r="Q98">
        <v>146.44999999999999</v>
      </c>
      <c r="R98">
        <v>147.69999999999999</v>
      </c>
      <c r="S98">
        <v>150.6</v>
      </c>
      <c r="T98">
        <v>153.69999999999999</v>
      </c>
      <c r="U98">
        <v>131.69999999999999</v>
      </c>
      <c r="V98">
        <v>148.69999999999999</v>
      </c>
      <c r="W98">
        <v>160.69999999999999</v>
      </c>
      <c r="X98">
        <v>140.30000000000001</v>
      </c>
      <c r="Y98">
        <v>145.69999999999999</v>
      </c>
      <c r="Z98">
        <v>148.30000000000001</v>
      </c>
      <c r="AA98" s="1">
        <f>SUM(Table14[[#This Row],[Cereals and products]:[Food and beverages]])/13</f>
        <v>144.37692307692305</v>
      </c>
      <c r="AB98" s="1">
        <f>SUM(Table14[[#This Row],[Fuel and light]])</f>
        <v>147.69999999999999</v>
      </c>
      <c r="AC98" s="1">
        <f>SUM(Table14[[#This Row],[Transport and communication]])</f>
        <v>131.69999999999999</v>
      </c>
      <c r="AD98" s="1">
        <f>SUM(Table14[[#This Row],[Housing]],Table14[[#This Row],[Household goods and services]])/2</f>
        <v>148.52499999999998</v>
      </c>
      <c r="AE98" s="1">
        <f>SUM(Table14[[#This Row],[Health]])</f>
        <v>153.69999999999999</v>
      </c>
      <c r="AF98" s="1">
        <f>SUM(Table14[[#This Row],[Recreation and amusement]],Table14[[#This Row],[Education]])/2</f>
        <v>154.69999999999999</v>
      </c>
      <c r="AG98" s="1">
        <f>SUM(Table14[[#This Row],[Miscellaneous]],Table14[[#This Row],[Personal care and effects]])/2</f>
        <v>143</v>
      </c>
    </row>
    <row r="99" spans="1:33" hidden="1" x14ac:dyDescent="0.3">
      <c r="A99" t="s">
        <v>35</v>
      </c>
      <c r="B99">
        <v>2019</v>
      </c>
      <c r="C99" t="s">
        <v>40</v>
      </c>
      <c r="D99">
        <v>141.80000000000001</v>
      </c>
      <c r="E99">
        <v>161</v>
      </c>
      <c r="F99">
        <v>142.6</v>
      </c>
      <c r="G99">
        <v>146.19999999999999</v>
      </c>
      <c r="H99">
        <v>123.9</v>
      </c>
      <c r="I99">
        <v>148</v>
      </c>
      <c r="J99">
        <v>188.4</v>
      </c>
      <c r="K99">
        <v>132.5</v>
      </c>
      <c r="L99">
        <v>114</v>
      </c>
      <c r="M99">
        <v>145.4</v>
      </c>
      <c r="N99">
        <v>135.1</v>
      </c>
      <c r="O99">
        <v>157.1</v>
      </c>
      <c r="P99">
        <v>149.6</v>
      </c>
      <c r="Q99">
        <v>153</v>
      </c>
      <c r="R99">
        <v>140.6</v>
      </c>
      <c r="S99">
        <v>145</v>
      </c>
      <c r="T99">
        <v>149.4</v>
      </c>
      <c r="U99">
        <v>126.3</v>
      </c>
      <c r="V99">
        <v>141.69999999999999</v>
      </c>
      <c r="W99">
        <v>155.4</v>
      </c>
      <c r="X99">
        <v>140</v>
      </c>
      <c r="Y99">
        <v>141</v>
      </c>
      <c r="Z99">
        <v>147.19999999999999</v>
      </c>
      <c r="AA99" s="1">
        <f>SUM(Table14[[#This Row],[Cereals and products]:[Food and beverages]])/13</f>
        <v>145.04615384615383</v>
      </c>
      <c r="AB99" s="1">
        <f>SUM(Table14[[#This Row],[Fuel and light]])</f>
        <v>140.6</v>
      </c>
      <c r="AC99" s="1">
        <f>SUM(Table14[[#This Row],[Transport and communication]])</f>
        <v>126.3</v>
      </c>
      <c r="AD99" s="1">
        <f>SUM(Table14[[#This Row],[Housing]],Table14[[#This Row],[Household goods and services]])/2</f>
        <v>149</v>
      </c>
      <c r="AE99" s="1">
        <f>SUM(Table14[[#This Row],[Health]])</f>
        <v>149.4</v>
      </c>
      <c r="AF99" s="1">
        <f>SUM(Table14[[#This Row],[Recreation and amusement]],Table14[[#This Row],[Education]])/2</f>
        <v>148.55000000000001</v>
      </c>
      <c r="AG99" s="1">
        <f>SUM(Table14[[#This Row],[Miscellaneous]],Table14[[#This Row],[Personal care and effects]])/2</f>
        <v>140.5</v>
      </c>
    </row>
    <row r="100" spans="1:33" hidden="1" x14ac:dyDescent="0.3">
      <c r="A100" t="s">
        <v>36</v>
      </c>
      <c r="B100">
        <v>2019</v>
      </c>
      <c r="C100" t="s">
        <v>40</v>
      </c>
      <c r="D100">
        <v>143.5</v>
      </c>
      <c r="E100">
        <v>159.80000000000001</v>
      </c>
      <c r="F100">
        <v>144.69999999999999</v>
      </c>
      <c r="G100">
        <v>145.6</v>
      </c>
      <c r="H100">
        <v>121.1</v>
      </c>
      <c r="I100">
        <v>150.6</v>
      </c>
      <c r="J100">
        <v>207.2</v>
      </c>
      <c r="K100">
        <v>131.19999999999999</v>
      </c>
      <c r="L100">
        <v>114.8</v>
      </c>
      <c r="M100">
        <v>145.19999999999999</v>
      </c>
      <c r="N100">
        <v>130.19999999999999</v>
      </c>
      <c r="O100">
        <v>156.80000000000001</v>
      </c>
      <c r="P100">
        <v>151.9</v>
      </c>
      <c r="Q100">
        <v>153</v>
      </c>
      <c r="R100">
        <v>128.9</v>
      </c>
      <c r="S100">
        <v>138.69999999999999</v>
      </c>
      <c r="T100">
        <v>142.4</v>
      </c>
      <c r="U100">
        <v>121.5</v>
      </c>
      <c r="V100">
        <v>136.19999999999999</v>
      </c>
      <c r="W100">
        <v>151.69999999999999</v>
      </c>
      <c r="X100">
        <v>139.5</v>
      </c>
      <c r="Y100">
        <v>136</v>
      </c>
      <c r="Z100">
        <v>146</v>
      </c>
      <c r="AA100" s="1">
        <f>SUM(Table14[[#This Row],[Cereals and products]:[Food and beverages]])/13</f>
        <v>146.35384615384618</v>
      </c>
      <c r="AB100" s="1">
        <f>SUM(Table14[[#This Row],[Fuel and light]])</f>
        <v>128.9</v>
      </c>
      <c r="AC100" s="1">
        <f>SUM(Table14[[#This Row],[Transport and communication]])</f>
        <v>121.5</v>
      </c>
      <c r="AD100" s="1">
        <f>SUM(Table14[[#This Row],[Housing]],Table14[[#This Row],[Household goods and services]])/2</f>
        <v>145.85</v>
      </c>
      <c r="AE100" s="1">
        <f>SUM(Table14[[#This Row],[Health]])</f>
        <v>142.4</v>
      </c>
      <c r="AF100" s="1">
        <f>SUM(Table14[[#This Row],[Recreation and amusement]],Table14[[#This Row],[Education]])/2</f>
        <v>143.94999999999999</v>
      </c>
      <c r="AG100" s="1">
        <f>SUM(Table14[[#This Row],[Miscellaneous]],Table14[[#This Row],[Personal care and effects]])/2</f>
        <v>137.75</v>
      </c>
    </row>
    <row r="101" spans="1:33" hidden="1" x14ac:dyDescent="0.3">
      <c r="A101" t="s">
        <v>33</v>
      </c>
      <c r="B101">
        <v>2019</v>
      </c>
      <c r="C101" t="s">
        <v>34</v>
      </c>
      <c r="D101">
        <v>140.1</v>
      </c>
      <c r="E101">
        <v>161.9</v>
      </c>
      <c r="F101">
        <v>138.30000000000001</v>
      </c>
      <c r="G101">
        <v>145.69999999999999</v>
      </c>
      <c r="H101">
        <v>125.1</v>
      </c>
      <c r="I101">
        <v>143.80000000000001</v>
      </c>
      <c r="J101">
        <v>163.4</v>
      </c>
      <c r="K101">
        <v>132.19999999999999</v>
      </c>
      <c r="L101">
        <v>112.8</v>
      </c>
      <c r="M101">
        <v>144.19999999999999</v>
      </c>
      <c r="N101">
        <v>138.5</v>
      </c>
      <c r="O101">
        <v>157.19999999999999</v>
      </c>
      <c r="P101">
        <v>145.5</v>
      </c>
      <c r="Q101">
        <v>145.30000000000001</v>
      </c>
      <c r="R101">
        <v>146.9</v>
      </c>
      <c r="S101">
        <v>150.30000000000001</v>
      </c>
      <c r="T101">
        <v>153.4</v>
      </c>
      <c r="U101">
        <v>131.6</v>
      </c>
      <c r="V101">
        <v>148.30000000000001</v>
      </c>
      <c r="W101">
        <v>160.19999999999999</v>
      </c>
      <c r="X101">
        <v>140.19999999999999</v>
      </c>
      <c r="Y101">
        <v>145.4</v>
      </c>
      <c r="Z101">
        <v>146.69999999999999</v>
      </c>
      <c r="AA101" s="1">
        <f>SUM(Table14[[#This Row],[Cereals and products]:[Food and beverages]])/13</f>
        <v>142.2076923076923</v>
      </c>
      <c r="AB101" s="1">
        <f>SUM(Table14[[#This Row],[Fuel and light]])</f>
        <v>146.9</v>
      </c>
      <c r="AC101" s="1">
        <f>SUM(Table14[[#This Row],[Transport and communication]])</f>
        <v>131.6</v>
      </c>
      <c r="AD101" s="1">
        <f>SUM(Table14[[#This Row],[Housing]],Table14[[#This Row],[Household goods and services]])/2</f>
        <v>147.80000000000001</v>
      </c>
      <c r="AE101" s="1">
        <f>SUM(Table14[[#This Row],[Health]])</f>
        <v>153.4</v>
      </c>
      <c r="AF101" s="1">
        <f>SUM(Table14[[#This Row],[Recreation and amusement]],Table14[[#This Row],[Education]])/2</f>
        <v>154.25</v>
      </c>
      <c r="AG101" s="1">
        <f>SUM(Table14[[#This Row],[Miscellaneous]],Table14[[#This Row],[Personal care and effects]])/2</f>
        <v>142.80000000000001</v>
      </c>
    </row>
    <row r="102" spans="1:33" hidden="1" x14ac:dyDescent="0.3">
      <c r="A102" t="s">
        <v>35</v>
      </c>
      <c r="B102">
        <v>2019</v>
      </c>
      <c r="C102" t="s">
        <v>34</v>
      </c>
      <c r="D102">
        <v>140.9</v>
      </c>
      <c r="E102">
        <v>160.80000000000001</v>
      </c>
      <c r="F102">
        <v>139.6</v>
      </c>
      <c r="G102">
        <v>145.4</v>
      </c>
      <c r="H102">
        <v>123.5</v>
      </c>
      <c r="I102">
        <v>146.6</v>
      </c>
      <c r="J102">
        <v>173.2</v>
      </c>
      <c r="K102">
        <v>131.6</v>
      </c>
      <c r="L102">
        <v>113.2</v>
      </c>
      <c r="M102">
        <v>144.1</v>
      </c>
      <c r="N102">
        <v>135</v>
      </c>
      <c r="O102">
        <v>156.80000000000001</v>
      </c>
      <c r="P102">
        <v>147</v>
      </c>
      <c r="Q102">
        <v>152.19999999999999</v>
      </c>
      <c r="R102">
        <v>139.19999999999999</v>
      </c>
      <c r="S102">
        <v>144.6</v>
      </c>
      <c r="T102">
        <v>149</v>
      </c>
      <c r="U102">
        <v>126.1</v>
      </c>
      <c r="V102">
        <v>141.30000000000001</v>
      </c>
      <c r="W102">
        <v>155.19999999999999</v>
      </c>
      <c r="X102">
        <v>139.69999999999999</v>
      </c>
      <c r="Y102">
        <v>140.69999999999999</v>
      </c>
      <c r="Z102">
        <v>145.80000000000001</v>
      </c>
      <c r="AA102" s="1">
        <f>SUM(Table14[[#This Row],[Cereals and products]:[Food and beverages]])/13</f>
        <v>142.89999999999998</v>
      </c>
      <c r="AB102" s="1">
        <f>SUM(Table14[[#This Row],[Fuel and light]])</f>
        <v>139.19999999999999</v>
      </c>
      <c r="AC102" s="1">
        <f>SUM(Table14[[#This Row],[Transport and communication]])</f>
        <v>126.1</v>
      </c>
      <c r="AD102" s="1">
        <f>SUM(Table14[[#This Row],[Housing]],Table14[[#This Row],[Household goods and services]])/2</f>
        <v>148.39999999999998</v>
      </c>
      <c r="AE102" s="1">
        <f>SUM(Table14[[#This Row],[Health]])</f>
        <v>149</v>
      </c>
      <c r="AF102" s="1">
        <f>SUM(Table14[[#This Row],[Recreation and amusement]],Table14[[#This Row],[Education]])/2</f>
        <v>148.25</v>
      </c>
      <c r="AG102" s="1">
        <f>SUM(Table14[[#This Row],[Miscellaneous]],Table14[[#This Row],[Personal care and effects]])/2</f>
        <v>140.19999999999999</v>
      </c>
    </row>
    <row r="103" spans="1:33" hidden="1" x14ac:dyDescent="0.3">
      <c r="A103" t="s">
        <v>36</v>
      </c>
      <c r="B103">
        <v>2019</v>
      </c>
      <c r="C103" t="s">
        <v>34</v>
      </c>
      <c r="D103">
        <v>142.69999999999999</v>
      </c>
      <c r="E103">
        <v>158.69999999999999</v>
      </c>
      <c r="F103">
        <v>141.6</v>
      </c>
      <c r="G103">
        <v>144.9</v>
      </c>
      <c r="H103">
        <v>120.8</v>
      </c>
      <c r="I103">
        <v>149.80000000000001</v>
      </c>
      <c r="J103">
        <v>192.4</v>
      </c>
      <c r="K103">
        <v>130.30000000000001</v>
      </c>
      <c r="L103">
        <v>114</v>
      </c>
      <c r="M103">
        <v>143.80000000000001</v>
      </c>
      <c r="N103">
        <v>130</v>
      </c>
      <c r="O103">
        <v>156.4</v>
      </c>
      <c r="P103">
        <v>149.5</v>
      </c>
      <c r="Q103">
        <v>152.19999999999999</v>
      </c>
      <c r="R103">
        <v>126.6</v>
      </c>
      <c r="S103">
        <v>138.30000000000001</v>
      </c>
      <c r="T103">
        <v>141.9</v>
      </c>
      <c r="U103">
        <v>121.2</v>
      </c>
      <c r="V103">
        <v>135.9</v>
      </c>
      <c r="W103">
        <v>151.6</v>
      </c>
      <c r="X103">
        <v>139</v>
      </c>
      <c r="Y103">
        <v>135.69999999999999</v>
      </c>
      <c r="Z103">
        <v>144.69999999999999</v>
      </c>
      <c r="AA103" s="1">
        <f>SUM(Table14[[#This Row],[Cereals and products]:[Food and beverages]])/13</f>
        <v>144.22307692307692</v>
      </c>
      <c r="AB103" s="1">
        <f>SUM(Table14[[#This Row],[Fuel and light]])</f>
        <v>126.6</v>
      </c>
      <c r="AC103" s="1">
        <f>SUM(Table14[[#This Row],[Transport and communication]])</f>
        <v>121.2</v>
      </c>
      <c r="AD103" s="1">
        <f>SUM(Table14[[#This Row],[Housing]],Table14[[#This Row],[Household goods and services]])/2</f>
        <v>145.25</v>
      </c>
      <c r="AE103" s="1">
        <f>SUM(Table14[[#This Row],[Health]])</f>
        <v>141.9</v>
      </c>
      <c r="AF103" s="1">
        <f>SUM(Table14[[#This Row],[Recreation and amusement]],Table14[[#This Row],[Education]])/2</f>
        <v>143.75</v>
      </c>
      <c r="AG103" s="1">
        <f>SUM(Table14[[#This Row],[Miscellaneous]],Table14[[#This Row],[Personal care and effects]])/2</f>
        <v>137.35</v>
      </c>
    </row>
    <row r="104" spans="1:33" hidden="1" x14ac:dyDescent="0.3">
      <c r="A104" t="s">
        <v>33</v>
      </c>
      <c r="B104">
        <v>2020</v>
      </c>
      <c r="C104" t="s">
        <v>48</v>
      </c>
      <c r="D104">
        <v>147.19999999999999</v>
      </c>
      <c r="E104">
        <v>144.5</v>
      </c>
      <c r="F104">
        <v>146.9</v>
      </c>
      <c r="G104">
        <v>155.6</v>
      </c>
      <c r="H104">
        <v>137.1</v>
      </c>
      <c r="I104">
        <v>147.30000000000001</v>
      </c>
      <c r="J104">
        <v>162.69999999999999</v>
      </c>
      <c r="K104">
        <v>150.19999999999999</v>
      </c>
      <c r="L104">
        <v>119.8</v>
      </c>
      <c r="M104">
        <v>158.69999999999999</v>
      </c>
      <c r="N104">
        <v>139.19999999999999</v>
      </c>
      <c r="O104">
        <v>152.5</v>
      </c>
      <c r="P104">
        <v>150.1</v>
      </c>
      <c r="Q104">
        <f>AVERAGE(Q105:Q106)</f>
        <v>155.6</v>
      </c>
      <c r="R104">
        <v>148.4</v>
      </c>
      <c r="S104">
        <v>138.80000000000001</v>
      </c>
      <c r="T104">
        <v>154.30000000000001</v>
      </c>
      <c r="U104">
        <v>123.6</v>
      </c>
      <c r="V104">
        <v>133.69999999999999</v>
      </c>
      <c r="W104">
        <v>142.6</v>
      </c>
      <c r="X104">
        <v>129.80000000000001</v>
      </c>
      <c r="Y104">
        <v>132.80000000000001</v>
      </c>
      <c r="Z104">
        <v>138.1</v>
      </c>
      <c r="AA104" s="1">
        <f>SUM(Table14[[#This Row],[Cereals and products]:[Food and beverages]])/13</f>
        <v>147.06153846153848</v>
      </c>
      <c r="AB104" s="1">
        <f>SUM(Table14[[#This Row],[Fuel and light]])</f>
        <v>148.4</v>
      </c>
      <c r="AC104" s="1">
        <f>SUM(Table14[[#This Row],[Transport and communication]])</f>
        <v>123.6</v>
      </c>
      <c r="AD104" s="1">
        <f>SUM(Table14[[#This Row],[Housing]],Table14[[#This Row],[Household goods and services]])/2</f>
        <v>147.19999999999999</v>
      </c>
      <c r="AE104" s="1">
        <f>SUM(Table14[[#This Row],[Health]])</f>
        <v>154.30000000000001</v>
      </c>
      <c r="AF104" s="1">
        <f>SUM(Table14[[#This Row],[Recreation and amusement]],Table14[[#This Row],[Education]])/2</f>
        <v>138.14999999999998</v>
      </c>
      <c r="AG104" s="1">
        <f>SUM(Table14[[#This Row],[Miscellaneous]],Table14[[#This Row],[Personal care and effects]])/2</f>
        <v>131.30000000000001</v>
      </c>
    </row>
    <row r="105" spans="1:33" hidden="1" x14ac:dyDescent="0.3">
      <c r="A105" t="s">
        <v>35</v>
      </c>
      <c r="B105">
        <v>2020</v>
      </c>
      <c r="C105" t="s">
        <v>48</v>
      </c>
      <c r="D105">
        <v>148.69999999999999</v>
      </c>
      <c r="E105">
        <v>144.5</v>
      </c>
      <c r="F105">
        <v>148.80000000000001</v>
      </c>
      <c r="G105">
        <v>155.6</v>
      </c>
      <c r="H105">
        <v>135.1</v>
      </c>
      <c r="I105">
        <v>149.9</v>
      </c>
      <c r="J105">
        <v>168.6</v>
      </c>
      <c r="K105">
        <v>150.4</v>
      </c>
      <c r="L105">
        <v>120.3</v>
      </c>
      <c r="M105">
        <v>157.1</v>
      </c>
      <c r="N105">
        <v>136.80000000000001</v>
      </c>
      <c r="O105">
        <v>153.19999999999999</v>
      </c>
      <c r="P105">
        <v>151.4</v>
      </c>
      <c r="Q105">
        <v>155.6</v>
      </c>
      <c r="R105">
        <v>144.1</v>
      </c>
      <c r="S105">
        <v>139.80000000000001</v>
      </c>
      <c r="T105">
        <v>150.69999999999999</v>
      </c>
      <c r="U105">
        <v>124.5</v>
      </c>
      <c r="V105">
        <v>134.80000000000001</v>
      </c>
      <c r="W105">
        <v>143.1</v>
      </c>
      <c r="X105">
        <v>130.1</v>
      </c>
      <c r="Y105">
        <v>133.5</v>
      </c>
      <c r="Z105">
        <v>138.6</v>
      </c>
      <c r="AA105" s="1">
        <f>SUM(Table14[[#This Row],[Cereals and products]:[Food and beverages]])/13</f>
        <v>147.72307692307692</v>
      </c>
      <c r="AB105" s="1">
        <f>SUM(Table14[[#This Row],[Fuel and light]])</f>
        <v>144.1</v>
      </c>
      <c r="AC105" s="1">
        <f>SUM(Table14[[#This Row],[Transport and communication]])</f>
        <v>124.5</v>
      </c>
      <c r="AD105" s="1">
        <f>SUM(Table14[[#This Row],[Housing]],Table14[[#This Row],[Household goods and services]])/2</f>
        <v>147.69999999999999</v>
      </c>
      <c r="AE105" s="1">
        <f>SUM(Table14[[#This Row],[Health]])</f>
        <v>150.69999999999999</v>
      </c>
      <c r="AF105" s="1">
        <f>SUM(Table14[[#This Row],[Recreation and amusement]],Table14[[#This Row],[Education]])/2</f>
        <v>138.94999999999999</v>
      </c>
      <c r="AG105" s="1">
        <f>SUM(Table14[[#This Row],[Miscellaneous]],Table14[[#This Row],[Personal care and effects]])/2</f>
        <v>131.80000000000001</v>
      </c>
    </row>
    <row r="106" spans="1:33" hidden="1" x14ac:dyDescent="0.3">
      <c r="A106" t="s">
        <v>36</v>
      </c>
      <c r="B106">
        <v>2020</v>
      </c>
      <c r="C106" t="s">
        <v>48</v>
      </c>
      <c r="D106">
        <v>151.80000000000001</v>
      </c>
      <c r="E106">
        <v>144.5</v>
      </c>
      <c r="F106">
        <v>151.9</v>
      </c>
      <c r="G106">
        <v>155.5</v>
      </c>
      <c r="H106">
        <v>131.6</v>
      </c>
      <c r="I106">
        <v>152.9</v>
      </c>
      <c r="J106">
        <v>180</v>
      </c>
      <c r="K106">
        <v>150.80000000000001</v>
      </c>
      <c r="L106">
        <v>121.2</v>
      </c>
      <c r="M106">
        <v>154</v>
      </c>
      <c r="N106">
        <v>133.5</v>
      </c>
      <c r="O106">
        <v>152.80000000000001</v>
      </c>
      <c r="P106">
        <v>153.5</v>
      </c>
      <c r="Q106">
        <v>155.6</v>
      </c>
      <c r="R106">
        <v>137.1</v>
      </c>
      <c r="S106">
        <v>139.30000000000001</v>
      </c>
      <c r="T106">
        <v>144.80000000000001</v>
      </c>
      <c r="U106">
        <v>124</v>
      </c>
      <c r="V106">
        <v>134.19999999999999</v>
      </c>
      <c r="W106">
        <v>142.80000000000001</v>
      </c>
      <c r="X106">
        <v>129.94999999999999</v>
      </c>
      <c r="Y106">
        <v>133.1</v>
      </c>
      <c r="Z106">
        <v>138.4</v>
      </c>
      <c r="AA106" s="1">
        <f>SUM(Table14[[#This Row],[Cereals and products]:[Food and beverages]])/13</f>
        <v>148.76923076923077</v>
      </c>
      <c r="AB106" s="1">
        <f>SUM(Table14[[#This Row],[Fuel and light]])</f>
        <v>137.1</v>
      </c>
      <c r="AC106" s="1">
        <f>SUM(Table14[[#This Row],[Transport and communication]])</f>
        <v>124</v>
      </c>
      <c r="AD106" s="1">
        <f>SUM(Table14[[#This Row],[Housing]],Table14[[#This Row],[Household goods and services]])/2</f>
        <v>147.44999999999999</v>
      </c>
      <c r="AE106" s="1">
        <f>SUM(Table14[[#This Row],[Health]])</f>
        <v>144.80000000000001</v>
      </c>
      <c r="AF106" s="1">
        <f>SUM(Table14[[#This Row],[Recreation and amusement]],Table14[[#This Row],[Education]])/2</f>
        <v>138.5</v>
      </c>
      <c r="AG106" s="1">
        <f>SUM(Table14[[#This Row],[Miscellaneous]],Table14[[#This Row],[Personal care and effects]])/2</f>
        <v>131.52499999999998</v>
      </c>
    </row>
    <row r="107" spans="1:33" hidden="1" x14ac:dyDescent="0.3">
      <c r="A107" t="s">
        <v>36</v>
      </c>
      <c r="B107">
        <v>2018</v>
      </c>
      <c r="C107" t="s">
        <v>47</v>
      </c>
      <c r="D107">
        <v>135</v>
      </c>
      <c r="E107">
        <v>148.19999999999999</v>
      </c>
      <c r="F107">
        <v>130.5</v>
      </c>
      <c r="G107">
        <v>140.69999999999999</v>
      </c>
      <c r="H107">
        <v>116.4</v>
      </c>
      <c r="I107">
        <v>151.30000000000001</v>
      </c>
      <c r="J107">
        <v>131.4</v>
      </c>
      <c r="K107">
        <v>112.8</v>
      </c>
      <c r="L107">
        <v>105.3</v>
      </c>
      <c r="M107">
        <v>139.6</v>
      </c>
      <c r="N107">
        <v>126.6</v>
      </c>
      <c r="O107">
        <v>148.69999999999999</v>
      </c>
      <c r="P107">
        <v>136.4</v>
      </c>
      <c r="Q107">
        <v>143.19999999999999</v>
      </c>
      <c r="R107">
        <v>124.7</v>
      </c>
      <c r="S107">
        <v>132.5</v>
      </c>
      <c r="T107">
        <v>132</v>
      </c>
      <c r="U107">
        <v>119.8</v>
      </c>
      <c r="V107">
        <v>128</v>
      </c>
      <c r="W107">
        <v>140.4</v>
      </c>
      <c r="X107">
        <v>128.1</v>
      </c>
      <c r="Y107">
        <v>128.9</v>
      </c>
      <c r="Z107">
        <v>135.4</v>
      </c>
      <c r="AA107" s="1">
        <f>SUM(Table14[[#This Row],[Cereals and products]:[Food and beverages]])/13</f>
        <v>132.53076923076921</v>
      </c>
      <c r="AB107" s="1">
        <f>SUM(Table14[[#This Row],[Fuel and light]])</f>
        <v>124.7</v>
      </c>
      <c r="AC107" s="1">
        <f>SUM(Table14[[#This Row],[Transport and communication]])</f>
        <v>119.8</v>
      </c>
      <c r="AD107" s="1">
        <f>SUM(Table14[[#This Row],[Housing]],Table14[[#This Row],[Household goods and services]])/2</f>
        <v>137.85</v>
      </c>
      <c r="AE107" s="1">
        <f>SUM(Table14[[#This Row],[Health]])</f>
        <v>132</v>
      </c>
      <c r="AF107" s="1">
        <f>SUM(Table14[[#This Row],[Recreation and amusement]],Table14[[#This Row],[Education]])/2</f>
        <v>134.19999999999999</v>
      </c>
      <c r="AG107" s="1">
        <f>SUM(Table14[[#This Row],[Miscellaneous]],Table14[[#This Row],[Personal care and effects]])/2</f>
        <v>128.5</v>
      </c>
    </row>
    <row r="108" spans="1:33" hidden="1" x14ac:dyDescent="0.3">
      <c r="A108" t="s">
        <v>35</v>
      </c>
      <c r="B108">
        <v>2018</v>
      </c>
      <c r="C108" t="s">
        <v>47</v>
      </c>
      <c r="D108">
        <v>136.6</v>
      </c>
      <c r="E108">
        <v>146.6</v>
      </c>
      <c r="F108">
        <v>133.6</v>
      </c>
      <c r="G108">
        <v>142.1</v>
      </c>
      <c r="H108">
        <v>121</v>
      </c>
      <c r="I108">
        <v>154.6</v>
      </c>
      <c r="J108">
        <v>135.6</v>
      </c>
      <c r="K108">
        <v>122.3</v>
      </c>
      <c r="L108">
        <v>109.6</v>
      </c>
      <c r="M108">
        <v>138.1</v>
      </c>
      <c r="N108">
        <v>129.9</v>
      </c>
      <c r="O108">
        <v>151.69999999999999</v>
      </c>
      <c r="P108">
        <v>138.1</v>
      </c>
      <c r="Q108">
        <v>143.19999999999999</v>
      </c>
      <c r="R108">
        <v>136.9</v>
      </c>
      <c r="S108">
        <v>137.4</v>
      </c>
      <c r="T108">
        <v>136</v>
      </c>
      <c r="U108">
        <v>122.9</v>
      </c>
      <c r="V108">
        <v>131.80000000000001</v>
      </c>
      <c r="W108">
        <v>142.1</v>
      </c>
      <c r="X108">
        <v>129.9</v>
      </c>
      <c r="Y108">
        <v>132.1</v>
      </c>
      <c r="Z108">
        <v>137.80000000000001</v>
      </c>
      <c r="AA108" s="1">
        <f>SUM(Table14[[#This Row],[Cereals and products]:[Food and beverages]])/13</f>
        <v>135.36923076923077</v>
      </c>
      <c r="AB108" s="1">
        <f>SUM(Table14[[#This Row],[Fuel and light]])</f>
        <v>136.9</v>
      </c>
      <c r="AC108" s="1">
        <f>SUM(Table14[[#This Row],[Transport and communication]])</f>
        <v>122.9</v>
      </c>
      <c r="AD108" s="1">
        <f>SUM(Table14[[#This Row],[Housing]],Table14[[#This Row],[Household goods and services]])/2</f>
        <v>140.30000000000001</v>
      </c>
      <c r="AE108" s="1">
        <f>SUM(Table14[[#This Row],[Health]])</f>
        <v>136</v>
      </c>
      <c r="AF108" s="1">
        <f>SUM(Table14[[#This Row],[Recreation and amusement]],Table14[[#This Row],[Education]])/2</f>
        <v>136.94999999999999</v>
      </c>
      <c r="AG108" s="1">
        <f>SUM(Table14[[#This Row],[Miscellaneous]],Table14[[#This Row],[Personal care and effects]])/2</f>
        <v>131</v>
      </c>
    </row>
    <row r="109" spans="1:33" hidden="1" x14ac:dyDescent="0.3">
      <c r="A109" t="s">
        <v>33</v>
      </c>
      <c r="B109">
        <v>2018</v>
      </c>
      <c r="C109" t="s">
        <v>47</v>
      </c>
      <c r="D109">
        <v>137.4</v>
      </c>
      <c r="E109">
        <v>145.69999999999999</v>
      </c>
      <c r="F109">
        <v>135.5</v>
      </c>
      <c r="G109">
        <v>142.9</v>
      </c>
      <c r="H109">
        <v>123.6</v>
      </c>
      <c r="I109">
        <v>157.5</v>
      </c>
      <c r="J109">
        <v>137.80000000000001</v>
      </c>
      <c r="K109">
        <v>127.2</v>
      </c>
      <c r="L109">
        <v>111.8</v>
      </c>
      <c r="M109">
        <v>137.4</v>
      </c>
      <c r="N109">
        <v>132.19999999999999</v>
      </c>
      <c r="O109">
        <v>154.30000000000001</v>
      </c>
      <c r="P109">
        <v>139.1</v>
      </c>
      <c r="Q109">
        <v>143.19999999999999</v>
      </c>
      <c r="R109">
        <v>144.30000000000001</v>
      </c>
      <c r="S109">
        <v>141.80000000000001</v>
      </c>
      <c r="T109">
        <v>138.4</v>
      </c>
      <c r="U109">
        <v>126.4</v>
      </c>
      <c r="V109">
        <v>136.80000000000001</v>
      </c>
      <c r="W109">
        <v>144.4</v>
      </c>
      <c r="X109">
        <v>131.19999999999999</v>
      </c>
      <c r="Y109">
        <v>135.1</v>
      </c>
      <c r="Z109">
        <v>139.80000000000001</v>
      </c>
      <c r="AA109" s="1">
        <f>SUM(Table14[[#This Row],[Cereals and products]:[Food and beverages]])/13</f>
        <v>137.1076923076923</v>
      </c>
      <c r="AB109" s="1">
        <f>SUM(Table14[[#This Row],[Fuel and light]])</f>
        <v>144.30000000000001</v>
      </c>
      <c r="AC109" s="1">
        <f>SUM(Table14[[#This Row],[Transport and communication]])</f>
        <v>126.4</v>
      </c>
      <c r="AD109" s="1">
        <f>SUM(Table14[[#This Row],[Housing]],Table14[[#This Row],[Household goods and services]])/2</f>
        <v>142.5</v>
      </c>
      <c r="AE109" s="1">
        <f>SUM(Table14[[#This Row],[Health]])</f>
        <v>138.4</v>
      </c>
      <c r="AF109" s="1">
        <f>SUM(Table14[[#This Row],[Recreation and amusement]],Table14[[#This Row],[Education]])/2</f>
        <v>140.60000000000002</v>
      </c>
      <c r="AG109" s="1">
        <f>SUM(Table14[[#This Row],[Miscellaneous]],Table14[[#This Row],[Personal care and effects]])/2</f>
        <v>133.14999999999998</v>
      </c>
    </row>
    <row r="110" spans="1:33" hidden="1" x14ac:dyDescent="0.3">
      <c r="A110" t="s">
        <v>36</v>
      </c>
      <c r="B110">
        <v>2017</v>
      </c>
      <c r="C110" t="s">
        <v>47</v>
      </c>
      <c r="D110">
        <v>132.6</v>
      </c>
      <c r="E110">
        <v>144.1</v>
      </c>
      <c r="F110">
        <v>125.6</v>
      </c>
      <c r="G110">
        <v>136.80000000000001</v>
      </c>
      <c r="H110">
        <v>113.4</v>
      </c>
      <c r="I110">
        <v>135.19999999999999</v>
      </c>
      <c r="J110">
        <v>129.19999999999999</v>
      </c>
      <c r="K110">
        <v>131.5</v>
      </c>
      <c r="L110">
        <v>121</v>
      </c>
      <c r="M110">
        <v>139.9</v>
      </c>
      <c r="N110">
        <v>123.8</v>
      </c>
      <c r="O110">
        <v>142.9</v>
      </c>
      <c r="P110">
        <v>133.6</v>
      </c>
      <c r="Q110">
        <v>132.1</v>
      </c>
      <c r="R110">
        <v>120.1</v>
      </c>
      <c r="S110">
        <v>126.5</v>
      </c>
      <c r="T110">
        <v>123.6</v>
      </c>
      <c r="U110">
        <v>114.3</v>
      </c>
      <c r="V110">
        <v>122.8</v>
      </c>
      <c r="W110">
        <v>133.80000000000001</v>
      </c>
      <c r="X110">
        <v>122</v>
      </c>
      <c r="Y110">
        <v>122.6</v>
      </c>
      <c r="Z110">
        <v>129.30000000000001</v>
      </c>
      <c r="AA110" s="1">
        <f>SUM(Table14[[#This Row],[Cereals and products]:[Food and beverages]])/13</f>
        <v>131.50769230769231</v>
      </c>
      <c r="AB110" s="1">
        <f>SUM(Table14[[#This Row],[Fuel and light]])</f>
        <v>120.1</v>
      </c>
      <c r="AC110" s="1">
        <f>SUM(Table14[[#This Row],[Transport and communication]])</f>
        <v>114.3</v>
      </c>
      <c r="AD110" s="1">
        <f>SUM(Table14[[#This Row],[Housing]],Table14[[#This Row],[Household goods and services]])/2</f>
        <v>129.30000000000001</v>
      </c>
      <c r="AE110" s="1">
        <f>SUM(Table14[[#This Row],[Health]])</f>
        <v>123.6</v>
      </c>
      <c r="AF110" s="1">
        <f>SUM(Table14[[#This Row],[Recreation and amusement]],Table14[[#This Row],[Education]])/2</f>
        <v>128.30000000000001</v>
      </c>
      <c r="AG110" s="1">
        <f>SUM(Table14[[#This Row],[Miscellaneous]],Table14[[#This Row],[Personal care and effects]])/2</f>
        <v>122.3</v>
      </c>
    </row>
    <row r="111" spans="1:33" hidden="1" x14ac:dyDescent="0.3">
      <c r="A111" t="s">
        <v>35</v>
      </c>
      <c r="B111">
        <v>2017</v>
      </c>
      <c r="C111" t="s">
        <v>47</v>
      </c>
      <c r="D111">
        <v>132.9</v>
      </c>
      <c r="E111">
        <v>141.6</v>
      </c>
      <c r="F111">
        <v>126.3</v>
      </c>
      <c r="G111">
        <v>137.69999999999999</v>
      </c>
      <c r="H111">
        <v>118.1</v>
      </c>
      <c r="I111">
        <v>137.9</v>
      </c>
      <c r="J111">
        <v>125.6</v>
      </c>
      <c r="K111">
        <v>138.30000000000001</v>
      </c>
      <c r="L111">
        <v>119.4</v>
      </c>
      <c r="M111">
        <v>136</v>
      </c>
      <c r="N111">
        <v>127.6</v>
      </c>
      <c r="O111">
        <v>144.5</v>
      </c>
      <c r="P111">
        <v>133.69999999999999</v>
      </c>
      <c r="Q111">
        <v>132.1</v>
      </c>
      <c r="R111">
        <v>129.4</v>
      </c>
      <c r="S111">
        <v>130.9</v>
      </c>
      <c r="T111">
        <v>128.4</v>
      </c>
      <c r="U111">
        <v>116.7</v>
      </c>
      <c r="V111">
        <v>125.7</v>
      </c>
      <c r="W111">
        <v>134.80000000000001</v>
      </c>
      <c r="X111">
        <v>123</v>
      </c>
      <c r="Y111">
        <v>125.3</v>
      </c>
      <c r="Z111">
        <v>131.4</v>
      </c>
      <c r="AA111" s="1">
        <f>SUM(Table14[[#This Row],[Cereals and products]:[Food and beverages]])/13</f>
        <v>132.27692307692308</v>
      </c>
      <c r="AB111" s="1">
        <f>SUM(Table14[[#This Row],[Fuel and light]])</f>
        <v>129.4</v>
      </c>
      <c r="AC111" s="1">
        <f>SUM(Table14[[#This Row],[Transport and communication]])</f>
        <v>116.7</v>
      </c>
      <c r="AD111" s="1">
        <f>SUM(Table14[[#This Row],[Housing]],Table14[[#This Row],[Household goods and services]])/2</f>
        <v>131.5</v>
      </c>
      <c r="AE111" s="1">
        <f>SUM(Table14[[#This Row],[Health]])</f>
        <v>128.4</v>
      </c>
      <c r="AF111" s="1">
        <f>SUM(Table14[[#This Row],[Recreation and amusement]],Table14[[#This Row],[Education]])/2</f>
        <v>130.25</v>
      </c>
      <c r="AG111" s="1">
        <f>SUM(Table14[[#This Row],[Miscellaneous]],Table14[[#This Row],[Personal care and effects]])/2</f>
        <v>124.15</v>
      </c>
    </row>
    <row r="112" spans="1:33" hidden="1" x14ac:dyDescent="0.3">
      <c r="A112" t="s">
        <v>33</v>
      </c>
      <c r="B112">
        <v>2017</v>
      </c>
      <c r="C112" t="s">
        <v>47</v>
      </c>
      <c r="D112">
        <v>133.1</v>
      </c>
      <c r="E112">
        <v>140.30000000000001</v>
      </c>
      <c r="F112">
        <v>126.8</v>
      </c>
      <c r="G112">
        <v>138.19999999999999</v>
      </c>
      <c r="H112">
        <v>120.8</v>
      </c>
      <c r="I112">
        <v>140.19999999999999</v>
      </c>
      <c r="J112">
        <v>123.8</v>
      </c>
      <c r="K112">
        <v>141.80000000000001</v>
      </c>
      <c r="L112">
        <v>118.6</v>
      </c>
      <c r="M112">
        <v>134</v>
      </c>
      <c r="N112">
        <v>130.30000000000001</v>
      </c>
      <c r="O112">
        <v>145.80000000000001</v>
      </c>
      <c r="P112">
        <v>133.80000000000001</v>
      </c>
      <c r="Q112">
        <v>132.1</v>
      </c>
      <c r="R112">
        <v>135</v>
      </c>
      <c r="S112">
        <v>134.9</v>
      </c>
      <c r="T112">
        <v>131.4</v>
      </c>
      <c r="U112">
        <v>119.4</v>
      </c>
      <c r="V112">
        <v>129.4</v>
      </c>
      <c r="W112">
        <v>136.30000000000001</v>
      </c>
      <c r="X112">
        <v>123.7</v>
      </c>
      <c r="Y112">
        <v>127.9</v>
      </c>
      <c r="Z112">
        <v>133.30000000000001</v>
      </c>
      <c r="AA112" s="1">
        <f>SUM(Table14[[#This Row],[Cereals and products]:[Food and beverages]])/13</f>
        <v>132.88461538461536</v>
      </c>
      <c r="AB112" s="1">
        <f>SUM(Table14[[#This Row],[Fuel and light]])</f>
        <v>135</v>
      </c>
      <c r="AC112" s="1">
        <f>SUM(Table14[[#This Row],[Transport and communication]])</f>
        <v>119.4</v>
      </c>
      <c r="AD112" s="1">
        <f>SUM(Table14[[#This Row],[Housing]],Table14[[#This Row],[Household goods and services]])/2</f>
        <v>133.5</v>
      </c>
      <c r="AE112" s="1">
        <f>SUM(Table14[[#This Row],[Health]])</f>
        <v>131.4</v>
      </c>
      <c r="AF112" s="1">
        <f>SUM(Table14[[#This Row],[Recreation and amusement]],Table14[[#This Row],[Education]])/2</f>
        <v>132.85000000000002</v>
      </c>
      <c r="AG112" s="1">
        <f>SUM(Table14[[#This Row],[Miscellaneous]],Table14[[#This Row],[Personal care and effects]])/2</f>
        <v>125.80000000000001</v>
      </c>
    </row>
    <row r="113" spans="1:33" hidden="1" x14ac:dyDescent="0.3">
      <c r="A113" t="s">
        <v>36</v>
      </c>
      <c r="B113">
        <v>2016</v>
      </c>
      <c r="C113" t="s">
        <v>47</v>
      </c>
      <c r="D113">
        <v>125</v>
      </c>
      <c r="E113">
        <v>142.1</v>
      </c>
      <c r="F113">
        <v>127</v>
      </c>
      <c r="G113">
        <v>130.4</v>
      </c>
      <c r="H113">
        <v>109.6</v>
      </c>
      <c r="I113">
        <v>133.5</v>
      </c>
      <c r="J113">
        <v>151.4</v>
      </c>
      <c r="K113">
        <v>182.8</v>
      </c>
      <c r="L113">
        <v>111.1</v>
      </c>
      <c r="M113">
        <v>141.5</v>
      </c>
      <c r="N113">
        <v>121.5</v>
      </c>
      <c r="O113">
        <v>136.30000000000001</v>
      </c>
      <c r="P113">
        <v>134.6</v>
      </c>
      <c r="Q113">
        <v>126</v>
      </c>
      <c r="R113">
        <v>115</v>
      </c>
      <c r="S113">
        <v>123.2</v>
      </c>
      <c r="T113">
        <v>120.3</v>
      </c>
      <c r="U113">
        <v>110.7</v>
      </c>
      <c r="V113">
        <v>119.8</v>
      </c>
      <c r="W113">
        <v>128</v>
      </c>
      <c r="X113">
        <v>118.5</v>
      </c>
      <c r="Y113">
        <v>118.7</v>
      </c>
      <c r="Z113">
        <v>126.6</v>
      </c>
      <c r="AA113" s="1">
        <f>SUM(Table14[[#This Row],[Cereals and products]:[Food and beverages]])/13</f>
        <v>134.36923076923074</v>
      </c>
      <c r="AB113" s="1">
        <f>SUM(Table14[[#This Row],[Fuel and light]])</f>
        <v>115</v>
      </c>
      <c r="AC113" s="1">
        <f>SUM(Table14[[#This Row],[Transport and communication]])</f>
        <v>110.7</v>
      </c>
      <c r="AD113" s="1">
        <f>SUM(Table14[[#This Row],[Housing]],Table14[[#This Row],[Household goods and services]])/2</f>
        <v>124.6</v>
      </c>
      <c r="AE113" s="1">
        <f>SUM(Table14[[#This Row],[Health]])</f>
        <v>120.3</v>
      </c>
      <c r="AF113" s="1">
        <f>SUM(Table14[[#This Row],[Recreation and amusement]],Table14[[#This Row],[Education]])/2</f>
        <v>123.9</v>
      </c>
      <c r="AG113" s="1">
        <f>SUM(Table14[[#This Row],[Miscellaneous]],Table14[[#This Row],[Personal care and effects]])/2</f>
        <v>118.6</v>
      </c>
    </row>
    <row r="114" spans="1:33" hidden="1" x14ac:dyDescent="0.3">
      <c r="A114" t="s">
        <v>35</v>
      </c>
      <c r="B114">
        <v>2016</v>
      </c>
      <c r="C114" t="s">
        <v>47</v>
      </c>
      <c r="D114">
        <v>126.8</v>
      </c>
      <c r="E114">
        <v>139.1</v>
      </c>
      <c r="F114">
        <v>125.4</v>
      </c>
      <c r="G114">
        <v>131.69999999999999</v>
      </c>
      <c r="H114">
        <v>115</v>
      </c>
      <c r="I114">
        <v>136</v>
      </c>
      <c r="J114">
        <v>145.1</v>
      </c>
      <c r="K114">
        <v>171.7</v>
      </c>
      <c r="L114">
        <v>108.7</v>
      </c>
      <c r="M114">
        <v>135.30000000000001</v>
      </c>
      <c r="N114">
        <v>124.2</v>
      </c>
      <c r="O114">
        <v>137.4</v>
      </c>
      <c r="P114">
        <v>134</v>
      </c>
      <c r="Q114">
        <v>126</v>
      </c>
      <c r="R114">
        <v>122.7</v>
      </c>
      <c r="S114">
        <v>126</v>
      </c>
      <c r="T114">
        <v>123.7</v>
      </c>
      <c r="U114">
        <v>112.8</v>
      </c>
      <c r="V114">
        <v>121.5</v>
      </c>
      <c r="W114">
        <v>128.5</v>
      </c>
      <c r="X114">
        <v>119.2</v>
      </c>
      <c r="Y114">
        <v>120.7</v>
      </c>
      <c r="Z114">
        <v>128.6</v>
      </c>
      <c r="AA114" s="1">
        <f>SUM(Table14[[#This Row],[Cereals and products]:[Food and beverages]])/13</f>
        <v>133.1076923076923</v>
      </c>
      <c r="AB114" s="1">
        <f>SUM(Table14[[#This Row],[Fuel and light]])</f>
        <v>122.7</v>
      </c>
      <c r="AC114" s="1">
        <f>SUM(Table14[[#This Row],[Transport and communication]])</f>
        <v>112.8</v>
      </c>
      <c r="AD114" s="1">
        <f>SUM(Table14[[#This Row],[Housing]],Table14[[#This Row],[Household goods and services]])/2</f>
        <v>126</v>
      </c>
      <c r="AE114" s="1">
        <f>SUM(Table14[[#This Row],[Health]])</f>
        <v>123.7</v>
      </c>
      <c r="AF114" s="1">
        <f>SUM(Table14[[#This Row],[Recreation and amusement]],Table14[[#This Row],[Education]])/2</f>
        <v>125</v>
      </c>
      <c r="AG114" s="1">
        <f>SUM(Table14[[#This Row],[Miscellaneous]],Table14[[#This Row],[Personal care and effects]])/2</f>
        <v>119.95</v>
      </c>
    </row>
    <row r="115" spans="1:33" hidden="1" x14ac:dyDescent="0.3">
      <c r="A115" t="s">
        <v>33</v>
      </c>
      <c r="B115">
        <v>2016</v>
      </c>
      <c r="C115" t="s">
        <v>47</v>
      </c>
      <c r="D115">
        <v>127.6</v>
      </c>
      <c r="E115">
        <v>137.5</v>
      </c>
      <c r="F115">
        <v>124.4</v>
      </c>
      <c r="G115">
        <v>132.4</v>
      </c>
      <c r="H115">
        <v>118.2</v>
      </c>
      <c r="I115">
        <v>138.1</v>
      </c>
      <c r="J115">
        <v>141.80000000000001</v>
      </c>
      <c r="K115">
        <v>166</v>
      </c>
      <c r="L115">
        <v>107.5</v>
      </c>
      <c r="M115">
        <v>132.19999999999999</v>
      </c>
      <c r="N115">
        <v>126.1</v>
      </c>
      <c r="O115">
        <v>138.30000000000001</v>
      </c>
      <c r="P115">
        <v>133.6</v>
      </c>
      <c r="Q115">
        <v>126</v>
      </c>
      <c r="R115">
        <v>127.4</v>
      </c>
      <c r="S115">
        <v>128.5</v>
      </c>
      <c r="T115">
        <v>125.8</v>
      </c>
      <c r="U115">
        <v>115.1</v>
      </c>
      <c r="V115">
        <v>123.6</v>
      </c>
      <c r="W115">
        <v>129.1</v>
      </c>
      <c r="X115">
        <v>119.7</v>
      </c>
      <c r="Y115">
        <v>122.5</v>
      </c>
      <c r="Z115">
        <v>130.30000000000001</v>
      </c>
      <c r="AA115" s="1">
        <f>SUM(Table14[[#This Row],[Cereals and products]:[Food and beverages]])/13</f>
        <v>132.59230769230768</v>
      </c>
      <c r="AB115" s="1">
        <f>SUM(Table14[[#This Row],[Fuel and light]])</f>
        <v>127.4</v>
      </c>
      <c r="AC115" s="1">
        <f>SUM(Table14[[#This Row],[Transport and communication]])</f>
        <v>115.1</v>
      </c>
      <c r="AD115" s="1">
        <f>SUM(Table14[[#This Row],[Housing]],Table14[[#This Row],[Household goods and services]])/2</f>
        <v>127.25</v>
      </c>
      <c r="AE115" s="1">
        <f>SUM(Table14[[#This Row],[Health]])</f>
        <v>125.8</v>
      </c>
      <c r="AF115" s="1">
        <f>SUM(Table14[[#This Row],[Recreation and amusement]],Table14[[#This Row],[Education]])/2</f>
        <v>126.35</v>
      </c>
      <c r="AG115" s="1">
        <f>SUM(Table14[[#This Row],[Miscellaneous]],Table14[[#This Row],[Personal care and effects]])/2</f>
        <v>121.1</v>
      </c>
    </row>
    <row r="116" spans="1:33" hidden="1" x14ac:dyDescent="0.3">
      <c r="A116" t="s">
        <v>33</v>
      </c>
      <c r="B116">
        <v>2015</v>
      </c>
      <c r="C116" t="s">
        <v>47</v>
      </c>
      <c r="D116">
        <v>123.5</v>
      </c>
      <c r="E116">
        <v>127.1</v>
      </c>
      <c r="F116">
        <v>117.3</v>
      </c>
      <c r="G116">
        <v>127.7</v>
      </c>
      <c r="H116">
        <v>112.5</v>
      </c>
      <c r="I116">
        <v>134.1</v>
      </c>
      <c r="J116">
        <v>128.5</v>
      </c>
      <c r="K116">
        <v>124.3</v>
      </c>
      <c r="L116">
        <v>97.6</v>
      </c>
      <c r="M116">
        <v>120.7</v>
      </c>
      <c r="N116">
        <v>120.2</v>
      </c>
      <c r="O116">
        <v>129.80000000000001</v>
      </c>
      <c r="P116">
        <v>124.4</v>
      </c>
      <c r="Q116">
        <v>114.3</v>
      </c>
      <c r="R116">
        <v>121.9</v>
      </c>
      <c r="S116">
        <v>121.5</v>
      </c>
      <c r="T116">
        <v>119.4</v>
      </c>
      <c r="U116">
        <v>113.3</v>
      </c>
      <c r="V116">
        <v>116.7</v>
      </c>
      <c r="W116">
        <v>120.5</v>
      </c>
      <c r="X116">
        <v>112.3</v>
      </c>
      <c r="Y116">
        <v>116.9</v>
      </c>
      <c r="Z116">
        <v>122.4</v>
      </c>
      <c r="AA116" s="1">
        <f>SUM(Table14[[#This Row],[Cereals and products]:[Food and beverages]])/13</f>
        <v>122.13076923076923</v>
      </c>
      <c r="AB116" s="1">
        <f>SUM(Table14[[#This Row],[Fuel and light]])</f>
        <v>121.9</v>
      </c>
      <c r="AC116" s="1">
        <f>SUM(Table14[[#This Row],[Transport and communication]])</f>
        <v>113.3</v>
      </c>
      <c r="AD116" s="1">
        <f>SUM(Table14[[#This Row],[Housing]],Table14[[#This Row],[Household goods and services]])/2</f>
        <v>117.9</v>
      </c>
      <c r="AE116" s="1">
        <f>SUM(Table14[[#This Row],[Health]])</f>
        <v>119.4</v>
      </c>
      <c r="AF116" s="1">
        <f>SUM(Table14[[#This Row],[Recreation and amusement]],Table14[[#This Row],[Education]])/2</f>
        <v>118.6</v>
      </c>
      <c r="AG116" s="1">
        <f>SUM(Table14[[#This Row],[Miscellaneous]],Table14[[#This Row],[Personal care and effects]])/2</f>
        <v>114.6</v>
      </c>
    </row>
    <row r="117" spans="1:33" hidden="1" x14ac:dyDescent="0.3">
      <c r="A117" t="s">
        <v>35</v>
      </c>
      <c r="B117">
        <v>2015</v>
      </c>
      <c r="C117" t="s">
        <v>47</v>
      </c>
      <c r="D117">
        <v>123.6</v>
      </c>
      <c r="E117">
        <v>128</v>
      </c>
      <c r="F117">
        <v>115</v>
      </c>
      <c r="G117">
        <v>127.3</v>
      </c>
      <c r="H117">
        <v>109.8</v>
      </c>
      <c r="I117">
        <v>132.6</v>
      </c>
      <c r="J117">
        <v>130.9</v>
      </c>
      <c r="K117">
        <v>130.5</v>
      </c>
      <c r="L117">
        <v>95.3</v>
      </c>
      <c r="M117">
        <v>123.4</v>
      </c>
      <c r="N117">
        <v>119.2</v>
      </c>
      <c r="O117">
        <v>129.80000000000001</v>
      </c>
      <c r="P117">
        <v>125</v>
      </c>
      <c r="Q117">
        <v>119.6</v>
      </c>
      <c r="R117">
        <v>119.2</v>
      </c>
      <c r="S117">
        <v>120.2</v>
      </c>
      <c r="T117">
        <v>117.7</v>
      </c>
      <c r="U117">
        <v>112</v>
      </c>
      <c r="V117">
        <v>116.3</v>
      </c>
      <c r="W117">
        <v>121.4</v>
      </c>
      <c r="X117">
        <v>112.3</v>
      </c>
      <c r="Y117">
        <v>116.1</v>
      </c>
      <c r="Z117">
        <v>121.6</v>
      </c>
      <c r="AA117" s="1">
        <f>SUM(Table14[[#This Row],[Cereals and products]:[Food and beverages]])/13</f>
        <v>122.33846153846154</v>
      </c>
      <c r="AB117" s="1">
        <f>SUM(Table14[[#This Row],[Fuel and light]])</f>
        <v>119.2</v>
      </c>
      <c r="AC117" s="1">
        <f>SUM(Table14[[#This Row],[Transport and communication]])</f>
        <v>112</v>
      </c>
      <c r="AD117" s="1">
        <f>SUM(Table14[[#This Row],[Housing]],Table14[[#This Row],[Household goods and services]])/2</f>
        <v>119.9</v>
      </c>
      <c r="AE117" s="1">
        <f>SUM(Table14[[#This Row],[Health]])</f>
        <v>117.7</v>
      </c>
      <c r="AF117" s="1">
        <f>SUM(Table14[[#This Row],[Recreation and amusement]],Table14[[#This Row],[Education]])/2</f>
        <v>118.85</v>
      </c>
      <c r="AG117" s="1">
        <f>SUM(Table14[[#This Row],[Miscellaneous]],Table14[[#This Row],[Personal care and effects]])/2</f>
        <v>114.19999999999999</v>
      </c>
    </row>
    <row r="118" spans="1:33" hidden="1" x14ac:dyDescent="0.3">
      <c r="A118" t="s">
        <v>36</v>
      </c>
      <c r="B118">
        <v>2015</v>
      </c>
      <c r="C118" t="s">
        <v>47</v>
      </c>
      <c r="D118">
        <v>123.8</v>
      </c>
      <c r="E118">
        <v>129.69999999999999</v>
      </c>
      <c r="F118">
        <v>111.3</v>
      </c>
      <c r="G118">
        <v>126.6</v>
      </c>
      <c r="H118">
        <v>105.2</v>
      </c>
      <c r="I118">
        <v>130.80000000000001</v>
      </c>
      <c r="J118">
        <v>135.6</v>
      </c>
      <c r="K118">
        <v>142.6</v>
      </c>
      <c r="L118">
        <v>90.8</v>
      </c>
      <c r="M118">
        <v>128.80000000000001</v>
      </c>
      <c r="N118">
        <v>117.7</v>
      </c>
      <c r="O118">
        <v>129.9</v>
      </c>
      <c r="P118">
        <v>126.1</v>
      </c>
      <c r="Q118">
        <v>119.6</v>
      </c>
      <c r="R118">
        <v>114.9</v>
      </c>
      <c r="S118">
        <v>118.7</v>
      </c>
      <c r="T118">
        <v>114.9</v>
      </c>
      <c r="U118">
        <v>110.8</v>
      </c>
      <c r="V118">
        <v>116</v>
      </c>
      <c r="W118">
        <v>122</v>
      </c>
      <c r="X118">
        <v>112.4</v>
      </c>
      <c r="Y118">
        <v>115.2</v>
      </c>
      <c r="Z118">
        <v>120.7</v>
      </c>
      <c r="AA118" s="1">
        <f>SUM(Table14[[#This Row],[Cereals and products]:[Food and beverages]])/13</f>
        <v>122.9923076923077</v>
      </c>
      <c r="AB118" s="1">
        <f>SUM(Table14[[#This Row],[Fuel and light]])</f>
        <v>114.9</v>
      </c>
      <c r="AC118" s="1">
        <f>SUM(Table14[[#This Row],[Transport and communication]])</f>
        <v>110.8</v>
      </c>
      <c r="AD118" s="1">
        <f>SUM(Table14[[#This Row],[Housing]],Table14[[#This Row],[Household goods and services]])/2</f>
        <v>119.15</v>
      </c>
      <c r="AE118" s="1">
        <f>SUM(Table14[[#This Row],[Health]])</f>
        <v>114.9</v>
      </c>
      <c r="AF118" s="1">
        <f>SUM(Table14[[#This Row],[Recreation and amusement]],Table14[[#This Row],[Education]])/2</f>
        <v>119</v>
      </c>
      <c r="AG118" s="1">
        <f>SUM(Table14[[#This Row],[Miscellaneous]],Table14[[#This Row],[Personal care and effects]])/2</f>
        <v>113.80000000000001</v>
      </c>
    </row>
    <row r="119" spans="1:33" hidden="1" x14ac:dyDescent="0.3">
      <c r="A119" t="s">
        <v>33</v>
      </c>
      <c r="B119">
        <v>2014</v>
      </c>
      <c r="C119" t="s">
        <v>47</v>
      </c>
      <c r="D119">
        <v>120.3</v>
      </c>
      <c r="E119">
        <v>120.2</v>
      </c>
      <c r="F119">
        <v>116.9</v>
      </c>
      <c r="G119">
        <v>118</v>
      </c>
      <c r="H119">
        <v>110.1</v>
      </c>
      <c r="I119">
        <v>126.3</v>
      </c>
      <c r="J119">
        <v>123.9</v>
      </c>
      <c r="K119">
        <v>111.5</v>
      </c>
      <c r="L119">
        <v>103.5</v>
      </c>
      <c r="M119">
        <v>111.6</v>
      </c>
      <c r="N119">
        <v>114.2</v>
      </c>
      <c r="O119">
        <v>119.2</v>
      </c>
      <c r="P119">
        <v>118.2</v>
      </c>
      <c r="Q119">
        <v>100.5</v>
      </c>
      <c r="R119">
        <v>113.4</v>
      </c>
      <c r="S119">
        <v>114.1</v>
      </c>
      <c r="T119">
        <v>112.1</v>
      </c>
      <c r="U119">
        <v>111.4</v>
      </c>
      <c r="V119">
        <v>110.9</v>
      </c>
      <c r="W119">
        <v>113.1</v>
      </c>
      <c r="X119">
        <v>108.9</v>
      </c>
      <c r="Y119">
        <v>111.8</v>
      </c>
      <c r="Z119">
        <v>116</v>
      </c>
      <c r="AA119" s="1">
        <f>SUM(Table14[[#This Row],[Cereals and products]:[Food and beverages]])/13</f>
        <v>116.45384615384614</v>
      </c>
      <c r="AB119" s="1">
        <f>SUM(Table14[[#This Row],[Fuel and light]])</f>
        <v>113.4</v>
      </c>
      <c r="AC119" s="1">
        <f>SUM(Table14[[#This Row],[Transport and communication]])</f>
        <v>111.4</v>
      </c>
      <c r="AD119" s="1">
        <f>SUM(Table14[[#This Row],[Housing]],Table14[[#This Row],[Household goods and services]])/2</f>
        <v>107.3</v>
      </c>
      <c r="AE119" s="1">
        <f>SUM(Table14[[#This Row],[Health]])</f>
        <v>112.1</v>
      </c>
      <c r="AF119" s="1">
        <f>SUM(Table14[[#This Row],[Recreation and amusement]],Table14[[#This Row],[Education]])/2</f>
        <v>112</v>
      </c>
      <c r="AG119" s="1">
        <f>SUM(Table14[[#This Row],[Miscellaneous]],Table14[[#This Row],[Personal care and effects]])/2</f>
        <v>110.35</v>
      </c>
    </row>
    <row r="120" spans="1:33" hidden="1" x14ac:dyDescent="0.3">
      <c r="A120" t="s">
        <v>35</v>
      </c>
      <c r="B120">
        <v>2014</v>
      </c>
      <c r="C120" t="s">
        <v>47</v>
      </c>
      <c r="D120">
        <v>121.1</v>
      </c>
      <c r="E120">
        <v>121.6</v>
      </c>
      <c r="F120">
        <v>115.9</v>
      </c>
      <c r="G120">
        <v>118.4</v>
      </c>
      <c r="H120">
        <v>107.7</v>
      </c>
      <c r="I120">
        <v>127.7</v>
      </c>
      <c r="J120">
        <v>125</v>
      </c>
      <c r="K120">
        <v>111.9</v>
      </c>
      <c r="L120">
        <v>102.8</v>
      </c>
      <c r="M120">
        <v>113.4</v>
      </c>
      <c r="N120">
        <v>113.7</v>
      </c>
      <c r="O120">
        <v>120.4</v>
      </c>
      <c r="P120">
        <v>118.9</v>
      </c>
      <c r="Q120">
        <v>114.3</v>
      </c>
      <c r="R120">
        <v>112.5</v>
      </c>
      <c r="S120">
        <v>114.1</v>
      </c>
      <c r="T120">
        <v>111.8</v>
      </c>
      <c r="U120">
        <v>111.3</v>
      </c>
      <c r="V120">
        <v>111.2</v>
      </c>
      <c r="W120">
        <v>113</v>
      </c>
      <c r="X120">
        <v>109.1</v>
      </c>
      <c r="Y120">
        <v>111.8</v>
      </c>
      <c r="Z120">
        <v>115.8</v>
      </c>
      <c r="AA120" s="1">
        <f>SUM(Table14[[#This Row],[Cereals and products]:[Food and beverages]])/13</f>
        <v>116.80769230769235</v>
      </c>
      <c r="AB120" s="1">
        <f>SUM(Table14[[#This Row],[Fuel and light]])</f>
        <v>112.5</v>
      </c>
      <c r="AC120" s="1">
        <f>SUM(Table14[[#This Row],[Transport and communication]])</f>
        <v>111.3</v>
      </c>
      <c r="AD120" s="1">
        <f>SUM(Table14[[#This Row],[Housing]],Table14[[#This Row],[Household goods and services]])/2</f>
        <v>114.19999999999999</v>
      </c>
      <c r="AE120" s="1">
        <f>SUM(Table14[[#This Row],[Health]])</f>
        <v>111.8</v>
      </c>
      <c r="AF120" s="1">
        <f>SUM(Table14[[#This Row],[Recreation and amusement]],Table14[[#This Row],[Education]])/2</f>
        <v>112.1</v>
      </c>
      <c r="AG120" s="1">
        <f>SUM(Table14[[#This Row],[Miscellaneous]],Table14[[#This Row],[Personal care and effects]])/2</f>
        <v>110.44999999999999</v>
      </c>
    </row>
    <row r="121" spans="1:33" hidden="1" x14ac:dyDescent="0.3">
      <c r="A121" t="s">
        <v>36</v>
      </c>
      <c r="B121">
        <v>2014</v>
      </c>
      <c r="C121" t="s">
        <v>47</v>
      </c>
      <c r="D121">
        <v>122.7</v>
      </c>
      <c r="E121">
        <v>124.1</v>
      </c>
      <c r="F121">
        <v>114.2</v>
      </c>
      <c r="G121">
        <v>119.1</v>
      </c>
      <c r="H121">
        <v>103.5</v>
      </c>
      <c r="I121">
        <v>129.19999999999999</v>
      </c>
      <c r="J121">
        <v>127</v>
      </c>
      <c r="K121">
        <v>112.6</v>
      </c>
      <c r="L121">
        <v>101.3</v>
      </c>
      <c r="M121">
        <v>117</v>
      </c>
      <c r="N121">
        <v>112.9</v>
      </c>
      <c r="O121">
        <v>121.7</v>
      </c>
      <c r="P121">
        <v>120</v>
      </c>
      <c r="Q121">
        <v>114.3</v>
      </c>
      <c r="R121">
        <v>111.1</v>
      </c>
      <c r="S121">
        <v>114.1</v>
      </c>
      <c r="T121">
        <v>111.2</v>
      </c>
      <c r="U121">
        <v>111.3</v>
      </c>
      <c r="V121">
        <v>111.5</v>
      </c>
      <c r="W121">
        <v>112.9</v>
      </c>
      <c r="X121">
        <v>109.3</v>
      </c>
      <c r="Y121">
        <v>111.7</v>
      </c>
      <c r="Z121">
        <v>115.6</v>
      </c>
      <c r="AA121" s="1">
        <f>SUM(Table14[[#This Row],[Cereals and products]:[Food and beverages]])/13</f>
        <v>117.33076923076925</v>
      </c>
      <c r="AB121" s="1">
        <f>SUM(Table14[[#This Row],[Fuel and light]])</f>
        <v>111.1</v>
      </c>
      <c r="AC121" s="1">
        <f>SUM(Table14[[#This Row],[Transport and communication]])</f>
        <v>111.3</v>
      </c>
      <c r="AD121" s="1">
        <f>SUM(Table14[[#This Row],[Housing]],Table14[[#This Row],[Household goods and services]])/2</f>
        <v>114.19999999999999</v>
      </c>
      <c r="AE121" s="1">
        <f>SUM(Table14[[#This Row],[Health]])</f>
        <v>111.2</v>
      </c>
      <c r="AF121" s="1">
        <f>SUM(Table14[[#This Row],[Recreation and amusement]],Table14[[#This Row],[Education]])/2</f>
        <v>112.2</v>
      </c>
      <c r="AG121" s="1">
        <f>SUM(Table14[[#This Row],[Miscellaneous]],Table14[[#This Row],[Personal care and effects]])/2</f>
        <v>110.5</v>
      </c>
    </row>
    <row r="122" spans="1:33" hidden="1" x14ac:dyDescent="0.3">
      <c r="A122" t="s">
        <v>33</v>
      </c>
      <c r="B122">
        <v>2013</v>
      </c>
      <c r="C122" t="s">
        <v>47</v>
      </c>
      <c r="D122">
        <v>110.9</v>
      </c>
      <c r="E122">
        <v>109.8</v>
      </c>
      <c r="F122">
        <v>105.9</v>
      </c>
      <c r="G122">
        <v>107.5</v>
      </c>
      <c r="H122">
        <v>105.3</v>
      </c>
      <c r="I122">
        <v>108.1</v>
      </c>
      <c r="J122">
        <v>107.3</v>
      </c>
      <c r="K122">
        <v>106.1</v>
      </c>
      <c r="L122">
        <v>103.7</v>
      </c>
      <c r="M122">
        <v>104</v>
      </c>
      <c r="N122">
        <v>107.4</v>
      </c>
      <c r="O122">
        <v>109.9</v>
      </c>
      <c r="P122">
        <v>108.1</v>
      </c>
      <c r="Q122">
        <v>171.8</v>
      </c>
      <c r="R122">
        <v>107.5</v>
      </c>
      <c r="S122">
        <v>106.8</v>
      </c>
      <c r="T122">
        <v>105.7</v>
      </c>
      <c r="U122">
        <v>104.1</v>
      </c>
      <c r="V122">
        <v>105</v>
      </c>
      <c r="W122">
        <v>105.5</v>
      </c>
      <c r="X122">
        <v>102.1</v>
      </c>
      <c r="Y122">
        <v>104.8</v>
      </c>
      <c r="Z122">
        <v>107.2</v>
      </c>
      <c r="AA122" s="1">
        <f>SUM(Table14[[#This Row],[Cereals and products]:[Food and beverages]])/13</f>
        <v>107.23076923076923</v>
      </c>
      <c r="AB122" s="1">
        <f>SUM(Table14[[#This Row],[Fuel and light]])</f>
        <v>107.5</v>
      </c>
      <c r="AC122" s="1">
        <f>SUM(Table14[[#This Row],[Transport and communication]])</f>
        <v>104.1</v>
      </c>
      <c r="AD122" s="1">
        <f>SUM(Table14[[#This Row],[Housing]],Table14[[#This Row],[Household goods and services]])/2</f>
        <v>139.30000000000001</v>
      </c>
      <c r="AE122" s="1">
        <f>SUM(Table14[[#This Row],[Health]])</f>
        <v>105.7</v>
      </c>
      <c r="AF122" s="1">
        <f>SUM(Table14[[#This Row],[Recreation and amusement]],Table14[[#This Row],[Education]])/2</f>
        <v>105.25</v>
      </c>
      <c r="AG122" s="1">
        <f>SUM(Table14[[#This Row],[Miscellaneous]],Table14[[#This Row],[Personal care and effects]])/2</f>
        <v>103.44999999999999</v>
      </c>
    </row>
    <row r="123" spans="1:33" hidden="1" x14ac:dyDescent="0.3">
      <c r="A123" t="s">
        <v>35</v>
      </c>
      <c r="B123">
        <v>2013</v>
      </c>
      <c r="C123" t="s">
        <v>47</v>
      </c>
      <c r="D123">
        <v>112.3</v>
      </c>
      <c r="E123">
        <v>111.3</v>
      </c>
      <c r="F123">
        <v>104.7</v>
      </c>
      <c r="G123">
        <v>106.8</v>
      </c>
      <c r="H123">
        <v>103.9</v>
      </c>
      <c r="I123">
        <v>109.3</v>
      </c>
      <c r="J123">
        <v>112.9</v>
      </c>
      <c r="K123">
        <v>105.8</v>
      </c>
      <c r="L123">
        <v>103.1</v>
      </c>
      <c r="M123">
        <v>104.3</v>
      </c>
      <c r="N123">
        <v>108.1</v>
      </c>
      <c r="O123">
        <v>110.5</v>
      </c>
      <c r="P123">
        <v>109.2</v>
      </c>
      <c r="Q123">
        <v>100.5</v>
      </c>
      <c r="R123">
        <v>107.4</v>
      </c>
      <c r="S123">
        <v>106.9</v>
      </c>
      <c r="T123">
        <v>105.9</v>
      </c>
      <c r="U123">
        <v>104</v>
      </c>
      <c r="V123">
        <v>104.8</v>
      </c>
      <c r="W123">
        <v>105.6</v>
      </c>
      <c r="X123">
        <v>102.3</v>
      </c>
      <c r="Y123">
        <v>104.8</v>
      </c>
      <c r="Z123">
        <v>106.9</v>
      </c>
      <c r="AA123" s="1">
        <f>SUM(Table14[[#This Row],[Cereals and products]:[Food and beverages]])/13</f>
        <v>107.86153846153844</v>
      </c>
      <c r="AB123" s="1">
        <f>SUM(Table14[[#This Row],[Fuel and light]])</f>
        <v>107.4</v>
      </c>
      <c r="AC123" s="1">
        <f>SUM(Table14[[#This Row],[Transport and communication]])</f>
        <v>104</v>
      </c>
      <c r="AD123" s="1">
        <f>SUM(Table14[[#This Row],[Housing]],Table14[[#This Row],[Household goods and services]])/2</f>
        <v>103.7</v>
      </c>
      <c r="AE123" s="1">
        <f>SUM(Table14[[#This Row],[Health]])</f>
        <v>105.9</v>
      </c>
      <c r="AF123" s="1">
        <f>SUM(Table14[[#This Row],[Recreation and amusement]],Table14[[#This Row],[Education]])/2</f>
        <v>105.19999999999999</v>
      </c>
      <c r="AG123" s="1">
        <f>SUM(Table14[[#This Row],[Miscellaneous]],Table14[[#This Row],[Personal care and effects]])/2</f>
        <v>103.55</v>
      </c>
    </row>
    <row r="124" spans="1:33" hidden="1" x14ac:dyDescent="0.3">
      <c r="A124" t="s">
        <v>36</v>
      </c>
      <c r="B124">
        <v>2013</v>
      </c>
      <c r="C124" t="s">
        <v>47</v>
      </c>
      <c r="D124">
        <v>115.4</v>
      </c>
      <c r="E124">
        <v>114.2</v>
      </c>
      <c r="F124">
        <v>102.7</v>
      </c>
      <c r="G124">
        <v>105.5</v>
      </c>
      <c r="H124">
        <v>101.5</v>
      </c>
      <c r="I124">
        <v>110.6</v>
      </c>
      <c r="J124">
        <v>123.7</v>
      </c>
      <c r="K124">
        <v>105.2</v>
      </c>
      <c r="L124">
        <v>101.9</v>
      </c>
      <c r="M124">
        <v>105</v>
      </c>
      <c r="N124">
        <v>109.1</v>
      </c>
      <c r="O124">
        <v>111.3</v>
      </c>
      <c r="P124">
        <v>111.1</v>
      </c>
      <c r="Q124">
        <v>100.5</v>
      </c>
      <c r="R124">
        <v>107.2</v>
      </c>
      <c r="S124">
        <v>107.1</v>
      </c>
      <c r="T124">
        <v>106.2</v>
      </c>
      <c r="U124">
        <v>103.9</v>
      </c>
      <c r="V124">
        <v>104.6</v>
      </c>
      <c r="W124">
        <v>105.7</v>
      </c>
      <c r="X124">
        <v>102.6</v>
      </c>
      <c r="Y124">
        <v>104.9</v>
      </c>
      <c r="Z124">
        <v>106.6</v>
      </c>
      <c r="AA124" s="1">
        <f>SUM(Table14[[#This Row],[Cereals and products]:[Food and beverages]])/13</f>
        <v>109.0153846153846</v>
      </c>
      <c r="AB124" s="1">
        <f>SUM(Table14[[#This Row],[Fuel and light]])</f>
        <v>107.2</v>
      </c>
      <c r="AC124" s="1">
        <f>SUM(Table14[[#This Row],[Transport and communication]])</f>
        <v>103.9</v>
      </c>
      <c r="AD124" s="1">
        <f>SUM(Table14[[#This Row],[Housing]],Table14[[#This Row],[Household goods and services]])/2</f>
        <v>103.8</v>
      </c>
      <c r="AE124" s="1">
        <f>SUM(Table14[[#This Row],[Health]])</f>
        <v>106.2</v>
      </c>
      <c r="AF124" s="1">
        <f>SUM(Table14[[#This Row],[Recreation and amusement]],Table14[[#This Row],[Education]])/2</f>
        <v>105.15</v>
      </c>
      <c r="AG124" s="1">
        <f>SUM(Table14[[#This Row],[Miscellaneous]],Table14[[#This Row],[Personal care and effects]])/2</f>
        <v>103.75</v>
      </c>
    </row>
    <row r="125" spans="1:33" hidden="1" x14ac:dyDescent="0.3">
      <c r="A125" t="s">
        <v>35</v>
      </c>
      <c r="B125">
        <v>2014</v>
      </c>
      <c r="C125" t="s">
        <v>49</v>
      </c>
      <c r="D125">
        <v>120.7</v>
      </c>
      <c r="E125">
        <v>119.3</v>
      </c>
      <c r="F125">
        <v>121</v>
      </c>
      <c r="G125">
        <v>116.1</v>
      </c>
      <c r="H125">
        <v>106.9</v>
      </c>
      <c r="I125">
        <v>118.7</v>
      </c>
      <c r="J125">
        <v>116.3</v>
      </c>
      <c r="K125">
        <v>109.8</v>
      </c>
      <c r="L125">
        <v>99.6</v>
      </c>
      <c r="M125">
        <v>111.8</v>
      </c>
      <c r="N125">
        <v>112.7</v>
      </c>
      <c r="O125">
        <v>119.3</v>
      </c>
      <c r="P125">
        <v>116.1</v>
      </c>
      <c r="Q125">
        <v>113.2</v>
      </c>
      <c r="R125">
        <v>112.5</v>
      </c>
      <c r="S125">
        <v>113.2</v>
      </c>
      <c r="T125">
        <v>111.2</v>
      </c>
      <c r="U125">
        <v>111.4</v>
      </c>
      <c r="V125">
        <v>110.6</v>
      </c>
      <c r="W125">
        <v>112</v>
      </c>
      <c r="X125">
        <v>109</v>
      </c>
      <c r="Y125">
        <v>111.3</v>
      </c>
      <c r="Z125">
        <v>114.2</v>
      </c>
      <c r="AA125" s="1">
        <f>SUM(Table14[[#This Row],[Cereals and products]:[Food and beverages]])/13</f>
        <v>114.48461538461537</v>
      </c>
      <c r="AB125" s="1">
        <f>SUM(Table14[[#This Row],[Fuel and light]])</f>
        <v>112.5</v>
      </c>
      <c r="AC125" s="1">
        <f>SUM(Table14[[#This Row],[Transport and communication]])</f>
        <v>111.4</v>
      </c>
      <c r="AD125" s="1">
        <f>SUM(Table14[[#This Row],[Housing]],Table14[[#This Row],[Household goods and services]])/2</f>
        <v>113.2</v>
      </c>
      <c r="AE125" s="1">
        <f>SUM(Table14[[#This Row],[Health]])</f>
        <v>111.2</v>
      </c>
      <c r="AF125" s="1">
        <f>SUM(Table14[[#This Row],[Recreation and amusement]],Table14[[#This Row],[Education]])/2</f>
        <v>111.3</v>
      </c>
      <c r="AG125" s="1">
        <f>SUM(Table14[[#This Row],[Miscellaneous]],Table14[[#This Row],[Personal care and effects]])/2</f>
        <v>110.15</v>
      </c>
    </row>
    <row r="126" spans="1:33" hidden="1" x14ac:dyDescent="0.3">
      <c r="A126" t="s">
        <v>33</v>
      </c>
      <c r="B126">
        <v>2023</v>
      </c>
      <c r="C126" t="s">
        <v>46</v>
      </c>
      <c r="D126">
        <v>174.3</v>
      </c>
      <c r="E126">
        <v>205.2</v>
      </c>
      <c r="F126">
        <v>173.9</v>
      </c>
      <c r="G126">
        <v>177</v>
      </c>
      <c r="H126">
        <v>183.3</v>
      </c>
      <c r="I126">
        <v>167.2</v>
      </c>
      <c r="J126">
        <v>140.9</v>
      </c>
      <c r="K126">
        <v>170.5</v>
      </c>
      <c r="L126">
        <v>119.1</v>
      </c>
      <c r="M126">
        <v>212.1</v>
      </c>
      <c r="N126">
        <v>177.6</v>
      </c>
      <c r="O126">
        <v>189.9</v>
      </c>
      <c r="P126">
        <v>174.8</v>
      </c>
      <c r="Q126">
        <f>AVERAGE(Q127:Q128)</f>
        <v>173.5</v>
      </c>
      <c r="R126">
        <v>181.4</v>
      </c>
      <c r="S126">
        <v>178.6</v>
      </c>
      <c r="T126">
        <v>186.6</v>
      </c>
      <c r="U126">
        <v>169</v>
      </c>
      <c r="V126">
        <v>172.8</v>
      </c>
      <c r="W126">
        <v>178.5</v>
      </c>
      <c r="X126">
        <v>180.7</v>
      </c>
      <c r="Y126">
        <v>177.9</v>
      </c>
      <c r="Z126">
        <v>178</v>
      </c>
      <c r="AA126" s="1">
        <f>SUM(Table14[[#This Row],[Cereals and products]:[Food and beverages]])/13</f>
        <v>174.2923076923077</v>
      </c>
      <c r="AB126" s="1">
        <f>SUM(Table14[[#This Row],[Fuel and light]])</f>
        <v>181.4</v>
      </c>
      <c r="AC126" s="1">
        <f>SUM(Table14[[#This Row],[Transport and communication]])</f>
        <v>169</v>
      </c>
      <c r="AD126" s="1">
        <f>SUM(Table14[[#This Row],[Housing]],Table14[[#This Row],[Household goods and services]])/2</f>
        <v>176.05</v>
      </c>
      <c r="AE126" s="1">
        <f>SUM(Table14[[#This Row],[Health]])</f>
        <v>186.6</v>
      </c>
      <c r="AF126" s="1">
        <f>SUM(Table14[[#This Row],[Recreation and amusement]],Table14[[#This Row],[Education]])/2</f>
        <v>175.65</v>
      </c>
      <c r="AG126" s="1">
        <f>SUM(Table14[[#This Row],[Miscellaneous]],Table14[[#This Row],[Personal care and effects]])/2</f>
        <v>179.3</v>
      </c>
    </row>
    <row r="127" spans="1:33" hidden="1" x14ac:dyDescent="0.3">
      <c r="A127" t="s">
        <v>35</v>
      </c>
      <c r="B127">
        <v>2023</v>
      </c>
      <c r="C127" t="s">
        <v>46</v>
      </c>
      <c r="D127">
        <v>174.4</v>
      </c>
      <c r="E127">
        <v>207.7</v>
      </c>
      <c r="F127">
        <v>175.2</v>
      </c>
      <c r="G127">
        <v>177.3</v>
      </c>
      <c r="H127">
        <v>179.2</v>
      </c>
      <c r="I127">
        <v>169.5</v>
      </c>
      <c r="J127">
        <v>152.80000000000001</v>
      </c>
      <c r="K127">
        <v>171.1</v>
      </c>
      <c r="L127">
        <v>120</v>
      </c>
      <c r="M127">
        <v>209.7</v>
      </c>
      <c r="N127">
        <v>172.3</v>
      </c>
      <c r="O127">
        <v>193</v>
      </c>
      <c r="P127">
        <v>177</v>
      </c>
      <c r="Q127">
        <v>173.5</v>
      </c>
      <c r="R127">
        <v>181.9</v>
      </c>
      <c r="S127">
        <v>174.2</v>
      </c>
      <c r="T127">
        <v>184.4</v>
      </c>
      <c r="U127">
        <v>164.2</v>
      </c>
      <c r="V127">
        <v>170.3</v>
      </c>
      <c r="W127">
        <v>175</v>
      </c>
      <c r="X127">
        <v>181</v>
      </c>
      <c r="Y127">
        <v>174.1</v>
      </c>
      <c r="Z127">
        <v>177.2</v>
      </c>
      <c r="AA127" s="1">
        <f>SUM(Table14[[#This Row],[Cereals and products]:[Food and beverages]])/13</f>
        <v>175.32307692307691</v>
      </c>
      <c r="AB127" s="1">
        <f>SUM(Table14[[#This Row],[Fuel and light]])</f>
        <v>181.9</v>
      </c>
      <c r="AC127" s="1">
        <f>SUM(Table14[[#This Row],[Transport and communication]])</f>
        <v>164.2</v>
      </c>
      <c r="AD127" s="1">
        <f>SUM(Table14[[#This Row],[Housing]],Table14[[#This Row],[Household goods and services]])/2</f>
        <v>173.85</v>
      </c>
      <c r="AE127" s="1">
        <f>SUM(Table14[[#This Row],[Health]])</f>
        <v>184.4</v>
      </c>
      <c r="AF127" s="1">
        <f>SUM(Table14[[#This Row],[Recreation and amusement]],Table14[[#This Row],[Education]])/2</f>
        <v>172.65</v>
      </c>
      <c r="AG127" s="1">
        <f>SUM(Table14[[#This Row],[Miscellaneous]],Table14[[#This Row],[Personal care and effects]])/2</f>
        <v>177.55</v>
      </c>
    </row>
    <row r="128" spans="1:33" hidden="1" x14ac:dyDescent="0.3">
      <c r="A128" t="s">
        <v>36</v>
      </c>
      <c r="B128">
        <v>2023</v>
      </c>
      <c r="C128" t="s">
        <v>46</v>
      </c>
      <c r="D128">
        <v>174.7</v>
      </c>
      <c r="E128">
        <v>212.2</v>
      </c>
      <c r="F128">
        <v>177.2</v>
      </c>
      <c r="G128">
        <v>177.9</v>
      </c>
      <c r="H128">
        <v>172.2</v>
      </c>
      <c r="I128">
        <v>172.1</v>
      </c>
      <c r="J128">
        <v>175.9</v>
      </c>
      <c r="K128">
        <v>172.2</v>
      </c>
      <c r="L128">
        <v>121.9</v>
      </c>
      <c r="M128">
        <v>204.8</v>
      </c>
      <c r="N128">
        <v>164.9</v>
      </c>
      <c r="O128">
        <v>196.6</v>
      </c>
      <c r="P128">
        <v>180.8</v>
      </c>
      <c r="Q128">
        <v>173.5</v>
      </c>
      <c r="R128">
        <v>182.6</v>
      </c>
      <c r="S128">
        <v>169.2</v>
      </c>
      <c r="T128">
        <v>180.8</v>
      </c>
      <c r="U128">
        <v>159.80000000000001</v>
      </c>
      <c r="V128">
        <v>168.4</v>
      </c>
      <c r="W128">
        <v>172.5</v>
      </c>
      <c r="X128">
        <v>181.5</v>
      </c>
      <c r="Y128">
        <v>170</v>
      </c>
      <c r="Z128">
        <v>176.3</v>
      </c>
      <c r="AA128" s="1">
        <f>SUM(Table14[[#This Row],[Cereals and products]:[Food and beverages]])/13</f>
        <v>177.1846153846154</v>
      </c>
      <c r="AB128" s="1">
        <f>SUM(Table14[[#This Row],[Fuel and light]])</f>
        <v>182.6</v>
      </c>
      <c r="AC128" s="1">
        <f>SUM(Table14[[#This Row],[Transport and communication]])</f>
        <v>159.80000000000001</v>
      </c>
      <c r="AD128" s="1">
        <f>SUM(Table14[[#This Row],[Housing]],Table14[[#This Row],[Household goods and services]])/2</f>
        <v>171.35</v>
      </c>
      <c r="AE128" s="1">
        <f>SUM(Table14[[#This Row],[Health]])</f>
        <v>180.8</v>
      </c>
      <c r="AF128" s="1">
        <f>SUM(Table14[[#This Row],[Recreation and amusement]],Table14[[#This Row],[Education]])/2</f>
        <v>170.45</v>
      </c>
      <c r="AG128" s="1">
        <f>SUM(Table14[[#This Row],[Miscellaneous]],Table14[[#This Row],[Personal care and effects]])/2</f>
        <v>175.75</v>
      </c>
    </row>
    <row r="129" spans="1:33" hidden="1" x14ac:dyDescent="0.3">
      <c r="A129" t="s">
        <v>33</v>
      </c>
      <c r="B129">
        <v>2022</v>
      </c>
      <c r="C129" t="s">
        <v>46</v>
      </c>
      <c r="D129">
        <v>150.19999999999999</v>
      </c>
      <c r="E129">
        <v>208</v>
      </c>
      <c r="F129">
        <v>167.9</v>
      </c>
      <c r="G129">
        <v>162</v>
      </c>
      <c r="H129">
        <v>203.1</v>
      </c>
      <c r="I129">
        <v>155.9</v>
      </c>
      <c r="J129">
        <v>155.80000000000001</v>
      </c>
      <c r="K129">
        <v>164.2</v>
      </c>
      <c r="L129">
        <v>118.1</v>
      </c>
      <c r="M129">
        <v>178.7</v>
      </c>
      <c r="N129">
        <v>171.2</v>
      </c>
      <c r="O129">
        <v>177.4</v>
      </c>
      <c r="P129">
        <v>166.6</v>
      </c>
      <c r="Q129">
        <f>AVERAGE(Q130:Q131)</f>
        <v>165.3</v>
      </c>
      <c r="R129">
        <v>168.9</v>
      </c>
      <c r="S129">
        <v>166.5</v>
      </c>
      <c r="T129">
        <v>176</v>
      </c>
      <c r="U129">
        <v>162</v>
      </c>
      <c r="V129">
        <v>166.6</v>
      </c>
      <c r="W129">
        <v>170.6</v>
      </c>
      <c r="X129">
        <v>167.4</v>
      </c>
      <c r="Y129">
        <v>168.3</v>
      </c>
      <c r="Z129">
        <v>168.7</v>
      </c>
      <c r="AA129" s="1">
        <f>SUM(Table14[[#This Row],[Cereals and products]:[Food and beverages]])/13</f>
        <v>167.62307692307695</v>
      </c>
      <c r="AB129" s="1">
        <f>SUM(Table14[[#This Row],[Fuel and light]])</f>
        <v>168.9</v>
      </c>
      <c r="AC129" s="1">
        <f>SUM(Table14[[#This Row],[Transport and communication]])</f>
        <v>162</v>
      </c>
      <c r="AD129" s="1">
        <f>SUM(Table14[[#This Row],[Housing]],Table14[[#This Row],[Household goods and services]])/2</f>
        <v>165.9</v>
      </c>
      <c r="AE129" s="1">
        <f>SUM(Table14[[#This Row],[Health]])</f>
        <v>176</v>
      </c>
      <c r="AF129" s="1">
        <f>SUM(Table14[[#This Row],[Recreation and amusement]],Table14[[#This Row],[Education]])/2</f>
        <v>168.6</v>
      </c>
      <c r="AG129" s="1">
        <f>SUM(Table14[[#This Row],[Miscellaneous]],Table14[[#This Row],[Personal care and effects]])/2</f>
        <v>167.85000000000002</v>
      </c>
    </row>
    <row r="130" spans="1:33" hidden="1" x14ac:dyDescent="0.3">
      <c r="A130" t="s">
        <v>35</v>
      </c>
      <c r="B130">
        <v>2022</v>
      </c>
      <c r="C130" t="s">
        <v>46</v>
      </c>
      <c r="D130">
        <v>151.30000000000001</v>
      </c>
      <c r="E130">
        <v>210.7</v>
      </c>
      <c r="F130">
        <v>167.8</v>
      </c>
      <c r="G130">
        <v>162.19999999999999</v>
      </c>
      <c r="H130">
        <v>194.6</v>
      </c>
      <c r="I130">
        <v>157.6</v>
      </c>
      <c r="J130">
        <v>166.9</v>
      </c>
      <c r="K130">
        <v>163.9</v>
      </c>
      <c r="L130">
        <v>118.8</v>
      </c>
      <c r="M130">
        <v>177.4</v>
      </c>
      <c r="N130">
        <v>165.3</v>
      </c>
      <c r="O130">
        <v>179.3</v>
      </c>
      <c r="P130">
        <v>168.4</v>
      </c>
      <c r="Q130">
        <v>165.3</v>
      </c>
      <c r="R130">
        <v>167.2</v>
      </c>
      <c r="S130">
        <v>162.80000000000001</v>
      </c>
      <c r="T130">
        <v>173</v>
      </c>
      <c r="U130">
        <v>157.9</v>
      </c>
      <c r="V130">
        <v>163.30000000000001</v>
      </c>
      <c r="W130">
        <v>166</v>
      </c>
      <c r="X130">
        <v>167.2</v>
      </c>
      <c r="Y130">
        <v>164.6</v>
      </c>
      <c r="Z130">
        <v>167.7</v>
      </c>
      <c r="AA130" s="1">
        <f>SUM(Table14[[#This Row],[Cereals and products]:[Food and beverages]])/13</f>
        <v>168.01538461538465</v>
      </c>
      <c r="AB130" s="1">
        <f>SUM(Table14[[#This Row],[Fuel and light]])</f>
        <v>167.2</v>
      </c>
      <c r="AC130" s="1">
        <f>SUM(Table14[[#This Row],[Transport and communication]])</f>
        <v>157.9</v>
      </c>
      <c r="AD130" s="1">
        <f>SUM(Table14[[#This Row],[Housing]],Table14[[#This Row],[Household goods and services]])/2</f>
        <v>164.05</v>
      </c>
      <c r="AE130" s="1">
        <f>SUM(Table14[[#This Row],[Health]])</f>
        <v>173</v>
      </c>
      <c r="AF130" s="1">
        <f>SUM(Table14[[#This Row],[Recreation and amusement]],Table14[[#This Row],[Education]])/2</f>
        <v>164.65</v>
      </c>
      <c r="AG130" s="1">
        <f>SUM(Table14[[#This Row],[Miscellaneous]],Table14[[#This Row],[Personal care and effects]])/2</f>
        <v>165.89999999999998</v>
      </c>
    </row>
    <row r="131" spans="1:33" hidden="1" x14ac:dyDescent="0.3">
      <c r="A131" t="s">
        <v>36</v>
      </c>
      <c r="B131">
        <v>2022</v>
      </c>
      <c r="C131" t="s">
        <v>46</v>
      </c>
      <c r="D131">
        <v>153.69999999999999</v>
      </c>
      <c r="E131">
        <v>215.8</v>
      </c>
      <c r="F131">
        <v>167.7</v>
      </c>
      <c r="G131">
        <v>162.6</v>
      </c>
      <c r="H131">
        <v>180</v>
      </c>
      <c r="I131">
        <v>159.6</v>
      </c>
      <c r="J131">
        <v>188.4</v>
      </c>
      <c r="K131">
        <v>163.4</v>
      </c>
      <c r="L131">
        <v>120.3</v>
      </c>
      <c r="M131">
        <v>174.7</v>
      </c>
      <c r="N131">
        <v>157.1</v>
      </c>
      <c r="O131">
        <v>181.5</v>
      </c>
      <c r="P131">
        <v>171.5</v>
      </c>
      <c r="Q131">
        <v>165.3</v>
      </c>
      <c r="R131">
        <v>164.5</v>
      </c>
      <c r="S131">
        <v>158.6</v>
      </c>
      <c r="T131">
        <v>168.2</v>
      </c>
      <c r="U131">
        <v>154.19999999999999</v>
      </c>
      <c r="V131">
        <v>160.80000000000001</v>
      </c>
      <c r="W131">
        <v>162.69999999999999</v>
      </c>
      <c r="X131">
        <v>166.8</v>
      </c>
      <c r="Y131">
        <v>160.6</v>
      </c>
      <c r="Z131">
        <v>166.5</v>
      </c>
      <c r="AA131" s="1">
        <f>SUM(Table14[[#This Row],[Cereals and products]:[Food and beverages]])/13</f>
        <v>168.94615384615386</v>
      </c>
      <c r="AB131" s="1">
        <f>SUM(Table14[[#This Row],[Fuel and light]])</f>
        <v>164.5</v>
      </c>
      <c r="AC131" s="1">
        <f>SUM(Table14[[#This Row],[Transport and communication]])</f>
        <v>154.19999999999999</v>
      </c>
      <c r="AD131" s="1">
        <f>SUM(Table14[[#This Row],[Housing]],Table14[[#This Row],[Household goods and services]])/2</f>
        <v>161.94999999999999</v>
      </c>
      <c r="AE131" s="1">
        <f>SUM(Table14[[#This Row],[Health]])</f>
        <v>168.2</v>
      </c>
      <c r="AF131" s="1">
        <f>SUM(Table14[[#This Row],[Recreation and amusement]],Table14[[#This Row],[Education]])/2</f>
        <v>161.75</v>
      </c>
      <c r="AG131" s="1">
        <f>SUM(Table14[[#This Row],[Miscellaneous]],Table14[[#This Row],[Personal care and effects]])/2</f>
        <v>163.69999999999999</v>
      </c>
    </row>
    <row r="132" spans="1:33" hidden="1" x14ac:dyDescent="0.3">
      <c r="A132" t="s">
        <v>33</v>
      </c>
      <c r="B132">
        <v>2020</v>
      </c>
      <c r="C132" t="s">
        <v>37</v>
      </c>
      <c r="D132">
        <v>147.6</v>
      </c>
      <c r="E132">
        <v>187.2</v>
      </c>
      <c r="F132">
        <v>148.4</v>
      </c>
      <c r="G132">
        <v>153.30000000000001</v>
      </c>
      <c r="H132">
        <v>139.80000000000001</v>
      </c>
      <c r="I132">
        <v>146.9</v>
      </c>
      <c r="J132">
        <v>171</v>
      </c>
      <c r="K132">
        <v>149.9</v>
      </c>
      <c r="L132">
        <v>114.2</v>
      </c>
      <c r="M132">
        <v>160</v>
      </c>
      <c r="N132">
        <v>143.5</v>
      </c>
      <c r="O132">
        <v>161.5</v>
      </c>
      <c r="P132">
        <v>155.30000000000001</v>
      </c>
      <c r="Q132">
        <f>AVERAGE(Q133:Q134)</f>
        <v>155.5</v>
      </c>
      <c r="R132">
        <v>145.80000000000001</v>
      </c>
      <c r="S132">
        <v>151.9</v>
      </c>
      <c r="T132">
        <v>158.80000000000001</v>
      </c>
      <c r="U132">
        <v>143.6</v>
      </c>
      <c r="V132">
        <v>152.19999999999999</v>
      </c>
      <c r="W132">
        <v>162.69999999999999</v>
      </c>
      <c r="X132">
        <v>153.6</v>
      </c>
      <c r="Y132">
        <v>153</v>
      </c>
      <c r="Z132">
        <v>154.69999999999999</v>
      </c>
      <c r="AA132" s="1">
        <f>SUM(Table14[[#This Row],[Cereals and products]:[Food and beverages]])/13</f>
        <v>152.19999999999999</v>
      </c>
      <c r="AB132" s="1">
        <f>SUM(Table14[[#This Row],[Fuel and light]])</f>
        <v>145.80000000000001</v>
      </c>
      <c r="AC132" s="1">
        <f>SUM(Table14[[#This Row],[Transport and communication]])</f>
        <v>143.6</v>
      </c>
      <c r="AD132" s="1">
        <f>SUM(Table14[[#This Row],[Housing]],Table14[[#This Row],[Household goods and services]])/2</f>
        <v>153.69999999999999</v>
      </c>
      <c r="AE132" s="1">
        <f>SUM(Table14[[#This Row],[Health]])</f>
        <v>158.80000000000001</v>
      </c>
      <c r="AF132" s="1">
        <f>SUM(Table14[[#This Row],[Recreation and amusement]],Table14[[#This Row],[Education]])/2</f>
        <v>157.44999999999999</v>
      </c>
      <c r="AG132" s="1">
        <f>SUM(Table14[[#This Row],[Miscellaneous]],Table14[[#This Row],[Personal care and effects]])/2</f>
        <v>153.30000000000001</v>
      </c>
    </row>
    <row r="133" spans="1:33" hidden="1" x14ac:dyDescent="0.3">
      <c r="A133" t="s">
        <v>35</v>
      </c>
      <c r="B133">
        <v>2020</v>
      </c>
      <c r="C133" t="s">
        <v>37</v>
      </c>
      <c r="D133">
        <v>148.9</v>
      </c>
      <c r="E133">
        <v>190.9</v>
      </c>
      <c r="F133">
        <v>150.80000000000001</v>
      </c>
      <c r="G133">
        <v>153.30000000000001</v>
      </c>
      <c r="H133">
        <v>137.4</v>
      </c>
      <c r="I133">
        <v>150.4</v>
      </c>
      <c r="J133">
        <v>178.1</v>
      </c>
      <c r="K133">
        <v>150.4</v>
      </c>
      <c r="L133">
        <v>115.1</v>
      </c>
      <c r="M133">
        <v>160</v>
      </c>
      <c r="N133">
        <v>140.6</v>
      </c>
      <c r="O133">
        <v>162.30000000000001</v>
      </c>
      <c r="P133">
        <v>157</v>
      </c>
      <c r="Q133">
        <v>155.5</v>
      </c>
      <c r="R133">
        <v>143</v>
      </c>
      <c r="S133">
        <v>148.4</v>
      </c>
      <c r="T133">
        <v>155</v>
      </c>
      <c r="U133">
        <v>138.5</v>
      </c>
      <c r="V133">
        <v>146</v>
      </c>
      <c r="W133">
        <v>158.5</v>
      </c>
      <c r="X133">
        <v>154.30000000000001</v>
      </c>
      <c r="Y133">
        <v>149</v>
      </c>
      <c r="Z133">
        <v>153.9</v>
      </c>
      <c r="AA133" s="1">
        <f>SUM(Table14[[#This Row],[Cereals and products]:[Food and beverages]])/13</f>
        <v>153.47692307692307</v>
      </c>
      <c r="AB133" s="1">
        <f>SUM(Table14[[#This Row],[Fuel and light]])</f>
        <v>143</v>
      </c>
      <c r="AC133" s="1">
        <f>SUM(Table14[[#This Row],[Transport and communication]])</f>
        <v>138.5</v>
      </c>
      <c r="AD133" s="1">
        <f>SUM(Table14[[#This Row],[Housing]],Table14[[#This Row],[Household goods and services]])/2</f>
        <v>151.94999999999999</v>
      </c>
      <c r="AE133" s="1">
        <f>SUM(Table14[[#This Row],[Health]])</f>
        <v>155</v>
      </c>
      <c r="AF133" s="1">
        <f>SUM(Table14[[#This Row],[Recreation and amusement]],Table14[[#This Row],[Education]])/2</f>
        <v>152.25</v>
      </c>
      <c r="AG133" s="1">
        <f>SUM(Table14[[#This Row],[Miscellaneous]],Table14[[#This Row],[Personal care and effects]])/2</f>
        <v>151.65</v>
      </c>
    </row>
    <row r="134" spans="1:33" hidden="1" x14ac:dyDescent="0.3">
      <c r="A134" t="s">
        <v>36</v>
      </c>
      <c r="B134">
        <v>2020</v>
      </c>
      <c r="C134" t="s">
        <v>37</v>
      </c>
      <c r="D134">
        <v>151.6</v>
      </c>
      <c r="E134">
        <v>197.8</v>
      </c>
      <c r="F134">
        <v>154.5</v>
      </c>
      <c r="G134">
        <v>153.4</v>
      </c>
      <c r="H134">
        <v>133.4</v>
      </c>
      <c r="I134">
        <v>154.5</v>
      </c>
      <c r="J134">
        <v>191.9</v>
      </c>
      <c r="K134">
        <v>151.30000000000001</v>
      </c>
      <c r="L134">
        <v>116.8</v>
      </c>
      <c r="M134">
        <v>160</v>
      </c>
      <c r="N134">
        <v>136.5</v>
      </c>
      <c r="O134">
        <v>163.30000000000001</v>
      </c>
      <c r="P134">
        <v>159.9</v>
      </c>
      <c r="Q134">
        <v>155.5</v>
      </c>
      <c r="R134">
        <v>138.30000000000001</v>
      </c>
      <c r="S134">
        <v>144.5</v>
      </c>
      <c r="T134">
        <v>148.69999999999999</v>
      </c>
      <c r="U134">
        <v>133.9</v>
      </c>
      <c r="V134">
        <v>141.19999999999999</v>
      </c>
      <c r="W134">
        <v>155.5</v>
      </c>
      <c r="X134">
        <v>155.19999999999999</v>
      </c>
      <c r="Y134">
        <v>144.80000000000001</v>
      </c>
      <c r="Z134">
        <v>152.9</v>
      </c>
      <c r="AA134" s="1">
        <f>SUM(Table14[[#This Row],[Cereals and products]:[Food and beverages]])/13</f>
        <v>155.76153846153846</v>
      </c>
      <c r="AB134" s="1">
        <f>SUM(Table14[[#This Row],[Fuel and light]])</f>
        <v>138.30000000000001</v>
      </c>
      <c r="AC134" s="1">
        <f>SUM(Table14[[#This Row],[Transport and communication]])</f>
        <v>133.9</v>
      </c>
      <c r="AD134" s="1">
        <f>SUM(Table14[[#This Row],[Housing]],Table14[[#This Row],[Household goods and services]])/2</f>
        <v>150</v>
      </c>
      <c r="AE134" s="1">
        <f>SUM(Table14[[#This Row],[Health]])</f>
        <v>148.69999999999999</v>
      </c>
      <c r="AF134" s="1">
        <f>SUM(Table14[[#This Row],[Recreation and amusement]],Table14[[#This Row],[Education]])/2</f>
        <v>148.35</v>
      </c>
      <c r="AG134" s="1">
        <f>SUM(Table14[[#This Row],[Miscellaneous]],Table14[[#This Row],[Personal care and effects]])/2</f>
        <v>150</v>
      </c>
    </row>
    <row r="135" spans="1:33" hidden="1" x14ac:dyDescent="0.3">
      <c r="A135" t="s">
        <v>33</v>
      </c>
      <c r="B135">
        <v>2020</v>
      </c>
      <c r="C135" t="s">
        <v>38</v>
      </c>
      <c r="D135">
        <v>144.6</v>
      </c>
      <c r="E135">
        <v>188.5</v>
      </c>
      <c r="F135">
        <v>173.4</v>
      </c>
      <c r="G135">
        <v>154</v>
      </c>
      <c r="H135">
        <v>150</v>
      </c>
      <c r="I135">
        <v>145.9</v>
      </c>
      <c r="J135">
        <v>225.2</v>
      </c>
      <c r="K135">
        <v>159.5</v>
      </c>
      <c r="L135">
        <v>114.4</v>
      </c>
      <c r="M135">
        <v>163.5</v>
      </c>
      <c r="N135">
        <v>153.4</v>
      </c>
      <c r="O135">
        <v>163.6</v>
      </c>
      <c r="P135">
        <v>164.5</v>
      </c>
      <c r="Q135">
        <f>AVERAGE(Q136:Q137)</f>
        <v>158.4</v>
      </c>
      <c r="R135">
        <v>148.69999999999999</v>
      </c>
      <c r="S135">
        <v>153.4</v>
      </c>
      <c r="T135">
        <v>161.6</v>
      </c>
      <c r="U135">
        <v>146.4</v>
      </c>
      <c r="V135">
        <v>153.9</v>
      </c>
      <c r="W135">
        <v>162.9</v>
      </c>
      <c r="X135">
        <v>156.6</v>
      </c>
      <c r="Y135">
        <v>155.19999999999999</v>
      </c>
      <c r="Z135">
        <v>160.69999999999999</v>
      </c>
      <c r="AA135" s="1">
        <f>SUM(Table14[[#This Row],[Cereals and products]:[Food and beverages]])/13</f>
        <v>161.57692307692307</v>
      </c>
      <c r="AB135" s="1">
        <f>SUM(Table14[[#This Row],[Fuel and light]])</f>
        <v>148.69999999999999</v>
      </c>
      <c r="AC135" s="1">
        <f>SUM(Table14[[#This Row],[Transport and communication]])</f>
        <v>146.4</v>
      </c>
      <c r="AD135" s="1">
        <f>SUM(Table14[[#This Row],[Housing]],Table14[[#This Row],[Household goods and services]])/2</f>
        <v>155.9</v>
      </c>
      <c r="AE135" s="1">
        <f>SUM(Table14[[#This Row],[Health]])</f>
        <v>161.6</v>
      </c>
      <c r="AF135" s="1">
        <f>SUM(Table14[[#This Row],[Recreation and amusement]],Table14[[#This Row],[Education]])/2</f>
        <v>158.4</v>
      </c>
      <c r="AG135" s="1">
        <f>SUM(Table14[[#This Row],[Miscellaneous]],Table14[[#This Row],[Personal care and effects]])/2</f>
        <v>155.89999999999998</v>
      </c>
    </row>
    <row r="136" spans="1:33" hidden="1" x14ac:dyDescent="0.3">
      <c r="A136" t="s">
        <v>35</v>
      </c>
      <c r="B136">
        <v>2020</v>
      </c>
      <c r="C136" t="s">
        <v>38</v>
      </c>
      <c r="D136">
        <v>146</v>
      </c>
      <c r="E136">
        <v>191</v>
      </c>
      <c r="F136">
        <v>175.3</v>
      </c>
      <c r="G136">
        <v>154.1</v>
      </c>
      <c r="H136">
        <v>146.6</v>
      </c>
      <c r="I136">
        <v>147.69999999999999</v>
      </c>
      <c r="J136">
        <v>230.5</v>
      </c>
      <c r="K136">
        <v>160.19999999999999</v>
      </c>
      <c r="L136">
        <v>115.3</v>
      </c>
      <c r="M136">
        <v>163</v>
      </c>
      <c r="N136">
        <v>149.19999999999999</v>
      </c>
      <c r="O136">
        <v>164.8</v>
      </c>
      <c r="P136">
        <v>165.4</v>
      </c>
      <c r="Q136">
        <v>158.4</v>
      </c>
      <c r="R136">
        <v>144.6</v>
      </c>
      <c r="S136">
        <v>149.69999999999999</v>
      </c>
      <c r="T136">
        <v>158.30000000000001</v>
      </c>
      <c r="U136">
        <v>140.69999999999999</v>
      </c>
      <c r="V136">
        <v>148.5</v>
      </c>
      <c r="W136">
        <v>159.4</v>
      </c>
      <c r="X136">
        <v>157.1</v>
      </c>
      <c r="Y136">
        <v>151.19999999999999</v>
      </c>
      <c r="Z136">
        <v>158.9</v>
      </c>
      <c r="AA136" s="1">
        <f>SUM(Table14[[#This Row],[Cereals and products]:[Food and beverages]])/13</f>
        <v>162.23846153846154</v>
      </c>
      <c r="AB136" s="1">
        <f>SUM(Table14[[#This Row],[Fuel and light]])</f>
        <v>144.6</v>
      </c>
      <c r="AC136" s="1">
        <f>SUM(Table14[[#This Row],[Transport and communication]])</f>
        <v>140.69999999999999</v>
      </c>
      <c r="AD136" s="1">
        <f>SUM(Table14[[#This Row],[Housing]],Table14[[#This Row],[Household goods and services]])/2</f>
        <v>154.05000000000001</v>
      </c>
      <c r="AE136" s="1">
        <f>SUM(Table14[[#This Row],[Health]])</f>
        <v>158.30000000000001</v>
      </c>
      <c r="AF136" s="1">
        <f>SUM(Table14[[#This Row],[Recreation and amusement]],Table14[[#This Row],[Education]])/2</f>
        <v>153.94999999999999</v>
      </c>
      <c r="AG136" s="1">
        <f>SUM(Table14[[#This Row],[Miscellaneous]],Table14[[#This Row],[Personal care and effects]])/2</f>
        <v>154.14999999999998</v>
      </c>
    </row>
    <row r="137" spans="1:33" hidden="1" x14ac:dyDescent="0.3">
      <c r="A137" t="s">
        <v>36</v>
      </c>
      <c r="B137">
        <v>2020</v>
      </c>
      <c r="C137" t="s">
        <v>38</v>
      </c>
      <c r="D137">
        <v>149</v>
      </c>
      <c r="E137">
        <v>195.7</v>
      </c>
      <c r="F137">
        <v>178.3</v>
      </c>
      <c r="G137">
        <v>154.19999999999999</v>
      </c>
      <c r="H137">
        <v>140.69999999999999</v>
      </c>
      <c r="I137">
        <v>149.69999999999999</v>
      </c>
      <c r="J137">
        <v>240.9</v>
      </c>
      <c r="K137">
        <v>161.5</v>
      </c>
      <c r="L137">
        <v>117.1</v>
      </c>
      <c r="M137">
        <v>161.9</v>
      </c>
      <c r="N137">
        <v>143.30000000000001</v>
      </c>
      <c r="O137">
        <v>166.1</v>
      </c>
      <c r="P137">
        <v>167</v>
      </c>
      <c r="Q137">
        <v>158.4</v>
      </c>
      <c r="R137">
        <v>137.9</v>
      </c>
      <c r="S137">
        <v>145.5</v>
      </c>
      <c r="T137">
        <v>152.9</v>
      </c>
      <c r="U137">
        <v>135.5</v>
      </c>
      <c r="V137">
        <v>144.30000000000001</v>
      </c>
      <c r="W137">
        <v>156.9</v>
      </c>
      <c r="X137">
        <v>157.9</v>
      </c>
      <c r="Y137">
        <v>146.9</v>
      </c>
      <c r="Z137">
        <v>156.9</v>
      </c>
      <c r="AA137" s="1">
        <f>SUM(Table14[[#This Row],[Cereals and products]:[Food and beverages]])/13</f>
        <v>163.49230769230769</v>
      </c>
      <c r="AB137" s="1">
        <f>SUM(Table14[[#This Row],[Fuel and light]])</f>
        <v>137.9</v>
      </c>
      <c r="AC137" s="1">
        <f>SUM(Table14[[#This Row],[Transport and communication]])</f>
        <v>135.5</v>
      </c>
      <c r="AD137" s="1">
        <f>SUM(Table14[[#This Row],[Housing]],Table14[[#This Row],[Household goods and services]])/2</f>
        <v>151.94999999999999</v>
      </c>
      <c r="AE137" s="1">
        <f>SUM(Table14[[#This Row],[Health]])</f>
        <v>152.9</v>
      </c>
      <c r="AF137" s="1">
        <f>SUM(Table14[[#This Row],[Recreation and amusement]],Table14[[#This Row],[Education]])/2</f>
        <v>150.60000000000002</v>
      </c>
      <c r="AG137" s="1">
        <f>SUM(Table14[[#This Row],[Miscellaneous]],Table14[[#This Row],[Personal care and effects]])/2</f>
        <v>152.4</v>
      </c>
    </row>
    <row r="138" spans="1:33" hidden="1" x14ac:dyDescent="0.3">
      <c r="A138" t="s">
        <v>33</v>
      </c>
      <c r="B138">
        <v>2020</v>
      </c>
      <c r="C138" t="s">
        <v>39</v>
      </c>
      <c r="D138">
        <v>144.19999999999999</v>
      </c>
      <c r="E138">
        <v>167.5</v>
      </c>
      <c r="F138">
        <v>150.9</v>
      </c>
      <c r="G138">
        <v>150.9</v>
      </c>
      <c r="H138">
        <v>133.69999999999999</v>
      </c>
      <c r="I138">
        <v>140.69999999999999</v>
      </c>
      <c r="J138">
        <v>165.1</v>
      </c>
      <c r="K138">
        <v>141.80000000000001</v>
      </c>
      <c r="L138">
        <v>113.1</v>
      </c>
      <c r="M138">
        <v>152.80000000000001</v>
      </c>
      <c r="N138">
        <v>140.1</v>
      </c>
      <c r="O138">
        <v>159.19999999999999</v>
      </c>
      <c r="P138">
        <v>149.80000000000001</v>
      </c>
      <c r="Q138">
        <f>AVERAGE(Q139:Q140)</f>
        <v>154.80000000000001</v>
      </c>
      <c r="R138">
        <v>152.30000000000001</v>
      </c>
      <c r="S138">
        <v>151.80000000000001</v>
      </c>
      <c r="T138">
        <v>156.19999999999999</v>
      </c>
      <c r="U138">
        <v>136</v>
      </c>
      <c r="V138">
        <v>150.4</v>
      </c>
      <c r="W138">
        <v>161.9</v>
      </c>
      <c r="X138">
        <v>143.4</v>
      </c>
      <c r="Y138">
        <v>148.4</v>
      </c>
      <c r="Z138">
        <v>150.4</v>
      </c>
      <c r="AA138" s="1">
        <f>SUM(Table14[[#This Row],[Cereals and products]:[Food and beverages]])/13</f>
        <v>146.90769230769229</v>
      </c>
      <c r="AB138" s="1">
        <f>SUM(Table14[[#This Row],[Fuel and light]])</f>
        <v>152.30000000000001</v>
      </c>
      <c r="AC138" s="1">
        <f>SUM(Table14[[#This Row],[Transport and communication]])</f>
        <v>136</v>
      </c>
      <c r="AD138" s="1">
        <f>SUM(Table14[[#This Row],[Housing]],Table14[[#This Row],[Household goods and services]])/2</f>
        <v>153.30000000000001</v>
      </c>
      <c r="AE138" s="1">
        <f>SUM(Table14[[#This Row],[Health]])</f>
        <v>156.19999999999999</v>
      </c>
      <c r="AF138" s="1">
        <f>SUM(Table14[[#This Row],[Recreation and amusement]],Table14[[#This Row],[Education]])/2</f>
        <v>156.15</v>
      </c>
      <c r="AG138" s="1">
        <f>SUM(Table14[[#This Row],[Miscellaneous]],Table14[[#This Row],[Personal care and effects]])/2</f>
        <v>145.9</v>
      </c>
    </row>
    <row r="139" spans="1:33" hidden="1" x14ac:dyDescent="0.3">
      <c r="A139" t="s">
        <v>35</v>
      </c>
      <c r="B139">
        <v>2020</v>
      </c>
      <c r="C139" t="s">
        <v>39</v>
      </c>
      <c r="D139">
        <v>144.80000000000001</v>
      </c>
      <c r="E139">
        <v>167.5</v>
      </c>
      <c r="F139">
        <v>151.80000000000001</v>
      </c>
      <c r="G139">
        <v>150.80000000000001</v>
      </c>
      <c r="H139">
        <v>131.4</v>
      </c>
      <c r="I139">
        <v>141.80000000000001</v>
      </c>
      <c r="J139">
        <v>170.7</v>
      </c>
      <c r="K139">
        <v>141.1</v>
      </c>
      <c r="L139">
        <v>113.6</v>
      </c>
      <c r="M139">
        <v>152</v>
      </c>
      <c r="N139">
        <v>136.5</v>
      </c>
      <c r="O139">
        <v>159.1</v>
      </c>
      <c r="P139">
        <v>150.5</v>
      </c>
      <c r="Q139">
        <v>154.80000000000001</v>
      </c>
      <c r="R139">
        <v>147.19999999999999</v>
      </c>
      <c r="S139">
        <v>146.4</v>
      </c>
      <c r="T139">
        <v>151.69999999999999</v>
      </c>
      <c r="U139">
        <v>130.30000000000001</v>
      </c>
      <c r="V139">
        <v>143.19999999999999</v>
      </c>
      <c r="W139">
        <v>156.19999999999999</v>
      </c>
      <c r="X139">
        <v>143.4</v>
      </c>
      <c r="Y139">
        <v>143.6</v>
      </c>
      <c r="Z139">
        <v>149.1</v>
      </c>
      <c r="AA139" s="1">
        <f>SUM(Table14[[#This Row],[Cereals and products]:[Food and beverages]])/13</f>
        <v>147.04615384615383</v>
      </c>
      <c r="AB139" s="1">
        <f>SUM(Table14[[#This Row],[Fuel and light]])</f>
        <v>147.19999999999999</v>
      </c>
      <c r="AC139" s="1">
        <f>SUM(Table14[[#This Row],[Transport and communication]])</f>
        <v>130.30000000000001</v>
      </c>
      <c r="AD139" s="1">
        <f>SUM(Table14[[#This Row],[Housing]],Table14[[#This Row],[Household goods and services]])/2</f>
        <v>150.60000000000002</v>
      </c>
      <c r="AE139" s="1">
        <f>SUM(Table14[[#This Row],[Health]])</f>
        <v>151.69999999999999</v>
      </c>
      <c r="AF139" s="1">
        <f>SUM(Table14[[#This Row],[Recreation and amusement]],Table14[[#This Row],[Education]])/2</f>
        <v>149.69999999999999</v>
      </c>
      <c r="AG139" s="1">
        <f>SUM(Table14[[#This Row],[Miscellaneous]],Table14[[#This Row],[Personal care and effects]])/2</f>
        <v>143.5</v>
      </c>
    </row>
    <row r="140" spans="1:33" hidden="1" x14ac:dyDescent="0.3">
      <c r="A140" t="s">
        <v>36</v>
      </c>
      <c r="B140">
        <v>2020</v>
      </c>
      <c r="C140" t="s">
        <v>39</v>
      </c>
      <c r="D140">
        <v>146.19999999999999</v>
      </c>
      <c r="E140">
        <v>167.6</v>
      </c>
      <c r="F140">
        <v>153.1</v>
      </c>
      <c r="G140">
        <v>150.69999999999999</v>
      </c>
      <c r="H140">
        <v>127.4</v>
      </c>
      <c r="I140">
        <v>143.1</v>
      </c>
      <c r="J140">
        <v>181.7</v>
      </c>
      <c r="K140">
        <v>139.6</v>
      </c>
      <c r="L140">
        <v>114.6</v>
      </c>
      <c r="M140">
        <v>150.4</v>
      </c>
      <c r="N140">
        <v>131.5</v>
      </c>
      <c r="O140">
        <v>159</v>
      </c>
      <c r="P140">
        <v>151.69999999999999</v>
      </c>
      <c r="Q140">
        <v>154.80000000000001</v>
      </c>
      <c r="R140">
        <v>138.9</v>
      </c>
      <c r="S140">
        <v>140.4</v>
      </c>
      <c r="T140">
        <v>144.4</v>
      </c>
      <c r="U140">
        <v>125.2</v>
      </c>
      <c r="V140">
        <v>137.69999999999999</v>
      </c>
      <c r="W140">
        <v>152.19999999999999</v>
      </c>
      <c r="X140">
        <v>143.5</v>
      </c>
      <c r="Y140">
        <v>138.4</v>
      </c>
      <c r="Z140">
        <v>147.69999999999999</v>
      </c>
      <c r="AA140" s="1">
        <f>SUM(Table14[[#This Row],[Cereals and products]:[Food and beverages]])/13</f>
        <v>147.43076923076922</v>
      </c>
      <c r="AB140" s="1">
        <f>SUM(Table14[[#This Row],[Fuel and light]])</f>
        <v>138.9</v>
      </c>
      <c r="AC140" s="1">
        <f>SUM(Table14[[#This Row],[Transport and communication]])</f>
        <v>125.2</v>
      </c>
      <c r="AD140" s="1">
        <f>SUM(Table14[[#This Row],[Housing]],Table14[[#This Row],[Household goods and services]])/2</f>
        <v>147.60000000000002</v>
      </c>
      <c r="AE140" s="1">
        <f>SUM(Table14[[#This Row],[Health]])</f>
        <v>144.4</v>
      </c>
      <c r="AF140" s="1">
        <f>SUM(Table14[[#This Row],[Recreation and amusement]],Table14[[#This Row],[Education]])/2</f>
        <v>144.94999999999999</v>
      </c>
      <c r="AG140" s="1">
        <f>SUM(Table14[[#This Row],[Miscellaneous]],Table14[[#This Row],[Personal care and effects]])/2</f>
        <v>140.94999999999999</v>
      </c>
    </row>
    <row r="141" spans="1:33" hidden="1" x14ac:dyDescent="0.3">
      <c r="A141" t="s">
        <v>36</v>
      </c>
      <c r="B141">
        <v>2018</v>
      </c>
      <c r="C141" t="s">
        <v>46</v>
      </c>
      <c r="D141">
        <v>135</v>
      </c>
      <c r="E141">
        <v>143.1</v>
      </c>
      <c r="F141">
        <v>135.5</v>
      </c>
      <c r="G141">
        <v>139.9</v>
      </c>
      <c r="H141">
        <v>116.5</v>
      </c>
      <c r="I141">
        <v>138.5</v>
      </c>
      <c r="J141">
        <v>128</v>
      </c>
      <c r="K141">
        <v>115.5</v>
      </c>
      <c r="L141">
        <v>114.2</v>
      </c>
      <c r="M141">
        <v>140.69999999999999</v>
      </c>
      <c r="N141">
        <v>126.2</v>
      </c>
      <c r="O141">
        <v>147.6</v>
      </c>
      <c r="P141">
        <v>134.80000000000001</v>
      </c>
      <c r="Q141">
        <v>142</v>
      </c>
      <c r="R141">
        <v>126.4</v>
      </c>
      <c r="S141">
        <v>130.80000000000001</v>
      </c>
      <c r="T141">
        <v>130.5</v>
      </c>
      <c r="U141">
        <v>117.8</v>
      </c>
      <c r="V141">
        <v>126.8</v>
      </c>
      <c r="W141">
        <v>137.80000000000001</v>
      </c>
      <c r="X141">
        <v>126.7</v>
      </c>
      <c r="Y141">
        <v>127.1</v>
      </c>
      <c r="Z141">
        <v>134</v>
      </c>
      <c r="AA141" s="1">
        <f>SUM(Table14[[#This Row],[Cereals and products]:[Food and beverages]])/13</f>
        <v>131.96153846153845</v>
      </c>
      <c r="AB141" s="1">
        <f>SUM(Table14[[#This Row],[Fuel and light]])</f>
        <v>126.4</v>
      </c>
      <c r="AC141" s="1">
        <f>SUM(Table14[[#This Row],[Transport and communication]])</f>
        <v>117.8</v>
      </c>
      <c r="AD141" s="1">
        <f>SUM(Table14[[#This Row],[Housing]],Table14[[#This Row],[Household goods and services]])/2</f>
        <v>136.4</v>
      </c>
      <c r="AE141" s="1">
        <f>SUM(Table14[[#This Row],[Health]])</f>
        <v>130.5</v>
      </c>
      <c r="AF141" s="1">
        <f>SUM(Table14[[#This Row],[Recreation and amusement]],Table14[[#This Row],[Education]])/2</f>
        <v>132.30000000000001</v>
      </c>
      <c r="AG141" s="1">
        <f>SUM(Table14[[#This Row],[Miscellaneous]],Table14[[#This Row],[Personal care and effects]])/2</f>
        <v>126.9</v>
      </c>
    </row>
    <row r="142" spans="1:33" hidden="1" x14ac:dyDescent="0.3">
      <c r="A142" t="s">
        <v>35</v>
      </c>
      <c r="B142">
        <v>2018</v>
      </c>
      <c r="C142" t="s">
        <v>46</v>
      </c>
      <c r="D142">
        <v>136.19999999999999</v>
      </c>
      <c r="E142">
        <v>143.6</v>
      </c>
      <c r="F142">
        <v>138.30000000000001</v>
      </c>
      <c r="G142">
        <v>141.19999999999999</v>
      </c>
      <c r="H142">
        <v>120.7</v>
      </c>
      <c r="I142">
        <v>146.19999999999999</v>
      </c>
      <c r="J142">
        <v>134.6</v>
      </c>
      <c r="K142">
        <v>124.6</v>
      </c>
      <c r="L142">
        <v>116.1</v>
      </c>
      <c r="M142">
        <v>137.80000000000001</v>
      </c>
      <c r="N142">
        <v>129.1</v>
      </c>
      <c r="O142">
        <v>150.4</v>
      </c>
      <c r="P142">
        <v>137.19999999999999</v>
      </c>
      <c r="Q142">
        <v>142</v>
      </c>
      <c r="R142">
        <v>136.5</v>
      </c>
      <c r="S142">
        <v>135.6</v>
      </c>
      <c r="T142">
        <v>134.30000000000001</v>
      </c>
      <c r="U142">
        <v>121</v>
      </c>
      <c r="V142">
        <v>130.4</v>
      </c>
      <c r="W142">
        <v>139.80000000000001</v>
      </c>
      <c r="X142">
        <v>128.19999999999999</v>
      </c>
      <c r="Y142">
        <v>130.30000000000001</v>
      </c>
      <c r="Z142">
        <v>136.5</v>
      </c>
      <c r="AA142" s="1">
        <f>SUM(Table14[[#This Row],[Cereals and products]:[Food and beverages]])/13</f>
        <v>135.07692307692307</v>
      </c>
      <c r="AB142" s="1">
        <f>SUM(Table14[[#This Row],[Fuel and light]])</f>
        <v>136.5</v>
      </c>
      <c r="AC142" s="1">
        <f>SUM(Table14[[#This Row],[Transport and communication]])</f>
        <v>121</v>
      </c>
      <c r="AD142" s="1">
        <f>SUM(Table14[[#This Row],[Housing]],Table14[[#This Row],[Household goods and services]])/2</f>
        <v>138.80000000000001</v>
      </c>
      <c r="AE142" s="1">
        <f>SUM(Table14[[#This Row],[Health]])</f>
        <v>134.30000000000001</v>
      </c>
      <c r="AF142" s="1">
        <f>SUM(Table14[[#This Row],[Recreation and amusement]],Table14[[#This Row],[Education]])/2</f>
        <v>135.10000000000002</v>
      </c>
      <c r="AG142" s="1">
        <f>SUM(Table14[[#This Row],[Miscellaneous]],Table14[[#This Row],[Personal care and effects]])/2</f>
        <v>129.25</v>
      </c>
    </row>
    <row r="143" spans="1:33" hidden="1" x14ac:dyDescent="0.3">
      <c r="A143" t="s">
        <v>33</v>
      </c>
      <c r="B143">
        <v>2018</v>
      </c>
      <c r="C143" t="s">
        <v>46</v>
      </c>
      <c r="D143">
        <v>136.80000000000001</v>
      </c>
      <c r="E143">
        <v>143.80000000000001</v>
      </c>
      <c r="F143">
        <v>140</v>
      </c>
      <c r="G143">
        <v>142</v>
      </c>
      <c r="H143">
        <v>123.2</v>
      </c>
      <c r="I143">
        <v>152.9</v>
      </c>
      <c r="J143">
        <v>138</v>
      </c>
      <c r="K143">
        <v>129.30000000000001</v>
      </c>
      <c r="L143">
        <v>117.1</v>
      </c>
      <c r="M143">
        <v>136.30000000000001</v>
      </c>
      <c r="N143">
        <v>131.19999999999999</v>
      </c>
      <c r="O143">
        <v>152.80000000000001</v>
      </c>
      <c r="P143">
        <v>138.6</v>
      </c>
      <c r="Q143">
        <f>AVERAGE(Q141:Q142)</f>
        <v>142</v>
      </c>
      <c r="R143">
        <v>142.6</v>
      </c>
      <c r="S143">
        <v>139.9</v>
      </c>
      <c r="T143">
        <v>136.69999999999999</v>
      </c>
      <c r="U143">
        <v>124.6</v>
      </c>
      <c r="V143">
        <v>135.1</v>
      </c>
      <c r="W143">
        <v>142.69999999999999</v>
      </c>
      <c r="X143">
        <v>129.30000000000001</v>
      </c>
      <c r="Y143">
        <v>133.30000000000001</v>
      </c>
      <c r="Z143">
        <v>138.69999999999999</v>
      </c>
      <c r="AA143" s="1">
        <f>SUM(Table14[[#This Row],[Cereals and products]:[Food and beverages]])/13</f>
        <v>137.07692307692307</v>
      </c>
      <c r="AB143" s="1">
        <f>SUM(Table14[[#This Row],[Fuel and light]])</f>
        <v>142.6</v>
      </c>
      <c r="AC143" s="1">
        <f>SUM(Table14[[#This Row],[Transport and communication]])</f>
        <v>124.6</v>
      </c>
      <c r="AD143" s="1">
        <f>SUM(Table14[[#This Row],[Housing]],Table14[[#This Row],[Household goods and services]])/2</f>
        <v>140.94999999999999</v>
      </c>
      <c r="AE143" s="1">
        <f>SUM(Table14[[#This Row],[Health]])</f>
        <v>136.69999999999999</v>
      </c>
      <c r="AF143" s="1">
        <f>SUM(Table14[[#This Row],[Recreation and amusement]],Table14[[#This Row],[Education]])/2</f>
        <v>138.89999999999998</v>
      </c>
      <c r="AG143" s="1">
        <f>SUM(Table14[[#This Row],[Miscellaneous]],Table14[[#This Row],[Personal care and effects]])/2</f>
        <v>131.30000000000001</v>
      </c>
    </row>
    <row r="144" spans="1:33" hidden="1" x14ac:dyDescent="0.3">
      <c r="A144" t="s">
        <v>36</v>
      </c>
      <c r="B144">
        <v>2017</v>
      </c>
      <c r="C144" t="s">
        <v>46</v>
      </c>
      <c r="D144">
        <v>132.69999999999999</v>
      </c>
      <c r="E144">
        <v>139.4</v>
      </c>
      <c r="F144">
        <v>128.4</v>
      </c>
      <c r="G144">
        <v>134.9</v>
      </c>
      <c r="H144">
        <v>114</v>
      </c>
      <c r="I144">
        <v>136.80000000000001</v>
      </c>
      <c r="J144">
        <v>122.2</v>
      </c>
      <c r="K144">
        <v>135.80000000000001</v>
      </c>
      <c r="L144">
        <v>120.3</v>
      </c>
      <c r="M144">
        <v>142.6</v>
      </c>
      <c r="N144">
        <v>123.6</v>
      </c>
      <c r="O144">
        <v>142.4</v>
      </c>
      <c r="P144">
        <v>132.6</v>
      </c>
      <c r="Q144">
        <v>131.1</v>
      </c>
      <c r="R144">
        <v>120.8</v>
      </c>
      <c r="S144">
        <v>125.6</v>
      </c>
      <c r="T144">
        <v>123.1</v>
      </c>
      <c r="U144">
        <v>115.6</v>
      </c>
      <c r="V144">
        <v>122.4</v>
      </c>
      <c r="W144">
        <v>132.80000000000001</v>
      </c>
      <c r="X144">
        <v>121.7</v>
      </c>
      <c r="Y144">
        <v>122.6</v>
      </c>
      <c r="Z144">
        <v>128.69999999999999</v>
      </c>
      <c r="AA144" s="1">
        <f>SUM(Table14[[#This Row],[Cereals and products]:[Food and beverages]])/13</f>
        <v>131.2076923076923</v>
      </c>
      <c r="AB144" s="1">
        <f>SUM(Table14[[#This Row],[Fuel and light]])</f>
        <v>120.8</v>
      </c>
      <c r="AC144" s="1">
        <f>SUM(Table14[[#This Row],[Transport and communication]])</f>
        <v>115.6</v>
      </c>
      <c r="AD144" s="1">
        <f>SUM(Table14[[#This Row],[Housing]],Table14[[#This Row],[Household goods and services]])/2</f>
        <v>128.35</v>
      </c>
      <c r="AE144" s="1">
        <f>SUM(Table14[[#This Row],[Health]])</f>
        <v>123.1</v>
      </c>
      <c r="AF144" s="1">
        <f>SUM(Table14[[#This Row],[Recreation and amusement]],Table14[[#This Row],[Education]])/2</f>
        <v>127.60000000000001</v>
      </c>
      <c r="AG144" s="1">
        <f>SUM(Table14[[#This Row],[Miscellaneous]],Table14[[#This Row],[Personal care and effects]])/2</f>
        <v>122.15</v>
      </c>
    </row>
    <row r="145" spans="1:33" hidden="1" x14ac:dyDescent="0.3">
      <c r="A145" t="s">
        <v>35</v>
      </c>
      <c r="B145">
        <v>2017</v>
      </c>
      <c r="C145" t="s">
        <v>46</v>
      </c>
      <c r="D145">
        <v>133.30000000000001</v>
      </c>
      <c r="E145">
        <v>139</v>
      </c>
      <c r="F145">
        <v>128.6</v>
      </c>
      <c r="G145">
        <v>136.30000000000001</v>
      </c>
      <c r="H145">
        <v>118.8</v>
      </c>
      <c r="I145">
        <v>138.30000000000001</v>
      </c>
      <c r="J145">
        <v>120.5</v>
      </c>
      <c r="K145">
        <v>143.9</v>
      </c>
      <c r="L145">
        <v>118</v>
      </c>
      <c r="M145">
        <v>137.9</v>
      </c>
      <c r="N145">
        <v>127.2</v>
      </c>
      <c r="O145">
        <v>144</v>
      </c>
      <c r="P145">
        <v>133.1</v>
      </c>
      <c r="Q145">
        <v>131.1</v>
      </c>
      <c r="R145">
        <v>129.1</v>
      </c>
      <c r="S145">
        <v>130.1</v>
      </c>
      <c r="T145">
        <v>127.8</v>
      </c>
      <c r="U145">
        <v>117.6</v>
      </c>
      <c r="V145">
        <v>125</v>
      </c>
      <c r="W145">
        <v>133.80000000000001</v>
      </c>
      <c r="X145">
        <v>122.6</v>
      </c>
      <c r="Y145">
        <v>125.1</v>
      </c>
      <c r="Z145">
        <v>130.9</v>
      </c>
      <c r="AA145" s="1">
        <f>SUM(Table14[[#This Row],[Cereals and products]:[Food and beverages]])/13</f>
        <v>132.22307692307692</v>
      </c>
      <c r="AB145" s="1">
        <f>SUM(Table14[[#This Row],[Fuel and light]])</f>
        <v>129.1</v>
      </c>
      <c r="AC145" s="1">
        <f>SUM(Table14[[#This Row],[Transport and communication]])</f>
        <v>117.6</v>
      </c>
      <c r="AD145" s="1">
        <f>SUM(Table14[[#This Row],[Housing]],Table14[[#This Row],[Household goods and services]])/2</f>
        <v>130.6</v>
      </c>
      <c r="AE145" s="1">
        <f>SUM(Table14[[#This Row],[Health]])</f>
        <v>127.8</v>
      </c>
      <c r="AF145" s="1">
        <f>SUM(Table14[[#This Row],[Recreation and amusement]],Table14[[#This Row],[Education]])/2</f>
        <v>129.4</v>
      </c>
      <c r="AG145" s="1">
        <f>SUM(Table14[[#This Row],[Miscellaneous]],Table14[[#This Row],[Personal care and effects]])/2</f>
        <v>123.85</v>
      </c>
    </row>
    <row r="146" spans="1:33" hidden="1" x14ac:dyDescent="0.3">
      <c r="A146" t="s">
        <v>33</v>
      </c>
      <c r="B146">
        <v>2017</v>
      </c>
      <c r="C146" t="s">
        <v>46</v>
      </c>
      <c r="D146">
        <v>133.6</v>
      </c>
      <c r="E146">
        <v>138.80000000000001</v>
      </c>
      <c r="F146">
        <v>128.80000000000001</v>
      </c>
      <c r="G146">
        <v>137.19999999999999</v>
      </c>
      <c r="H146">
        <v>121.6</v>
      </c>
      <c r="I146">
        <v>139.69999999999999</v>
      </c>
      <c r="J146">
        <v>119.7</v>
      </c>
      <c r="K146">
        <v>148</v>
      </c>
      <c r="L146">
        <v>116.9</v>
      </c>
      <c r="M146">
        <v>135.6</v>
      </c>
      <c r="N146">
        <v>129.80000000000001</v>
      </c>
      <c r="O146">
        <v>145.4</v>
      </c>
      <c r="P146">
        <v>133.4</v>
      </c>
      <c r="Q146">
        <f>AVERAGE(Q144:Q145)</f>
        <v>131.1</v>
      </c>
      <c r="R146">
        <v>134.19999999999999</v>
      </c>
      <c r="S146">
        <v>134.1</v>
      </c>
      <c r="T146">
        <v>130.6</v>
      </c>
      <c r="U146">
        <v>119.8</v>
      </c>
      <c r="V146">
        <v>128.30000000000001</v>
      </c>
      <c r="W146">
        <v>135.19999999999999</v>
      </c>
      <c r="X146">
        <v>123.3</v>
      </c>
      <c r="Y146">
        <v>127.4</v>
      </c>
      <c r="Z146">
        <v>132.80000000000001</v>
      </c>
      <c r="AA146" s="1">
        <f>SUM(Table14[[#This Row],[Cereals and products]:[Food and beverages]])/13</f>
        <v>132.96153846153848</v>
      </c>
      <c r="AB146" s="1">
        <f>SUM(Table14[[#This Row],[Fuel and light]])</f>
        <v>134.19999999999999</v>
      </c>
      <c r="AC146" s="1">
        <f>SUM(Table14[[#This Row],[Transport and communication]])</f>
        <v>119.8</v>
      </c>
      <c r="AD146" s="1">
        <f>SUM(Table14[[#This Row],[Housing]],Table14[[#This Row],[Household goods and services]])/2</f>
        <v>132.6</v>
      </c>
      <c r="AE146" s="1">
        <f>SUM(Table14[[#This Row],[Health]])</f>
        <v>130.6</v>
      </c>
      <c r="AF146" s="1">
        <f>SUM(Table14[[#This Row],[Recreation and amusement]],Table14[[#This Row],[Education]])/2</f>
        <v>131.75</v>
      </c>
      <c r="AG146" s="1">
        <f>SUM(Table14[[#This Row],[Miscellaneous]],Table14[[#This Row],[Personal care and effects]])/2</f>
        <v>125.35</v>
      </c>
    </row>
    <row r="147" spans="1:33" hidden="1" x14ac:dyDescent="0.3">
      <c r="A147" t="s">
        <v>36</v>
      </c>
      <c r="B147">
        <v>2016</v>
      </c>
      <c r="C147" t="s">
        <v>46</v>
      </c>
      <c r="D147">
        <v>124.8</v>
      </c>
      <c r="E147">
        <v>136.30000000000001</v>
      </c>
      <c r="F147">
        <v>123.7</v>
      </c>
      <c r="G147">
        <v>129.69999999999999</v>
      </c>
      <c r="H147">
        <v>107.9</v>
      </c>
      <c r="I147">
        <v>119.9</v>
      </c>
      <c r="J147">
        <v>128.1</v>
      </c>
      <c r="K147">
        <v>170.3</v>
      </c>
      <c r="L147">
        <v>101.8</v>
      </c>
      <c r="M147">
        <v>140.1</v>
      </c>
      <c r="N147">
        <v>120.7</v>
      </c>
      <c r="O147">
        <v>135.4</v>
      </c>
      <c r="P147">
        <v>128.9</v>
      </c>
      <c r="Q147">
        <v>124.9</v>
      </c>
      <c r="R147">
        <v>114.8</v>
      </c>
      <c r="S147">
        <v>122.3</v>
      </c>
      <c r="T147">
        <v>119.7</v>
      </c>
      <c r="U147">
        <v>108.5</v>
      </c>
      <c r="V147">
        <v>119.1</v>
      </c>
      <c r="W147">
        <v>126.4</v>
      </c>
      <c r="X147">
        <v>117.1</v>
      </c>
      <c r="Y147">
        <v>117.3</v>
      </c>
      <c r="Z147">
        <v>123.8</v>
      </c>
      <c r="AA147" s="1">
        <f>SUM(Table14[[#This Row],[Cereals and products]:[Food and beverages]])/13</f>
        <v>128.27692307692308</v>
      </c>
      <c r="AB147" s="1">
        <f>SUM(Table14[[#This Row],[Fuel and light]])</f>
        <v>114.8</v>
      </c>
      <c r="AC147" s="1">
        <f>SUM(Table14[[#This Row],[Transport and communication]])</f>
        <v>108.5</v>
      </c>
      <c r="AD147" s="1">
        <f>SUM(Table14[[#This Row],[Housing]],Table14[[#This Row],[Household goods and services]])/2</f>
        <v>123.6</v>
      </c>
      <c r="AE147" s="1">
        <f>SUM(Table14[[#This Row],[Health]])</f>
        <v>119.7</v>
      </c>
      <c r="AF147" s="1">
        <f>SUM(Table14[[#This Row],[Recreation and amusement]],Table14[[#This Row],[Education]])/2</f>
        <v>122.75</v>
      </c>
      <c r="AG147" s="1">
        <f>SUM(Table14[[#This Row],[Miscellaneous]],Table14[[#This Row],[Personal care and effects]])/2</f>
        <v>117.19999999999999</v>
      </c>
    </row>
    <row r="148" spans="1:33" hidden="1" x14ac:dyDescent="0.3">
      <c r="A148" t="s">
        <v>35</v>
      </c>
      <c r="B148">
        <v>2016</v>
      </c>
      <c r="C148" t="s">
        <v>46</v>
      </c>
      <c r="D148">
        <v>126.5</v>
      </c>
      <c r="E148">
        <v>135.1</v>
      </c>
      <c r="F148">
        <v>124.6</v>
      </c>
      <c r="G148">
        <v>130.19999999999999</v>
      </c>
      <c r="H148">
        <v>114.5</v>
      </c>
      <c r="I148">
        <v>126.2</v>
      </c>
      <c r="J148">
        <v>129.80000000000001</v>
      </c>
      <c r="K148">
        <v>164.3</v>
      </c>
      <c r="L148">
        <v>100.9</v>
      </c>
      <c r="M148">
        <v>133.9</v>
      </c>
      <c r="N148">
        <v>123.1</v>
      </c>
      <c r="O148">
        <v>136.30000000000001</v>
      </c>
      <c r="P148">
        <v>129.80000000000001</v>
      </c>
      <c r="Q148">
        <v>124.9</v>
      </c>
      <c r="R148">
        <v>122.4</v>
      </c>
      <c r="S148">
        <v>125.1</v>
      </c>
      <c r="T148">
        <v>122.9</v>
      </c>
      <c r="U148">
        <v>110.9</v>
      </c>
      <c r="V148">
        <v>120.6</v>
      </c>
      <c r="W148">
        <v>126.9</v>
      </c>
      <c r="X148">
        <v>117.3</v>
      </c>
      <c r="Y148">
        <v>119.3</v>
      </c>
      <c r="Z148">
        <v>126</v>
      </c>
      <c r="AA148" s="1">
        <f>SUM(Table14[[#This Row],[Cereals and products]:[Food and beverages]])/13</f>
        <v>128.86153846153846</v>
      </c>
      <c r="AB148" s="1">
        <f>SUM(Table14[[#This Row],[Fuel and light]])</f>
        <v>122.4</v>
      </c>
      <c r="AC148" s="1">
        <f>SUM(Table14[[#This Row],[Transport and communication]])</f>
        <v>110.9</v>
      </c>
      <c r="AD148" s="1">
        <f>SUM(Table14[[#This Row],[Housing]],Table14[[#This Row],[Household goods and services]])/2</f>
        <v>125</v>
      </c>
      <c r="AE148" s="1">
        <f>SUM(Table14[[#This Row],[Health]])</f>
        <v>122.9</v>
      </c>
      <c r="AF148" s="1">
        <f>SUM(Table14[[#This Row],[Recreation and amusement]],Table14[[#This Row],[Education]])/2</f>
        <v>123.75</v>
      </c>
      <c r="AG148" s="1">
        <f>SUM(Table14[[#This Row],[Miscellaneous]],Table14[[#This Row],[Personal care and effects]])/2</f>
        <v>118.3</v>
      </c>
    </row>
    <row r="149" spans="1:33" hidden="1" x14ac:dyDescent="0.3">
      <c r="A149" t="s">
        <v>33</v>
      </c>
      <c r="B149">
        <v>2016</v>
      </c>
      <c r="C149" t="s">
        <v>46</v>
      </c>
      <c r="D149">
        <v>127.3</v>
      </c>
      <c r="E149">
        <v>134.4</v>
      </c>
      <c r="F149">
        <v>125.1</v>
      </c>
      <c r="G149">
        <v>130.5</v>
      </c>
      <c r="H149">
        <v>118.3</v>
      </c>
      <c r="I149">
        <v>131.69999999999999</v>
      </c>
      <c r="J149">
        <v>130.69999999999999</v>
      </c>
      <c r="K149">
        <v>161.19999999999999</v>
      </c>
      <c r="L149">
        <v>100.4</v>
      </c>
      <c r="M149">
        <v>130.80000000000001</v>
      </c>
      <c r="N149">
        <v>124.9</v>
      </c>
      <c r="O149">
        <v>137</v>
      </c>
      <c r="P149">
        <v>130.4</v>
      </c>
      <c r="Q149">
        <f>AVERAGE(Q147:Q148)</f>
        <v>124.9</v>
      </c>
      <c r="R149">
        <v>127</v>
      </c>
      <c r="S149">
        <v>127.7</v>
      </c>
      <c r="T149">
        <v>124.8</v>
      </c>
      <c r="U149">
        <v>113.6</v>
      </c>
      <c r="V149">
        <v>122.5</v>
      </c>
      <c r="W149">
        <v>127.5</v>
      </c>
      <c r="X149">
        <v>117.4</v>
      </c>
      <c r="Y149">
        <v>121.1</v>
      </c>
      <c r="Z149">
        <v>128</v>
      </c>
      <c r="AA149" s="1">
        <f>SUM(Table14[[#This Row],[Cereals and products]:[Food and beverages]])/13</f>
        <v>129.43846153846155</v>
      </c>
      <c r="AB149" s="1">
        <f>SUM(Table14[[#This Row],[Fuel and light]])</f>
        <v>127</v>
      </c>
      <c r="AC149" s="1">
        <f>SUM(Table14[[#This Row],[Transport and communication]])</f>
        <v>113.6</v>
      </c>
      <c r="AD149" s="1">
        <f>SUM(Table14[[#This Row],[Housing]],Table14[[#This Row],[Household goods and services]])/2</f>
        <v>126.30000000000001</v>
      </c>
      <c r="AE149" s="1">
        <f>SUM(Table14[[#This Row],[Health]])</f>
        <v>124.8</v>
      </c>
      <c r="AF149" s="1">
        <f>SUM(Table14[[#This Row],[Recreation and amusement]],Table14[[#This Row],[Education]])/2</f>
        <v>125</v>
      </c>
      <c r="AG149" s="1">
        <f>SUM(Table14[[#This Row],[Miscellaneous]],Table14[[#This Row],[Personal care and effects]])/2</f>
        <v>119.25</v>
      </c>
    </row>
    <row r="150" spans="1:33" hidden="1" x14ac:dyDescent="0.3">
      <c r="A150" t="s">
        <v>33</v>
      </c>
      <c r="B150">
        <v>2015</v>
      </c>
      <c r="C150" t="s">
        <v>46</v>
      </c>
      <c r="D150">
        <v>123.3</v>
      </c>
      <c r="E150">
        <v>124.7</v>
      </c>
      <c r="F150">
        <v>118.9</v>
      </c>
      <c r="G150">
        <v>126</v>
      </c>
      <c r="H150">
        <v>111.8</v>
      </c>
      <c r="I150">
        <v>130.9</v>
      </c>
      <c r="J150">
        <v>128</v>
      </c>
      <c r="K150">
        <v>119.9</v>
      </c>
      <c r="L150">
        <v>98.9</v>
      </c>
      <c r="M150">
        <v>119.4</v>
      </c>
      <c r="N150">
        <v>118.9</v>
      </c>
      <c r="O150">
        <v>127.7</v>
      </c>
      <c r="P150">
        <v>123.1</v>
      </c>
      <c r="Q150">
        <f>AVERAGE(Q151:Q152)</f>
        <v>118.6</v>
      </c>
      <c r="R150">
        <v>120.6</v>
      </c>
      <c r="S150">
        <v>120.2</v>
      </c>
      <c r="T150">
        <v>118.2</v>
      </c>
      <c r="U150">
        <v>111.6</v>
      </c>
      <c r="V150">
        <v>115.5</v>
      </c>
      <c r="W150">
        <v>119.4</v>
      </c>
      <c r="X150">
        <v>110.8</v>
      </c>
      <c r="Y150">
        <v>115.5</v>
      </c>
      <c r="Z150">
        <v>121.1</v>
      </c>
      <c r="AA150" s="1">
        <f>SUM(Table14[[#This Row],[Cereals and products]:[Food and beverages]])/13</f>
        <v>120.88461538461539</v>
      </c>
      <c r="AB150" s="1">
        <f>SUM(Table14[[#This Row],[Fuel and light]])</f>
        <v>120.6</v>
      </c>
      <c r="AC150" s="1">
        <f>SUM(Table14[[#This Row],[Transport and communication]])</f>
        <v>111.6</v>
      </c>
      <c r="AD150" s="1">
        <f>SUM(Table14[[#This Row],[Housing]],Table14[[#This Row],[Household goods and services]])/2</f>
        <v>119.4</v>
      </c>
      <c r="AE150" s="1">
        <f>SUM(Table14[[#This Row],[Health]])</f>
        <v>118.2</v>
      </c>
      <c r="AF150" s="1">
        <f>SUM(Table14[[#This Row],[Recreation and amusement]],Table14[[#This Row],[Education]])/2</f>
        <v>117.45</v>
      </c>
      <c r="AG150" s="1">
        <f>SUM(Table14[[#This Row],[Miscellaneous]],Table14[[#This Row],[Personal care and effects]])/2</f>
        <v>113.15</v>
      </c>
    </row>
    <row r="151" spans="1:33" hidden="1" x14ac:dyDescent="0.3">
      <c r="A151" t="s">
        <v>35</v>
      </c>
      <c r="B151">
        <v>2015</v>
      </c>
      <c r="C151" t="s">
        <v>46</v>
      </c>
      <c r="D151">
        <v>123.5</v>
      </c>
      <c r="E151">
        <v>125.4</v>
      </c>
      <c r="F151">
        <v>116.8</v>
      </c>
      <c r="G151">
        <v>126</v>
      </c>
      <c r="H151">
        <v>109.2</v>
      </c>
      <c r="I151">
        <v>127.6</v>
      </c>
      <c r="J151">
        <v>129.19999999999999</v>
      </c>
      <c r="K151">
        <v>122.4</v>
      </c>
      <c r="L151">
        <v>97</v>
      </c>
      <c r="M151">
        <v>122.1</v>
      </c>
      <c r="N151">
        <v>118.1</v>
      </c>
      <c r="O151">
        <v>128.4</v>
      </c>
      <c r="P151">
        <v>123.4</v>
      </c>
      <c r="Q151">
        <v>118.6</v>
      </c>
      <c r="R151">
        <v>118.3</v>
      </c>
      <c r="S151">
        <v>119.2</v>
      </c>
      <c r="T151">
        <v>116.7</v>
      </c>
      <c r="U151">
        <v>109.9</v>
      </c>
      <c r="V151">
        <v>115.4</v>
      </c>
      <c r="W151">
        <v>120.1</v>
      </c>
      <c r="X151">
        <v>111</v>
      </c>
      <c r="Y151">
        <v>114.7</v>
      </c>
      <c r="Z151">
        <v>120.2</v>
      </c>
      <c r="AA151" s="1">
        <f>SUM(Table14[[#This Row],[Cereals and products]:[Food and beverages]])/13</f>
        <v>120.69999999999999</v>
      </c>
      <c r="AB151" s="1">
        <f>SUM(Table14[[#This Row],[Fuel and light]])</f>
        <v>118.3</v>
      </c>
      <c r="AC151" s="1">
        <f>SUM(Table14[[#This Row],[Transport and communication]])</f>
        <v>109.9</v>
      </c>
      <c r="AD151" s="1">
        <f>SUM(Table14[[#This Row],[Housing]],Table14[[#This Row],[Household goods and services]])/2</f>
        <v>118.9</v>
      </c>
      <c r="AE151" s="1">
        <f>SUM(Table14[[#This Row],[Health]])</f>
        <v>116.7</v>
      </c>
      <c r="AF151" s="1">
        <f>SUM(Table14[[#This Row],[Recreation and amusement]],Table14[[#This Row],[Education]])/2</f>
        <v>117.75</v>
      </c>
      <c r="AG151" s="1">
        <f>SUM(Table14[[#This Row],[Miscellaneous]],Table14[[#This Row],[Personal care and effects]])/2</f>
        <v>112.85</v>
      </c>
    </row>
    <row r="152" spans="1:33" hidden="1" x14ac:dyDescent="0.3">
      <c r="A152" t="s">
        <v>36</v>
      </c>
      <c r="B152">
        <v>2015</v>
      </c>
      <c r="C152" t="s">
        <v>46</v>
      </c>
      <c r="D152">
        <v>124</v>
      </c>
      <c r="E152">
        <v>126.7</v>
      </c>
      <c r="F152">
        <v>113.5</v>
      </c>
      <c r="G152">
        <v>125.9</v>
      </c>
      <c r="H152">
        <v>104.8</v>
      </c>
      <c r="I152">
        <v>123.8</v>
      </c>
      <c r="J152">
        <v>131.4</v>
      </c>
      <c r="K152">
        <v>127.2</v>
      </c>
      <c r="L152">
        <v>93.2</v>
      </c>
      <c r="M152">
        <v>127.4</v>
      </c>
      <c r="N152">
        <v>117</v>
      </c>
      <c r="O152">
        <v>129.19999999999999</v>
      </c>
      <c r="P152">
        <v>123.9</v>
      </c>
      <c r="Q152">
        <v>118.6</v>
      </c>
      <c r="R152">
        <v>114.4</v>
      </c>
      <c r="S152">
        <v>118</v>
      </c>
      <c r="T152">
        <v>114.3</v>
      </c>
      <c r="U152">
        <v>108.4</v>
      </c>
      <c r="V152">
        <v>115.4</v>
      </c>
      <c r="W152">
        <v>120.6</v>
      </c>
      <c r="X152">
        <v>111.3</v>
      </c>
      <c r="Y152">
        <v>113.8</v>
      </c>
      <c r="Z152">
        <v>119.1</v>
      </c>
      <c r="AA152" s="1">
        <f>SUM(Table14[[#This Row],[Cereals and products]:[Food and beverages]])/13</f>
        <v>120.61538461538463</v>
      </c>
      <c r="AB152" s="1">
        <f>SUM(Table14[[#This Row],[Fuel and light]])</f>
        <v>114.4</v>
      </c>
      <c r="AC152" s="1">
        <f>SUM(Table14[[#This Row],[Transport and communication]])</f>
        <v>108.4</v>
      </c>
      <c r="AD152" s="1">
        <f>SUM(Table14[[#This Row],[Housing]],Table14[[#This Row],[Household goods and services]])/2</f>
        <v>118.3</v>
      </c>
      <c r="AE152" s="1">
        <f>SUM(Table14[[#This Row],[Health]])</f>
        <v>114.3</v>
      </c>
      <c r="AF152" s="1">
        <f>SUM(Table14[[#This Row],[Recreation and amusement]],Table14[[#This Row],[Education]])/2</f>
        <v>118</v>
      </c>
      <c r="AG152" s="1">
        <f>SUM(Table14[[#This Row],[Miscellaneous]],Table14[[#This Row],[Personal care and effects]])/2</f>
        <v>112.55</v>
      </c>
    </row>
    <row r="153" spans="1:33" hidden="1" x14ac:dyDescent="0.3">
      <c r="A153" t="s">
        <v>33</v>
      </c>
      <c r="B153">
        <v>2014</v>
      </c>
      <c r="C153" t="s">
        <v>46</v>
      </c>
      <c r="D153">
        <v>120.1</v>
      </c>
      <c r="E153">
        <v>118.1</v>
      </c>
      <c r="F153">
        <v>120.7</v>
      </c>
      <c r="G153">
        <v>116.1</v>
      </c>
      <c r="H153">
        <v>109.3</v>
      </c>
      <c r="I153">
        <v>119.6</v>
      </c>
      <c r="J153">
        <v>117.9</v>
      </c>
      <c r="K153">
        <v>110.2</v>
      </c>
      <c r="L153">
        <v>101.2</v>
      </c>
      <c r="M153">
        <v>110.7</v>
      </c>
      <c r="N153">
        <v>113</v>
      </c>
      <c r="O153">
        <v>118.3</v>
      </c>
      <c r="P153">
        <v>116.2</v>
      </c>
      <c r="Q153">
        <v>113.2</v>
      </c>
      <c r="R153">
        <v>113.4</v>
      </c>
      <c r="S153">
        <v>113.4</v>
      </c>
      <c r="T153">
        <v>111.4</v>
      </c>
      <c r="U153">
        <v>111.2</v>
      </c>
      <c r="V153">
        <v>110.2</v>
      </c>
      <c r="W153">
        <v>112.4</v>
      </c>
      <c r="X153">
        <v>108.9</v>
      </c>
      <c r="Y153">
        <v>111.3</v>
      </c>
      <c r="Z153">
        <v>114.6</v>
      </c>
      <c r="AA153" s="1">
        <f>SUM(Table14[[#This Row],[Cereals and products]:[Food and beverages]])/13</f>
        <v>114.72307692307693</v>
      </c>
      <c r="AB153" s="1">
        <f>SUM(Table14[[#This Row],[Fuel and light]])</f>
        <v>113.4</v>
      </c>
      <c r="AC153" s="1">
        <f>SUM(Table14[[#This Row],[Transport and communication]])</f>
        <v>111.2</v>
      </c>
      <c r="AD153" s="1">
        <f>SUM(Table14[[#This Row],[Housing]],Table14[[#This Row],[Household goods and services]])/2</f>
        <v>113.30000000000001</v>
      </c>
      <c r="AE153" s="1">
        <f>SUM(Table14[[#This Row],[Health]])</f>
        <v>111.4</v>
      </c>
      <c r="AF153" s="1">
        <f>SUM(Table14[[#This Row],[Recreation and amusement]],Table14[[#This Row],[Education]])/2</f>
        <v>111.30000000000001</v>
      </c>
      <c r="AG153" s="1">
        <f>SUM(Table14[[#This Row],[Miscellaneous]],Table14[[#This Row],[Personal care and effects]])/2</f>
        <v>110.1</v>
      </c>
    </row>
    <row r="154" spans="1:33" hidden="1" x14ac:dyDescent="0.3">
      <c r="A154" t="s">
        <v>36</v>
      </c>
      <c r="B154">
        <v>2014</v>
      </c>
      <c r="C154" t="s">
        <v>46</v>
      </c>
      <c r="D154">
        <v>122.1</v>
      </c>
      <c r="E154">
        <v>121.4</v>
      </c>
      <c r="F154">
        <v>121.5</v>
      </c>
      <c r="G154">
        <v>116.2</v>
      </c>
      <c r="H154">
        <v>102.8</v>
      </c>
      <c r="I154">
        <v>117.7</v>
      </c>
      <c r="J154">
        <v>113.3</v>
      </c>
      <c r="K154">
        <v>108.9</v>
      </c>
      <c r="L154">
        <v>96.3</v>
      </c>
      <c r="M154">
        <v>114.1</v>
      </c>
      <c r="N154">
        <v>112.2</v>
      </c>
      <c r="O154">
        <v>120.5</v>
      </c>
      <c r="P154">
        <v>116</v>
      </c>
      <c r="Q154">
        <v>113.2</v>
      </c>
      <c r="R154">
        <v>110.9</v>
      </c>
      <c r="S154">
        <v>113</v>
      </c>
      <c r="T154">
        <v>110.8</v>
      </c>
      <c r="U154">
        <v>111.6</v>
      </c>
      <c r="V154">
        <v>110.9</v>
      </c>
      <c r="W154">
        <v>111.8</v>
      </c>
      <c r="X154">
        <v>109.2</v>
      </c>
      <c r="Y154">
        <v>111.4</v>
      </c>
      <c r="Z154">
        <v>113.7</v>
      </c>
      <c r="AA154" s="1">
        <f>SUM(Table14[[#This Row],[Cereals and products]:[Food and beverages]])/13</f>
        <v>114.07692307692308</v>
      </c>
      <c r="AB154" s="1">
        <f>SUM(Table14[[#This Row],[Fuel and light]])</f>
        <v>110.9</v>
      </c>
      <c r="AC154" s="1">
        <f>SUM(Table14[[#This Row],[Transport and communication]])</f>
        <v>111.6</v>
      </c>
      <c r="AD154" s="1">
        <f>SUM(Table14[[#This Row],[Housing]],Table14[[#This Row],[Household goods and services]])/2</f>
        <v>113.1</v>
      </c>
      <c r="AE154" s="1">
        <f>SUM(Table14[[#This Row],[Health]])</f>
        <v>110.8</v>
      </c>
      <c r="AF154" s="1">
        <f>SUM(Table14[[#This Row],[Recreation and amusement]],Table14[[#This Row],[Education]])/2</f>
        <v>111.35</v>
      </c>
      <c r="AG154" s="1">
        <f>SUM(Table14[[#This Row],[Miscellaneous]],Table14[[#This Row],[Personal care and effects]])/2</f>
        <v>110.30000000000001</v>
      </c>
    </row>
    <row r="155" spans="1:33" hidden="1" x14ac:dyDescent="0.3">
      <c r="A155" t="s">
        <v>33</v>
      </c>
      <c r="B155">
        <v>2013</v>
      </c>
      <c r="C155" t="s">
        <v>46</v>
      </c>
      <c r="D155">
        <v>110.2</v>
      </c>
      <c r="E155">
        <v>108.8</v>
      </c>
      <c r="F155">
        <v>109.9</v>
      </c>
      <c r="G155">
        <v>105.6</v>
      </c>
      <c r="H155">
        <v>106.2</v>
      </c>
      <c r="I155">
        <v>105.7</v>
      </c>
      <c r="J155">
        <v>101.4</v>
      </c>
      <c r="K155">
        <v>105.7</v>
      </c>
      <c r="L155">
        <v>105</v>
      </c>
      <c r="M155">
        <v>103.3</v>
      </c>
      <c r="N155">
        <v>105.6</v>
      </c>
      <c r="O155">
        <v>108.2</v>
      </c>
      <c r="P155">
        <v>106.6</v>
      </c>
      <c r="Q155">
        <f>AVERAGE(Q156:Q157)</f>
        <v>100.4</v>
      </c>
      <c r="R155">
        <v>106.1</v>
      </c>
      <c r="S155">
        <v>105.6</v>
      </c>
      <c r="T155">
        <v>104.7</v>
      </c>
      <c r="U155">
        <v>104.6</v>
      </c>
      <c r="V155">
        <v>104</v>
      </c>
      <c r="W155">
        <v>104.3</v>
      </c>
      <c r="X155">
        <v>104.3</v>
      </c>
      <c r="Y155">
        <v>104.6</v>
      </c>
      <c r="Z155">
        <v>106</v>
      </c>
      <c r="AA155" s="1">
        <f>SUM(Table14[[#This Row],[Cereals and products]:[Food and beverages]])/13</f>
        <v>106.32307692307693</v>
      </c>
      <c r="AB155" s="1">
        <f>SUM(Table14[[#This Row],[Fuel and light]])</f>
        <v>106.1</v>
      </c>
      <c r="AC155" s="1">
        <f>SUM(Table14[[#This Row],[Transport and communication]])</f>
        <v>104.6</v>
      </c>
      <c r="AD155" s="1">
        <f>SUM(Table14[[#This Row],[Housing]],Table14[[#This Row],[Household goods and services]])/2</f>
        <v>103</v>
      </c>
      <c r="AE155" s="1">
        <f>SUM(Table14[[#This Row],[Health]])</f>
        <v>104.7</v>
      </c>
      <c r="AF155" s="1">
        <f>SUM(Table14[[#This Row],[Recreation and amusement]],Table14[[#This Row],[Education]])/2</f>
        <v>104.15</v>
      </c>
      <c r="AG155" s="1">
        <f>SUM(Table14[[#This Row],[Miscellaneous]],Table14[[#This Row],[Personal care and effects]])/2</f>
        <v>104.44999999999999</v>
      </c>
    </row>
    <row r="156" spans="1:33" hidden="1" x14ac:dyDescent="0.3">
      <c r="A156" t="s">
        <v>35</v>
      </c>
      <c r="B156">
        <v>2013</v>
      </c>
      <c r="C156" t="s">
        <v>46</v>
      </c>
      <c r="D156">
        <v>111.4</v>
      </c>
      <c r="E156">
        <v>109.7</v>
      </c>
      <c r="F156">
        <v>111.2</v>
      </c>
      <c r="G156">
        <v>105.1</v>
      </c>
      <c r="H156">
        <v>104.9</v>
      </c>
      <c r="I156">
        <v>105.3</v>
      </c>
      <c r="J156">
        <v>102.2</v>
      </c>
      <c r="K156">
        <v>105</v>
      </c>
      <c r="L156">
        <v>104.2</v>
      </c>
      <c r="M156">
        <v>103</v>
      </c>
      <c r="N156">
        <v>106.2</v>
      </c>
      <c r="O156">
        <v>108.9</v>
      </c>
      <c r="P156">
        <v>106.9</v>
      </c>
      <c r="Q156">
        <v>100.4</v>
      </c>
      <c r="R156">
        <v>106.1</v>
      </c>
      <c r="S156">
        <v>105.6</v>
      </c>
      <c r="T156">
        <v>104.9</v>
      </c>
      <c r="U156">
        <v>105.1</v>
      </c>
      <c r="V156">
        <v>103.7</v>
      </c>
      <c r="W156">
        <v>104</v>
      </c>
      <c r="X156">
        <v>104.3</v>
      </c>
      <c r="Y156">
        <v>104.7</v>
      </c>
      <c r="Z156">
        <v>105.5</v>
      </c>
      <c r="AA156" s="1">
        <f>SUM(Table14[[#This Row],[Cereals and products]:[Food and beverages]])/13</f>
        <v>106.46153846153848</v>
      </c>
      <c r="AB156" s="1">
        <f>SUM(Table14[[#This Row],[Fuel and light]])</f>
        <v>106.1</v>
      </c>
      <c r="AC156" s="1">
        <f>SUM(Table14[[#This Row],[Transport and communication]])</f>
        <v>105.1</v>
      </c>
      <c r="AD156" s="1">
        <f>SUM(Table14[[#This Row],[Housing]],Table14[[#This Row],[Household goods and services]])/2</f>
        <v>103</v>
      </c>
      <c r="AE156" s="1">
        <f>SUM(Table14[[#This Row],[Health]])</f>
        <v>104.9</v>
      </c>
      <c r="AF156" s="1">
        <f>SUM(Table14[[#This Row],[Recreation and amusement]],Table14[[#This Row],[Education]])/2</f>
        <v>103.85</v>
      </c>
      <c r="AG156" s="1">
        <f>SUM(Table14[[#This Row],[Miscellaneous]],Table14[[#This Row],[Personal care and effects]])/2</f>
        <v>104.5</v>
      </c>
    </row>
    <row r="157" spans="1:33" hidden="1" x14ac:dyDescent="0.3">
      <c r="A157" t="s">
        <v>36</v>
      </c>
      <c r="B157">
        <v>2013</v>
      </c>
      <c r="C157" t="s">
        <v>46</v>
      </c>
      <c r="D157">
        <v>113.9</v>
      </c>
      <c r="E157">
        <v>111.4</v>
      </c>
      <c r="F157">
        <v>113.2</v>
      </c>
      <c r="G157">
        <v>104.3</v>
      </c>
      <c r="H157">
        <v>102.7</v>
      </c>
      <c r="I157">
        <v>104.9</v>
      </c>
      <c r="J157">
        <v>103.8</v>
      </c>
      <c r="K157">
        <v>103.5</v>
      </c>
      <c r="L157">
        <v>102.6</v>
      </c>
      <c r="M157">
        <v>102.4</v>
      </c>
      <c r="N157">
        <v>107</v>
      </c>
      <c r="O157">
        <v>109.8</v>
      </c>
      <c r="P157">
        <v>107.3</v>
      </c>
      <c r="Q157">
        <v>100.4</v>
      </c>
      <c r="R157">
        <v>106</v>
      </c>
      <c r="S157">
        <v>105.7</v>
      </c>
      <c r="T157">
        <v>105.2</v>
      </c>
      <c r="U157">
        <v>105.5</v>
      </c>
      <c r="V157">
        <v>103.5</v>
      </c>
      <c r="W157">
        <v>103.8</v>
      </c>
      <c r="X157">
        <v>104.2</v>
      </c>
      <c r="Y157">
        <v>104.9</v>
      </c>
      <c r="Z157">
        <v>105</v>
      </c>
      <c r="AA157" s="1">
        <f>SUM(Table14[[#This Row],[Cereals and products]:[Food and beverages]])/13</f>
        <v>106.67692307692307</v>
      </c>
      <c r="AB157" s="1">
        <f>SUM(Table14[[#This Row],[Fuel and light]])</f>
        <v>106</v>
      </c>
      <c r="AC157" s="1">
        <f>SUM(Table14[[#This Row],[Transport and communication]])</f>
        <v>105.5</v>
      </c>
      <c r="AD157" s="1">
        <f>SUM(Table14[[#This Row],[Housing]],Table14[[#This Row],[Household goods and services]])/2</f>
        <v>103.05000000000001</v>
      </c>
      <c r="AE157" s="1">
        <f>SUM(Table14[[#This Row],[Health]])</f>
        <v>105.2</v>
      </c>
      <c r="AF157" s="1">
        <f>SUM(Table14[[#This Row],[Recreation and amusement]],Table14[[#This Row],[Education]])/2</f>
        <v>103.65</v>
      </c>
      <c r="AG157" s="1">
        <f>SUM(Table14[[#This Row],[Miscellaneous]],Table14[[#This Row],[Personal care and effects]])/2</f>
        <v>104.55000000000001</v>
      </c>
    </row>
    <row r="158" spans="1:33" x14ac:dyDescent="0.3">
      <c r="A158" t="s">
        <v>33</v>
      </c>
      <c r="B158">
        <v>2022</v>
      </c>
      <c r="C158" t="s">
        <v>43</v>
      </c>
      <c r="D158">
        <v>153.80000000000001</v>
      </c>
      <c r="E158">
        <v>217.2</v>
      </c>
      <c r="F158">
        <v>169.6</v>
      </c>
      <c r="G158">
        <v>165.4</v>
      </c>
      <c r="H158">
        <v>208.1</v>
      </c>
      <c r="I158">
        <v>165.8</v>
      </c>
      <c r="J158">
        <v>167.3</v>
      </c>
      <c r="K158">
        <v>164.6</v>
      </c>
      <c r="L158">
        <v>119.1</v>
      </c>
      <c r="M158">
        <v>188.9</v>
      </c>
      <c r="N158">
        <v>174.2</v>
      </c>
      <c r="O158">
        <v>181.9</v>
      </c>
      <c r="P158">
        <v>172.4</v>
      </c>
      <c r="Q158">
        <f>AVERAGE(Q159:Q160)</f>
        <v>166.8</v>
      </c>
      <c r="R158">
        <v>176.7</v>
      </c>
      <c r="S158">
        <v>170.3</v>
      </c>
      <c r="T158">
        <v>178.2</v>
      </c>
      <c r="U158">
        <v>165.5</v>
      </c>
      <c r="V158">
        <v>168</v>
      </c>
      <c r="W158">
        <v>172.6</v>
      </c>
      <c r="X158">
        <v>169.5</v>
      </c>
      <c r="Y158">
        <v>171</v>
      </c>
      <c r="Z158">
        <v>173.6</v>
      </c>
      <c r="AA158" s="1">
        <f>SUM(Table14[[#This Row],[Cereals and products]:[Food and beverages]])/13</f>
        <v>172.94615384615386</v>
      </c>
      <c r="AB158" s="1">
        <f>SUM(Table14[[#This Row],[Fuel and light]])</f>
        <v>176.7</v>
      </c>
      <c r="AC158" s="1">
        <f>SUM(Table14[[#This Row],[Transport and communication]])</f>
        <v>165.5</v>
      </c>
      <c r="AD158" s="1">
        <f>SUM(Table14[[#This Row],[Housing]],Table14[[#This Row],[Household goods and services]])/2</f>
        <v>168.55</v>
      </c>
      <c r="AE158" s="1">
        <f>SUM(Table14[[#This Row],[Health]])</f>
        <v>178.2</v>
      </c>
      <c r="AF158" s="1">
        <f>SUM(Table14[[#This Row],[Recreation and amusement]],Table14[[#This Row],[Education]])/2</f>
        <v>170.3</v>
      </c>
      <c r="AG158" s="1">
        <f>SUM(Table14[[#This Row],[Miscellaneous]],Table14[[#This Row],[Personal care and effects]])/2</f>
        <v>170.25</v>
      </c>
    </row>
    <row r="159" spans="1:33" hidden="1" x14ac:dyDescent="0.3">
      <c r="A159" t="s">
        <v>35</v>
      </c>
      <c r="B159">
        <v>2022</v>
      </c>
      <c r="C159" t="s">
        <v>43</v>
      </c>
      <c r="D159">
        <v>155</v>
      </c>
      <c r="E159">
        <v>219.4</v>
      </c>
      <c r="F159">
        <v>170.8</v>
      </c>
      <c r="G159">
        <v>165.8</v>
      </c>
      <c r="H159">
        <v>200.9</v>
      </c>
      <c r="I159">
        <v>169.7</v>
      </c>
      <c r="J159">
        <v>182.3</v>
      </c>
      <c r="K159">
        <v>164.3</v>
      </c>
      <c r="L159">
        <v>119.9</v>
      </c>
      <c r="M159">
        <v>187.1</v>
      </c>
      <c r="N159">
        <v>167.9</v>
      </c>
      <c r="O159">
        <v>183.9</v>
      </c>
      <c r="P159">
        <v>174.9</v>
      </c>
      <c r="Q159">
        <v>166.8</v>
      </c>
      <c r="R159">
        <v>176</v>
      </c>
      <c r="S159">
        <v>166.4</v>
      </c>
      <c r="T159">
        <v>175.4</v>
      </c>
      <c r="U159">
        <v>161.1</v>
      </c>
      <c r="V159">
        <v>165.8</v>
      </c>
      <c r="W159">
        <v>169</v>
      </c>
      <c r="X159">
        <v>169.4</v>
      </c>
      <c r="Y159">
        <v>167.5</v>
      </c>
      <c r="Z159">
        <v>172.6</v>
      </c>
      <c r="AA159" s="1">
        <f>SUM(Table14[[#This Row],[Cereals and products]:[Food and beverages]])/13</f>
        <v>173.99230769230769</v>
      </c>
      <c r="AB159" s="1">
        <f>SUM(Table14[[#This Row],[Fuel and light]])</f>
        <v>176</v>
      </c>
      <c r="AC159" s="1">
        <f>SUM(Table14[[#This Row],[Transport and communication]])</f>
        <v>161.1</v>
      </c>
      <c r="AD159" s="1">
        <f>SUM(Table14[[#This Row],[Housing]],Table14[[#This Row],[Household goods and services]])/2</f>
        <v>166.60000000000002</v>
      </c>
      <c r="AE159" s="1">
        <f>SUM(Table14[[#This Row],[Health]])</f>
        <v>175.4</v>
      </c>
      <c r="AF159" s="1">
        <f>SUM(Table14[[#This Row],[Recreation and amusement]],Table14[[#This Row],[Education]])/2</f>
        <v>167.4</v>
      </c>
      <c r="AG159" s="1">
        <f>SUM(Table14[[#This Row],[Miscellaneous]],Table14[[#This Row],[Personal care and effects]])/2</f>
        <v>168.45</v>
      </c>
    </row>
    <row r="160" spans="1:33" hidden="1" x14ac:dyDescent="0.3">
      <c r="A160" t="s">
        <v>36</v>
      </c>
      <c r="B160">
        <v>2022</v>
      </c>
      <c r="C160" t="s">
        <v>43</v>
      </c>
      <c r="D160">
        <v>157.5</v>
      </c>
      <c r="E160">
        <v>223.4</v>
      </c>
      <c r="F160">
        <v>172.8</v>
      </c>
      <c r="G160">
        <v>166.4</v>
      </c>
      <c r="H160">
        <v>188.6</v>
      </c>
      <c r="I160">
        <v>174.1</v>
      </c>
      <c r="J160">
        <v>211.5</v>
      </c>
      <c r="K160">
        <v>163.6</v>
      </c>
      <c r="L160">
        <v>121.4</v>
      </c>
      <c r="M160">
        <v>183.5</v>
      </c>
      <c r="N160">
        <v>159.1</v>
      </c>
      <c r="O160">
        <v>186.3</v>
      </c>
      <c r="P160">
        <v>179.3</v>
      </c>
      <c r="Q160">
        <v>166.8</v>
      </c>
      <c r="R160">
        <v>174.9</v>
      </c>
      <c r="S160">
        <v>162.1</v>
      </c>
      <c r="T160">
        <v>170.9</v>
      </c>
      <c r="U160">
        <v>157.19999999999999</v>
      </c>
      <c r="V160">
        <v>164.1</v>
      </c>
      <c r="W160">
        <v>166.5</v>
      </c>
      <c r="X160">
        <v>169.2</v>
      </c>
      <c r="Y160">
        <v>163.80000000000001</v>
      </c>
      <c r="Z160">
        <v>171.4</v>
      </c>
      <c r="AA160" s="1">
        <f>SUM(Table14[[#This Row],[Cereals and products]:[Food and beverages]])/13</f>
        <v>175.96153846153845</v>
      </c>
      <c r="AB160" s="1">
        <f>SUM(Table14[[#This Row],[Fuel and light]])</f>
        <v>174.9</v>
      </c>
      <c r="AC160" s="1">
        <f>SUM(Table14[[#This Row],[Transport and communication]])</f>
        <v>157.19999999999999</v>
      </c>
      <c r="AD160" s="1">
        <f>SUM(Table14[[#This Row],[Housing]],Table14[[#This Row],[Household goods and services]])/2</f>
        <v>164.45</v>
      </c>
      <c r="AE160" s="1">
        <f>SUM(Table14[[#This Row],[Health]])</f>
        <v>170.9</v>
      </c>
      <c r="AF160" s="1">
        <f>SUM(Table14[[#This Row],[Recreation and amusement]],Table14[[#This Row],[Education]])/2</f>
        <v>165.3</v>
      </c>
      <c r="AG160" s="1">
        <f>SUM(Table14[[#This Row],[Miscellaneous]],Table14[[#This Row],[Personal care and effects]])/2</f>
        <v>166.5</v>
      </c>
    </row>
    <row r="161" spans="1:33" hidden="1" x14ac:dyDescent="0.3">
      <c r="A161" t="s">
        <v>33</v>
      </c>
      <c r="B161">
        <v>2020</v>
      </c>
      <c r="C161" t="s">
        <v>41</v>
      </c>
      <c r="D161">
        <v>143.69999999999999</v>
      </c>
      <c r="E161">
        <v>167.3</v>
      </c>
      <c r="F161">
        <v>153.5</v>
      </c>
      <c r="G161">
        <v>150.5</v>
      </c>
      <c r="H161">
        <v>132</v>
      </c>
      <c r="I161">
        <v>142.19999999999999</v>
      </c>
      <c r="J161">
        <v>191.5</v>
      </c>
      <c r="K161">
        <v>141.1</v>
      </c>
      <c r="L161">
        <v>113.8</v>
      </c>
      <c r="M161">
        <v>151.6</v>
      </c>
      <c r="N161">
        <v>139.69999999999999</v>
      </c>
      <c r="O161">
        <v>158.69999999999999</v>
      </c>
      <c r="P161">
        <v>153</v>
      </c>
      <c r="Q161">
        <f>AVERAGE(Q162:Q163)</f>
        <v>153.9</v>
      </c>
      <c r="R161">
        <v>150.4</v>
      </c>
      <c r="S161">
        <v>151.69999999999999</v>
      </c>
      <c r="T161">
        <v>155.69999999999999</v>
      </c>
      <c r="U161">
        <v>136.30000000000001</v>
      </c>
      <c r="V161">
        <v>150.1</v>
      </c>
      <c r="W161">
        <v>161.69999999999999</v>
      </c>
      <c r="X161">
        <v>142.5</v>
      </c>
      <c r="Y161">
        <v>148.1</v>
      </c>
      <c r="Z161">
        <v>151.9</v>
      </c>
      <c r="AA161" s="1">
        <f>SUM(Table14[[#This Row],[Cereals and products]:[Food and beverages]])/13</f>
        <v>149.12307692307692</v>
      </c>
      <c r="AB161" s="1">
        <f>SUM(Table14[[#This Row],[Fuel and light]])</f>
        <v>150.4</v>
      </c>
      <c r="AC161" s="1">
        <f>SUM(Table14[[#This Row],[Transport and communication]])</f>
        <v>136.30000000000001</v>
      </c>
      <c r="AD161" s="1">
        <f>SUM(Table14[[#This Row],[Housing]],Table14[[#This Row],[Household goods and services]])/2</f>
        <v>152.80000000000001</v>
      </c>
      <c r="AE161" s="1">
        <f>SUM(Table14[[#This Row],[Health]])</f>
        <v>155.69999999999999</v>
      </c>
      <c r="AF161" s="1">
        <f>SUM(Table14[[#This Row],[Recreation and amusement]],Table14[[#This Row],[Education]])/2</f>
        <v>155.89999999999998</v>
      </c>
      <c r="AG161" s="1">
        <f>SUM(Table14[[#This Row],[Miscellaneous]],Table14[[#This Row],[Personal care and effects]])/2</f>
        <v>145.30000000000001</v>
      </c>
    </row>
    <row r="162" spans="1:33" hidden="1" x14ac:dyDescent="0.3">
      <c r="A162" t="s">
        <v>35</v>
      </c>
      <c r="B162">
        <v>2020</v>
      </c>
      <c r="C162" t="s">
        <v>41</v>
      </c>
      <c r="D162">
        <v>144.30000000000001</v>
      </c>
      <c r="E162">
        <v>167.4</v>
      </c>
      <c r="F162">
        <v>154.9</v>
      </c>
      <c r="G162">
        <v>150.1</v>
      </c>
      <c r="H162">
        <v>129.9</v>
      </c>
      <c r="I162">
        <v>143.19999999999999</v>
      </c>
      <c r="J162">
        <v>197</v>
      </c>
      <c r="K162">
        <v>140.4</v>
      </c>
      <c r="L162">
        <v>114.1</v>
      </c>
      <c r="M162">
        <v>150.9</v>
      </c>
      <c r="N162">
        <v>136.1</v>
      </c>
      <c r="O162">
        <v>158.6</v>
      </c>
      <c r="P162">
        <v>153.5</v>
      </c>
      <c r="Q162">
        <v>153.9</v>
      </c>
      <c r="R162">
        <v>144.6</v>
      </c>
      <c r="S162">
        <v>146.19999999999999</v>
      </c>
      <c r="T162">
        <v>151.19999999999999</v>
      </c>
      <c r="U162">
        <v>130.9</v>
      </c>
      <c r="V162">
        <v>142.80000000000001</v>
      </c>
      <c r="W162">
        <v>156.1</v>
      </c>
      <c r="X162">
        <v>142.30000000000001</v>
      </c>
      <c r="Y162">
        <v>143.4</v>
      </c>
      <c r="Z162">
        <v>150.19999999999999</v>
      </c>
      <c r="AA162" s="1">
        <f>SUM(Table14[[#This Row],[Cereals and products]:[Food and beverages]])/13</f>
        <v>149.26153846153846</v>
      </c>
      <c r="AB162" s="1">
        <f>SUM(Table14[[#This Row],[Fuel and light]])</f>
        <v>144.6</v>
      </c>
      <c r="AC162" s="1">
        <f>SUM(Table14[[#This Row],[Transport and communication]])</f>
        <v>130.9</v>
      </c>
      <c r="AD162" s="1">
        <f>SUM(Table14[[#This Row],[Housing]],Table14[[#This Row],[Household goods and services]])/2</f>
        <v>150.05000000000001</v>
      </c>
      <c r="AE162" s="1">
        <f>SUM(Table14[[#This Row],[Health]])</f>
        <v>151.19999999999999</v>
      </c>
      <c r="AF162" s="1">
        <f>SUM(Table14[[#This Row],[Recreation and amusement]],Table14[[#This Row],[Education]])/2</f>
        <v>149.44999999999999</v>
      </c>
      <c r="AG162" s="1">
        <f>SUM(Table14[[#This Row],[Miscellaneous]],Table14[[#This Row],[Personal care and effects]])/2</f>
        <v>142.85000000000002</v>
      </c>
    </row>
    <row r="163" spans="1:33" hidden="1" x14ac:dyDescent="0.3">
      <c r="A163" t="s">
        <v>36</v>
      </c>
      <c r="B163">
        <v>2020</v>
      </c>
      <c r="C163" t="s">
        <v>41</v>
      </c>
      <c r="D163">
        <v>145.6</v>
      </c>
      <c r="E163">
        <v>167.6</v>
      </c>
      <c r="F163">
        <v>157</v>
      </c>
      <c r="G163">
        <v>149.30000000000001</v>
      </c>
      <c r="H163">
        <v>126.3</v>
      </c>
      <c r="I163">
        <v>144.4</v>
      </c>
      <c r="J163">
        <v>207.8</v>
      </c>
      <c r="K163">
        <v>139.1</v>
      </c>
      <c r="L163">
        <v>114.8</v>
      </c>
      <c r="M163">
        <v>149.5</v>
      </c>
      <c r="N163">
        <v>131.1</v>
      </c>
      <c r="O163">
        <v>158.5</v>
      </c>
      <c r="P163">
        <v>154.4</v>
      </c>
      <c r="Q163">
        <v>153.9</v>
      </c>
      <c r="R163">
        <v>135.1</v>
      </c>
      <c r="S163">
        <v>140.1</v>
      </c>
      <c r="T163">
        <v>143.80000000000001</v>
      </c>
      <c r="U163">
        <v>126.1</v>
      </c>
      <c r="V163">
        <v>137.19999999999999</v>
      </c>
      <c r="W163">
        <v>152.1</v>
      </c>
      <c r="X163">
        <v>142.1</v>
      </c>
      <c r="Y163">
        <v>138.4</v>
      </c>
      <c r="Z163">
        <v>148.19999999999999</v>
      </c>
      <c r="AA163" s="1">
        <f>SUM(Table14[[#This Row],[Cereals and products]:[Food and beverages]])/13</f>
        <v>149.64615384615382</v>
      </c>
      <c r="AB163" s="1">
        <f>SUM(Table14[[#This Row],[Fuel and light]])</f>
        <v>135.1</v>
      </c>
      <c r="AC163" s="1">
        <f>SUM(Table14[[#This Row],[Transport and communication]])</f>
        <v>126.1</v>
      </c>
      <c r="AD163" s="1">
        <f>SUM(Table14[[#This Row],[Housing]],Table14[[#This Row],[Household goods and services]])/2</f>
        <v>147</v>
      </c>
      <c r="AE163" s="1">
        <f>SUM(Table14[[#This Row],[Health]])</f>
        <v>143.80000000000001</v>
      </c>
      <c r="AF163" s="1">
        <f>SUM(Table14[[#This Row],[Recreation and amusement]],Table14[[#This Row],[Education]])/2</f>
        <v>144.64999999999998</v>
      </c>
      <c r="AG163" s="1">
        <f>SUM(Table14[[#This Row],[Miscellaneous]],Table14[[#This Row],[Personal care and effects]])/2</f>
        <v>140.25</v>
      </c>
    </row>
    <row r="164" spans="1:33" hidden="1" x14ac:dyDescent="0.3">
      <c r="A164" t="s">
        <v>33</v>
      </c>
      <c r="B164">
        <v>2020</v>
      </c>
      <c r="C164" t="s">
        <v>42</v>
      </c>
      <c r="D164">
        <v>148.19999999999999</v>
      </c>
      <c r="E164">
        <v>190.3</v>
      </c>
      <c r="F164">
        <v>149.4</v>
      </c>
      <c r="G164">
        <v>153.30000000000001</v>
      </c>
      <c r="H164">
        <v>138.19999999999999</v>
      </c>
      <c r="I164">
        <v>143.19999999999999</v>
      </c>
      <c r="J164">
        <v>148.9</v>
      </c>
      <c r="K164">
        <v>150.30000000000001</v>
      </c>
      <c r="L164">
        <v>113.2</v>
      </c>
      <c r="M164">
        <v>159.80000000000001</v>
      </c>
      <c r="N164">
        <v>142.1</v>
      </c>
      <c r="O164">
        <v>161.80000000000001</v>
      </c>
      <c r="P164">
        <v>152.30000000000001</v>
      </c>
      <c r="Q164">
        <f>AVERAGE(Q165:Q166)</f>
        <v>154.69999999999999</v>
      </c>
      <c r="R164">
        <v>144.9</v>
      </c>
      <c r="S164">
        <v>151.69999999999999</v>
      </c>
      <c r="T164">
        <v>158.19999999999999</v>
      </c>
      <c r="U164">
        <v>141.4</v>
      </c>
      <c r="V164">
        <v>153.19999999999999</v>
      </c>
      <c r="W164">
        <v>161.80000000000001</v>
      </c>
      <c r="X164">
        <v>151.19999999999999</v>
      </c>
      <c r="Y164">
        <v>151.69999999999999</v>
      </c>
      <c r="Z164">
        <v>152.69999999999999</v>
      </c>
      <c r="AA164" s="1">
        <f>SUM(Table14[[#This Row],[Cereals and products]:[Food and beverages]])/13</f>
        <v>150.07692307692307</v>
      </c>
      <c r="AB164" s="1">
        <f>SUM(Table14[[#This Row],[Fuel and light]])</f>
        <v>144.9</v>
      </c>
      <c r="AC164" s="1">
        <f>SUM(Table14[[#This Row],[Transport and communication]])</f>
        <v>141.4</v>
      </c>
      <c r="AD164" s="1">
        <f>SUM(Table14[[#This Row],[Housing]],Table14[[#This Row],[Household goods and services]])/2</f>
        <v>153.19999999999999</v>
      </c>
      <c r="AE164" s="1">
        <f>SUM(Table14[[#This Row],[Health]])</f>
        <v>158.19999999999999</v>
      </c>
      <c r="AF164" s="1">
        <f>SUM(Table14[[#This Row],[Recreation and amusement]],Table14[[#This Row],[Education]])/2</f>
        <v>157.5</v>
      </c>
      <c r="AG164" s="1">
        <f>SUM(Table14[[#This Row],[Miscellaneous]],Table14[[#This Row],[Personal care and effects]])/2</f>
        <v>151.44999999999999</v>
      </c>
    </row>
    <row r="165" spans="1:33" hidden="1" x14ac:dyDescent="0.3">
      <c r="A165" t="s">
        <v>35</v>
      </c>
      <c r="B165">
        <v>2020</v>
      </c>
      <c r="C165" t="s">
        <v>42</v>
      </c>
      <c r="D165">
        <v>149.6</v>
      </c>
      <c r="E165">
        <v>192.7</v>
      </c>
      <c r="F165">
        <v>151.4</v>
      </c>
      <c r="G165">
        <v>153.30000000000001</v>
      </c>
      <c r="H165">
        <v>136.30000000000001</v>
      </c>
      <c r="I165">
        <v>147.19999999999999</v>
      </c>
      <c r="J165">
        <v>156.5</v>
      </c>
      <c r="K165">
        <v>150.9</v>
      </c>
      <c r="L165">
        <v>114.2</v>
      </c>
      <c r="M165">
        <v>159.5</v>
      </c>
      <c r="N165">
        <v>139.4</v>
      </c>
      <c r="O165">
        <v>161.80000000000001</v>
      </c>
      <c r="P165">
        <v>154</v>
      </c>
      <c r="Q165">
        <v>154.69999999999999</v>
      </c>
      <c r="R165">
        <v>141.9</v>
      </c>
      <c r="S165">
        <v>146.4</v>
      </c>
      <c r="T165">
        <v>154.4</v>
      </c>
      <c r="U165">
        <v>135</v>
      </c>
      <c r="V165">
        <v>148.30000000000001</v>
      </c>
      <c r="W165">
        <v>156.4</v>
      </c>
      <c r="X165">
        <v>151.6</v>
      </c>
      <c r="Y165">
        <v>147</v>
      </c>
      <c r="Z165">
        <v>151.80000000000001</v>
      </c>
      <c r="AA165" s="1">
        <f>SUM(Table14[[#This Row],[Cereals and products]:[Food and beverages]])/13</f>
        <v>151.2923076923077</v>
      </c>
      <c r="AB165" s="1">
        <f>SUM(Table14[[#This Row],[Fuel and light]])</f>
        <v>141.9</v>
      </c>
      <c r="AC165" s="1">
        <f>SUM(Table14[[#This Row],[Transport and communication]])</f>
        <v>135</v>
      </c>
      <c r="AD165" s="1">
        <f>SUM(Table14[[#This Row],[Housing]],Table14[[#This Row],[Household goods and services]])/2</f>
        <v>150.55000000000001</v>
      </c>
      <c r="AE165" s="1">
        <f>SUM(Table14[[#This Row],[Health]])</f>
        <v>154.4</v>
      </c>
      <c r="AF165" s="1">
        <f>SUM(Table14[[#This Row],[Recreation and amusement]],Table14[[#This Row],[Education]])/2</f>
        <v>152.35000000000002</v>
      </c>
      <c r="AG165" s="1">
        <f>SUM(Table14[[#This Row],[Miscellaneous]],Table14[[#This Row],[Personal care and effects]])/2</f>
        <v>149.30000000000001</v>
      </c>
    </row>
    <row r="166" spans="1:33" hidden="1" x14ac:dyDescent="0.3">
      <c r="A166" t="s">
        <v>36</v>
      </c>
      <c r="B166">
        <v>2020</v>
      </c>
      <c r="C166" t="s">
        <v>42</v>
      </c>
      <c r="D166">
        <v>152.69999999999999</v>
      </c>
      <c r="E166">
        <v>197</v>
      </c>
      <c r="F166">
        <v>154.6</v>
      </c>
      <c r="G166">
        <v>153.4</v>
      </c>
      <c r="H166">
        <v>132.9</v>
      </c>
      <c r="I166">
        <v>151.80000000000001</v>
      </c>
      <c r="J166">
        <v>171.2</v>
      </c>
      <c r="K166">
        <v>152</v>
      </c>
      <c r="L166">
        <v>116.3</v>
      </c>
      <c r="M166">
        <v>158.80000000000001</v>
      </c>
      <c r="N166">
        <v>135.6</v>
      </c>
      <c r="O166">
        <v>161.69999999999999</v>
      </c>
      <c r="P166">
        <v>157</v>
      </c>
      <c r="Q166">
        <v>154.69999999999999</v>
      </c>
      <c r="R166">
        <v>137.1</v>
      </c>
      <c r="S166">
        <v>140.4</v>
      </c>
      <c r="T166">
        <v>148.1</v>
      </c>
      <c r="U166">
        <v>129.30000000000001</v>
      </c>
      <c r="V166">
        <v>144.5</v>
      </c>
      <c r="W166">
        <v>152.5</v>
      </c>
      <c r="X166">
        <v>152.19999999999999</v>
      </c>
      <c r="Y166">
        <v>142</v>
      </c>
      <c r="Z166">
        <v>150.80000000000001</v>
      </c>
      <c r="AA166" s="1">
        <f>SUM(Table14[[#This Row],[Cereals and products]:[Food and beverages]])/13</f>
        <v>153.46153846153845</v>
      </c>
      <c r="AB166" s="1">
        <f>SUM(Table14[[#This Row],[Fuel and light]])</f>
        <v>137.1</v>
      </c>
      <c r="AC166" s="1">
        <f>SUM(Table14[[#This Row],[Transport and communication]])</f>
        <v>129.30000000000001</v>
      </c>
      <c r="AD166" s="1">
        <f>SUM(Table14[[#This Row],[Housing]],Table14[[#This Row],[Household goods and services]])/2</f>
        <v>147.55000000000001</v>
      </c>
      <c r="AE166" s="1">
        <f>SUM(Table14[[#This Row],[Health]])</f>
        <v>148.1</v>
      </c>
      <c r="AF166" s="1">
        <f>SUM(Table14[[#This Row],[Recreation and amusement]],Table14[[#This Row],[Education]])/2</f>
        <v>148.5</v>
      </c>
      <c r="AG166" s="1">
        <f>SUM(Table14[[#This Row],[Miscellaneous]],Table14[[#This Row],[Personal care and effects]])/2</f>
        <v>147.1</v>
      </c>
    </row>
    <row r="167" spans="1:33" hidden="1" x14ac:dyDescent="0.3">
      <c r="A167" t="s">
        <v>33</v>
      </c>
      <c r="B167">
        <v>2020</v>
      </c>
      <c r="C167" t="s">
        <v>43</v>
      </c>
      <c r="D167">
        <v>148.19999999999999</v>
      </c>
      <c r="E167">
        <v>190.3</v>
      </c>
      <c r="F167">
        <v>149.4</v>
      </c>
      <c r="G167">
        <v>153.30000000000001</v>
      </c>
      <c r="H167">
        <v>138.19999999999999</v>
      </c>
      <c r="I167">
        <v>143.19999999999999</v>
      </c>
      <c r="J167">
        <v>148.9</v>
      </c>
      <c r="K167">
        <v>150.30000000000001</v>
      </c>
      <c r="L167">
        <v>113.2</v>
      </c>
      <c r="M167">
        <v>159.80000000000001</v>
      </c>
      <c r="N167">
        <v>142.1</v>
      </c>
      <c r="O167">
        <v>161.80000000000001</v>
      </c>
      <c r="P167">
        <v>152.30000000000001</v>
      </c>
      <c r="Q167">
        <f>AVERAGE(Q168:Q169)</f>
        <v>154.69999999999999</v>
      </c>
      <c r="R167">
        <v>144.9</v>
      </c>
      <c r="S167">
        <v>151.69999999999999</v>
      </c>
      <c r="T167">
        <v>158.19999999999999</v>
      </c>
      <c r="U167">
        <v>141.4</v>
      </c>
      <c r="V167">
        <v>153.19999999999999</v>
      </c>
      <c r="W167">
        <v>161.80000000000001</v>
      </c>
      <c r="X167">
        <v>151.19999999999999</v>
      </c>
      <c r="Y167">
        <v>151.69999999999999</v>
      </c>
      <c r="Z167">
        <v>152.69999999999999</v>
      </c>
      <c r="AA167" s="1">
        <f>SUM(Table14[[#This Row],[Cereals and products]:[Food and beverages]])/13</f>
        <v>150.07692307692307</v>
      </c>
      <c r="AB167" s="1">
        <f>SUM(Table14[[#This Row],[Fuel and light]])</f>
        <v>144.9</v>
      </c>
      <c r="AC167" s="1">
        <f>SUM(Table14[[#This Row],[Transport and communication]])</f>
        <v>141.4</v>
      </c>
      <c r="AD167" s="1">
        <f>SUM(Table14[[#This Row],[Housing]],Table14[[#This Row],[Household goods and services]])/2</f>
        <v>153.19999999999999</v>
      </c>
      <c r="AE167" s="1">
        <f>SUM(Table14[[#This Row],[Health]])</f>
        <v>158.19999999999999</v>
      </c>
      <c r="AF167" s="1">
        <f>SUM(Table14[[#This Row],[Recreation and amusement]],Table14[[#This Row],[Education]])/2</f>
        <v>157.5</v>
      </c>
      <c r="AG167" s="1">
        <f>SUM(Table14[[#This Row],[Miscellaneous]],Table14[[#This Row],[Personal care and effects]])/2</f>
        <v>151.44999999999999</v>
      </c>
    </row>
    <row r="168" spans="1:33" hidden="1" x14ac:dyDescent="0.3">
      <c r="A168" t="s">
        <v>35</v>
      </c>
      <c r="B168">
        <v>2020</v>
      </c>
      <c r="C168" t="s">
        <v>43</v>
      </c>
      <c r="D168">
        <v>149.6</v>
      </c>
      <c r="E168">
        <v>192.7</v>
      </c>
      <c r="F168">
        <v>151.4</v>
      </c>
      <c r="G168">
        <v>153.30000000000001</v>
      </c>
      <c r="H168">
        <v>136.30000000000001</v>
      </c>
      <c r="I168">
        <v>147.19999999999999</v>
      </c>
      <c r="J168">
        <v>156.5</v>
      </c>
      <c r="K168">
        <v>150.9</v>
      </c>
      <c r="L168">
        <v>114.2</v>
      </c>
      <c r="M168">
        <v>159.5</v>
      </c>
      <c r="N168">
        <v>139.4</v>
      </c>
      <c r="O168">
        <v>161.80000000000001</v>
      </c>
      <c r="P168">
        <v>154</v>
      </c>
      <c r="Q168">
        <v>154.69999999999999</v>
      </c>
      <c r="R168">
        <v>141.9</v>
      </c>
      <c r="S168">
        <v>146.4</v>
      </c>
      <c r="T168">
        <v>154.4</v>
      </c>
      <c r="U168">
        <v>135</v>
      </c>
      <c r="V168">
        <v>148.30000000000001</v>
      </c>
      <c r="W168">
        <v>156.4</v>
      </c>
      <c r="X168">
        <v>151.6</v>
      </c>
      <c r="Y168">
        <v>147</v>
      </c>
      <c r="Z168">
        <v>151.80000000000001</v>
      </c>
      <c r="AA168" s="1">
        <f>SUM(Table14[[#This Row],[Cereals and products]:[Food and beverages]])/13</f>
        <v>151.2923076923077</v>
      </c>
      <c r="AB168" s="1">
        <f>SUM(Table14[[#This Row],[Fuel and light]])</f>
        <v>141.9</v>
      </c>
      <c r="AC168" s="1">
        <f>SUM(Table14[[#This Row],[Transport and communication]])</f>
        <v>135</v>
      </c>
      <c r="AD168" s="1">
        <f>SUM(Table14[[#This Row],[Housing]],Table14[[#This Row],[Household goods and services]])/2</f>
        <v>150.55000000000001</v>
      </c>
      <c r="AE168" s="1">
        <f>SUM(Table14[[#This Row],[Health]])</f>
        <v>154.4</v>
      </c>
      <c r="AF168" s="1">
        <f>SUM(Table14[[#This Row],[Recreation and amusement]],Table14[[#This Row],[Education]])/2</f>
        <v>152.35000000000002</v>
      </c>
      <c r="AG168" s="1">
        <f>SUM(Table14[[#This Row],[Miscellaneous]],Table14[[#This Row],[Personal care and effects]])/2</f>
        <v>149.30000000000001</v>
      </c>
    </row>
    <row r="169" spans="1:33" hidden="1" x14ac:dyDescent="0.3">
      <c r="A169" t="s">
        <v>36</v>
      </c>
      <c r="B169">
        <v>2020</v>
      </c>
      <c r="C169" t="s">
        <v>43</v>
      </c>
      <c r="D169">
        <v>152.69999999999999</v>
      </c>
      <c r="E169">
        <v>197</v>
      </c>
      <c r="F169">
        <v>154.6</v>
      </c>
      <c r="G169">
        <v>153.4</v>
      </c>
      <c r="H169">
        <v>132.9</v>
      </c>
      <c r="I169">
        <v>151.80000000000001</v>
      </c>
      <c r="J169">
        <v>171.2</v>
      </c>
      <c r="K169">
        <v>152</v>
      </c>
      <c r="L169">
        <v>116.3</v>
      </c>
      <c r="M169">
        <v>158.80000000000001</v>
      </c>
      <c r="N169">
        <v>135.6</v>
      </c>
      <c r="O169">
        <v>161.69999999999999</v>
      </c>
      <c r="P169">
        <v>157</v>
      </c>
      <c r="Q169">
        <v>154.69999999999999</v>
      </c>
      <c r="R169">
        <v>137.1</v>
      </c>
      <c r="S169">
        <v>140.4</v>
      </c>
      <c r="T169">
        <v>148.1</v>
      </c>
      <c r="U169">
        <v>129.30000000000001</v>
      </c>
      <c r="V169">
        <v>144.5</v>
      </c>
      <c r="W169">
        <v>152.5</v>
      </c>
      <c r="X169">
        <v>152.19999999999999</v>
      </c>
      <c r="Y169">
        <v>142</v>
      </c>
      <c r="Z169">
        <v>150.80000000000001</v>
      </c>
      <c r="AA169" s="1">
        <f>SUM(Table14[[#This Row],[Cereals and products]:[Food and beverages]])/13</f>
        <v>153.46153846153845</v>
      </c>
      <c r="AB169" s="1">
        <f>SUM(Table14[[#This Row],[Fuel and light]])</f>
        <v>137.1</v>
      </c>
      <c r="AC169" s="1">
        <f>SUM(Table14[[#This Row],[Transport and communication]])</f>
        <v>129.30000000000001</v>
      </c>
      <c r="AD169" s="1">
        <f>SUM(Table14[[#This Row],[Housing]],Table14[[#This Row],[Household goods and services]])/2</f>
        <v>147.55000000000001</v>
      </c>
      <c r="AE169" s="1">
        <f>SUM(Table14[[#This Row],[Health]])</f>
        <v>148.1</v>
      </c>
      <c r="AF169" s="1">
        <f>SUM(Table14[[#This Row],[Recreation and amusement]],Table14[[#This Row],[Education]])/2</f>
        <v>148.5</v>
      </c>
      <c r="AG169" s="1">
        <f>SUM(Table14[[#This Row],[Miscellaneous]],Table14[[#This Row],[Personal care and effects]])/2</f>
        <v>147.1</v>
      </c>
    </row>
    <row r="170" spans="1:33" hidden="1" x14ac:dyDescent="0.3">
      <c r="A170" t="s">
        <v>36</v>
      </c>
      <c r="B170">
        <v>2018</v>
      </c>
      <c r="C170" t="s">
        <v>43</v>
      </c>
      <c r="D170">
        <v>135.30000000000001</v>
      </c>
      <c r="E170">
        <v>149.69999999999999</v>
      </c>
      <c r="F170">
        <v>133.9</v>
      </c>
      <c r="G170">
        <v>140.80000000000001</v>
      </c>
      <c r="H170">
        <v>116.6</v>
      </c>
      <c r="I170">
        <v>152.19999999999999</v>
      </c>
      <c r="J170">
        <v>144</v>
      </c>
      <c r="K170">
        <v>112.3</v>
      </c>
      <c r="L170">
        <v>108.4</v>
      </c>
      <c r="M170">
        <v>140</v>
      </c>
      <c r="N170">
        <v>126.7</v>
      </c>
      <c r="O170">
        <v>149</v>
      </c>
      <c r="P170">
        <v>138.4</v>
      </c>
      <c r="Q170">
        <v>142.5</v>
      </c>
      <c r="R170">
        <v>126.5</v>
      </c>
      <c r="S170">
        <v>133.1</v>
      </c>
      <c r="T170">
        <v>132.6</v>
      </c>
      <c r="U170">
        <v>120.4</v>
      </c>
      <c r="V170">
        <v>128.5</v>
      </c>
      <c r="W170">
        <v>141.19999999999999</v>
      </c>
      <c r="X170">
        <v>128.19999999999999</v>
      </c>
      <c r="Y170">
        <v>129.5</v>
      </c>
      <c r="Z170">
        <v>136.19999999999999</v>
      </c>
      <c r="AA170" s="1">
        <f>SUM(Table14[[#This Row],[Cereals and products]:[Food and beverages]])/13</f>
        <v>134.40769230769232</v>
      </c>
      <c r="AB170" s="1">
        <f>SUM(Table14[[#This Row],[Fuel and light]])</f>
        <v>126.5</v>
      </c>
      <c r="AC170" s="1">
        <f>SUM(Table14[[#This Row],[Transport and communication]])</f>
        <v>120.4</v>
      </c>
      <c r="AD170" s="1">
        <f>SUM(Table14[[#This Row],[Housing]],Table14[[#This Row],[Household goods and services]])/2</f>
        <v>137.80000000000001</v>
      </c>
      <c r="AE170" s="1">
        <f>SUM(Table14[[#This Row],[Health]])</f>
        <v>132.6</v>
      </c>
      <c r="AF170" s="1">
        <f>SUM(Table14[[#This Row],[Recreation and amusement]],Table14[[#This Row],[Education]])/2</f>
        <v>134.85</v>
      </c>
      <c r="AG170" s="1">
        <f>SUM(Table14[[#This Row],[Miscellaneous]],Table14[[#This Row],[Personal care and effects]])/2</f>
        <v>128.85</v>
      </c>
    </row>
    <row r="171" spans="1:33" hidden="1" x14ac:dyDescent="0.3">
      <c r="A171" t="s">
        <v>35</v>
      </c>
      <c r="B171">
        <v>2018</v>
      </c>
      <c r="C171" t="s">
        <v>43</v>
      </c>
      <c r="D171">
        <v>136.9</v>
      </c>
      <c r="E171">
        <v>148.69999999999999</v>
      </c>
      <c r="F171">
        <v>135.6</v>
      </c>
      <c r="G171">
        <v>142.30000000000001</v>
      </c>
      <c r="H171">
        <v>121.3</v>
      </c>
      <c r="I171">
        <v>153.19999999999999</v>
      </c>
      <c r="J171">
        <v>143.69999999999999</v>
      </c>
      <c r="K171">
        <v>121.4</v>
      </c>
      <c r="L171">
        <v>111.1</v>
      </c>
      <c r="M171">
        <v>138.4</v>
      </c>
      <c r="N171">
        <v>130.30000000000001</v>
      </c>
      <c r="O171">
        <v>151.80000000000001</v>
      </c>
      <c r="P171">
        <v>139.4</v>
      </c>
      <c r="Q171">
        <v>142.5</v>
      </c>
      <c r="R171">
        <v>138.1</v>
      </c>
      <c r="S171">
        <v>137.9</v>
      </c>
      <c r="T171">
        <v>136.19999999999999</v>
      </c>
      <c r="U171">
        <v>123.7</v>
      </c>
      <c r="V171">
        <v>132.6</v>
      </c>
      <c r="W171">
        <v>142.80000000000001</v>
      </c>
      <c r="X171">
        <v>130.1</v>
      </c>
      <c r="Y171">
        <v>132.6</v>
      </c>
      <c r="Z171">
        <v>138.5</v>
      </c>
      <c r="AA171" s="1">
        <f>SUM(Table14[[#This Row],[Cereals and products]:[Food and beverages]])/13</f>
        <v>136.46923076923079</v>
      </c>
      <c r="AB171" s="1">
        <f>SUM(Table14[[#This Row],[Fuel and light]])</f>
        <v>138.1</v>
      </c>
      <c r="AC171" s="1">
        <f>SUM(Table14[[#This Row],[Transport and communication]])</f>
        <v>123.7</v>
      </c>
      <c r="AD171" s="1">
        <f>SUM(Table14[[#This Row],[Housing]],Table14[[#This Row],[Household goods and services]])/2</f>
        <v>140.19999999999999</v>
      </c>
      <c r="AE171" s="1">
        <f>SUM(Table14[[#This Row],[Health]])</f>
        <v>136.19999999999999</v>
      </c>
      <c r="AF171" s="1">
        <f>SUM(Table14[[#This Row],[Recreation and amusement]],Table14[[#This Row],[Education]])/2</f>
        <v>137.69999999999999</v>
      </c>
      <c r="AG171" s="1">
        <f>SUM(Table14[[#This Row],[Miscellaneous]],Table14[[#This Row],[Personal care and effects]])/2</f>
        <v>131.35</v>
      </c>
    </row>
    <row r="172" spans="1:33" hidden="1" x14ac:dyDescent="0.3">
      <c r="A172" t="s">
        <v>33</v>
      </c>
      <c r="B172">
        <v>2018</v>
      </c>
      <c r="C172" t="s">
        <v>43</v>
      </c>
      <c r="D172">
        <v>137.6</v>
      </c>
      <c r="E172">
        <v>148.1</v>
      </c>
      <c r="F172">
        <v>136.69999999999999</v>
      </c>
      <c r="G172">
        <v>143.19999999999999</v>
      </c>
      <c r="H172">
        <v>124</v>
      </c>
      <c r="I172">
        <v>154.1</v>
      </c>
      <c r="J172">
        <v>143.5</v>
      </c>
      <c r="K172">
        <v>126</v>
      </c>
      <c r="L172">
        <v>112.4</v>
      </c>
      <c r="M172">
        <v>137.6</v>
      </c>
      <c r="N172">
        <v>132.80000000000001</v>
      </c>
      <c r="O172">
        <v>154.30000000000001</v>
      </c>
      <c r="P172">
        <v>140</v>
      </c>
      <c r="Q172">
        <f>AVERAGE(Q170:Q171)</f>
        <v>142.5</v>
      </c>
      <c r="R172">
        <v>145.1</v>
      </c>
      <c r="S172">
        <v>142.19999999999999</v>
      </c>
      <c r="T172">
        <v>138.4</v>
      </c>
      <c r="U172">
        <v>127.4</v>
      </c>
      <c r="V172">
        <v>137.80000000000001</v>
      </c>
      <c r="W172">
        <v>145.1</v>
      </c>
      <c r="X172">
        <v>131.4</v>
      </c>
      <c r="Y172">
        <v>135.6</v>
      </c>
      <c r="Z172">
        <v>140.5</v>
      </c>
      <c r="AA172" s="1">
        <f>SUM(Table14[[#This Row],[Cereals and products]:[Food and beverages]])/13</f>
        <v>137.71538461538461</v>
      </c>
      <c r="AB172" s="1">
        <f>SUM(Table14[[#This Row],[Fuel and light]])</f>
        <v>145.1</v>
      </c>
      <c r="AC172" s="1">
        <f>SUM(Table14[[#This Row],[Transport and communication]])</f>
        <v>127.4</v>
      </c>
      <c r="AD172" s="1">
        <f>SUM(Table14[[#This Row],[Housing]],Table14[[#This Row],[Household goods and services]])/2</f>
        <v>142.35</v>
      </c>
      <c r="AE172" s="1">
        <f>SUM(Table14[[#This Row],[Health]])</f>
        <v>138.4</v>
      </c>
      <c r="AF172" s="1">
        <f>SUM(Table14[[#This Row],[Recreation and amusement]],Table14[[#This Row],[Education]])/2</f>
        <v>141.44999999999999</v>
      </c>
      <c r="AG172" s="1">
        <f>SUM(Table14[[#This Row],[Miscellaneous]],Table14[[#This Row],[Personal care and effects]])/2</f>
        <v>133.5</v>
      </c>
    </row>
    <row r="173" spans="1:33" hidden="1" x14ac:dyDescent="0.3">
      <c r="A173" t="s">
        <v>36</v>
      </c>
      <c r="B173">
        <v>2017</v>
      </c>
      <c r="C173" t="s">
        <v>43</v>
      </c>
      <c r="D173">
        <v>132.9</v>
      </c>
      <c r="E173">
        <v>148.69999999999999</v>
      </c>
      <c r="F173">
        <v>128.30000000000001</v>
      </c>
      <c r="G173">
        <v>137.30000000000001</v>
      </c>
      <c r="H173">
        <v>113.5</v>
      </c>
      <c r="I173">
        <v>137.19999999999999</v>
      </c>
      <c r="J173">
        <v>142.19999999999999</v>
      </c>
      <c r="K173">
        <v>128.19999999999999</v>
      </c>
      <c r="L173">
        <v>120.9</v>
      </c>
      <c r="M173">
        <v>138.80000000000001</v>
      </c>
      <c r="N173">
        <v>124.2</v>
      </c>
      <c r="O173">
        <v>143.1</v>
      </c>
      <c r="P173">
        <v>135.69999999999999</v>
      </c>
      <c r="Q173">
        <v>131.4</v>
      </c>
      <c r="R173">
        <v>119</v>
      </c>
      <c r="S173">
        <v>126.8</v>
      </c>
      <c r="T173">
        <v>123.8</v>
      </c>
      <c r="U173">
        <v>113.9</v>
      </c>
      <c r="V173">
        <v>122.9</v>
      </c>
      <c r="W173">
        <v>134.30000000000001</v>
      </c>
      <c r="X173">
        <v>122.5</v>
      </c>
      <c r="Y173">
        <v>122.7</v>
      </c>
      <c r="Z173">
        <v>129.9</v>
      </c>
      <c r="AA173" s="1">
        <f>SUM(Table14[[#This Row],[Cereals and products]:[Food and beverages]])/13</f>
        <v>133.15384615384616</v>
      </c>
      <c r="AB173" s="1">
        <f>SUM(Table14[[#This Row],[Fuel and light]])</f>
        <v>119</v>
      </c>
      <c r="AC173" s="1">
        <f>SUM(Table14[[#This Row],[Transport and communication]])</f>
        <v>113.9</v>
      </c>
      <c r="AD173" s="1">
        <f>SUM(Table14[[#This Row],[Housing]],Table14[[#This Row],[Household goods and services]])/2</f>
        <v>129.1</v>
      </c>
      <c r="AE173" s="1">
        <f>SUM(Table14[[#This Row],[Health]])</f>
        <v>123.8</v>
      </c>
      <c r="AF173" s="1">
        <f>SUM(Table14[[#This Row],[Recreation and amusement]],Table14[[#This Row],[Education]])/2</f>
        <v>128.60000000000002</v>
      </c>
      <c r="AG173" s="1">
        <f>SUM(Table14[[#This Row],[Miscellaneous]],Table14[[#This Row],[Personal care and effects]])/2</f>
        <v>122.6</v>
      </c>
    </row>
    <row r="174" spans="1:33" hidden="1" x14ac:dyDescent="0.3">
      <c r="A174" t="s">
        <v>35</v>
      </c>
      <c r="B174">
        <v>2017</v>
      </c>
      <c r="C174" t="s">
        <v>43</v>
      </c>
      <c r="D174">
        <v>133.30000000000001</v>
      </c>
      <c r="E174">
        <v>145.5</v>
      </c>
      <c r="F174">
        <v>128.1</v>
      </c>
      <c r="G174">
        <v>138.1</v>
      </c>
      <c r="H174">
        <v>118.2</v>
      </c>
      <c r="I174">
        <v>139.19999999999999</v>
      </c>
      <c r="J174">
        <v>133.30000000000001</v>
      </c>
      <c r="K174">
        <v>136.19999999999999</v>
      </c>
      <c r="L174">
        <v>119.6</v>
      </c>
      <c r="M174">
        <v>135.30000000000001</v>
      </c>
      <c r="N174">
        <v>127.8</v>
      </c>
      <c r="O174">
        <v>144.9</v>
      </c>
      <c r="P174">
        <v>135.19999999999999</v>
      </c>
      <c r="Q174">
        <v>131.4</v>
      </c>
      <c r="R174">
        <v>128.80000000000001</v>
      </c>
      <c r="S174">
        <v>131.19999999999999</v>
      </c>
      <c r="T174">
        <v>128.5</v>
      </c>
      <c r="U174">
        <v>116.5</v>
      </c>
      <c r="V174">
        <v>125.9</v>
      </c>
      <c r="W174">
        <v>135.4</v>
      </c>
      <c r="X174">
        <v>123.4</v>
      </c>
      <c r="Y174">
        <v>125.5</v>
      </c>
      <c r="Z174">
        <v>132</v>
      </c>
      <c r="AA174" s="1">
        <f>SUM(Table14[[#This Row],[Cereals and products]:[Food and beverages]])/13</f>
        <v>133.43846153846155</v>
      </c>
      <c r="AB174" s="1">
        <f>SUM(Table14[[#This Row],[Fuel and light]])</f>
        <v>128.80000000000001</v>
      </c>
      <c r="AC174" s="1">
        <f>SUM(Table14[[#This Row],[Transport and communication]])</f>
        <v>116.5</v>
      </c>
      <c r="AD174" s="1">
        <f>SUM(Table14[[#This Row],[Housing]],Table14[[#This Row],[Household goods and services]])/2</f>
        <v>131.30000000000001</v>
      </c>
      <c r="AE174" s="1">
        <f>SUM(Table14[[#This Row],[Health]])</f>
        <v>128.5</v>
      </c>
      <c r="AF174" s="1">
        <f>SUM(Table14[[#This Row],[Recreation and amusement]],Table14[[#This Row],[Education]])/2</f>
        <v>130.65</v>
      </c>
      <c r="AG174" s="1">
        <f>SUM(Table14[[#This Row],[Miscellaneous]],Table14[[#This Row],[Personal care and effects]])/2</f>
        <v>124.45</v>
      </c>
    </row>
    <row r="175" spans="1:33" hidden="1" x14ac:dyDescent="0.3">
      <c r="A175" t="s">
        <v>33</v>
      </c>
      <c r="B175">
        <v>2017</v>
      </c>
      <c r="C175" t="s">
        <v>43</v>
      </c>
      <c r="D175">
        <v>133.5</v>
      </c>
      <c r="E175">
        <v>143.69999999999999</v>
      </c>
      <c r="F175">
        <v>128</v>
      </c>
      <c r="G175">
        <v>138.6</v>
      </c>
      <c r="H175">
        <v>120.9</v>
      </c>
      <c r="I175">
        <v>140.9</v>
      </c>
      <c r="J175">
        <v>128.80000000000001</v>
      </c>
      <c r="K175">
        <v>140.19999999999999</v>
      </c>
      <c r="L175">
        <v>118.9</v>
      </c>
      <c r="M175">
        <v>133.5</v>
      </c>
      <c r="N175">
        <v>130.4</v>
      </c>
      <c r="O175">
        <v>146.5</v>
      </c>
      <c r="P175">
        <v>134.9</v>
      </c>
      <c r="Q175">
        <f>AVERAGE(Q173:Q174)</f>
        <v>131.4</v>
      </c>
      <c r="R175">
        <v>134.80000000000001</v>
      </c>
      <c r="S175">
        <v>135.19999999999999</v>
      </c>
      <c r="T175">
        <v>131.30000000000001</v>
      </c>
      <c r="U175">
        <v>119.4</v>
      </c>
      <c r="V175">
        <v>129.80000000000001</v>
      </c>
      <c r="W175">
        <v>136.9</v>
      </c>
      <c r="X175">
        <v>124.1</v>
      </c>
      <c r="Y175">
        <v>128.1</v>
      </c>
      <c r="Z175">
        <v>133.9</v>
      </c>
      <c r="AA175" s="1">
        <f>SUM(Table14[[#This Row],[Cereals and products]:[Food and beverages]])/13</f>
        <v>133.75384615384615</v>
      </c>
      <c r="AB175" s="1">
        <f>SUM(Table14[[#This Row],[Fuel and light]])</f>
        <v>134.80000000000001</v>
      </c>
      <c r="AC175" s="1">
        <f>SUM(Table14[[#This Row],[Transport and communication]])</f>
        <v>119.4</v>
      </c>
      <c r="AD175" s="1">
        <f>SUM(Table14[[#This Row],[Housing]],Table14[[#This Row],[Household goods and services]])/2</f>
        <v>133.30000000000001</v>
      </c>
      <c r="AE175" s="1">
        <f>SUM(Table14[[#This Row],[Health]])</f>
        <v>131.30000000000001</v>
      </c>
      <c r="AF175" s="1">
        <f>SUM(Table14[[#This Row],[Recreation and amusement]],Table14[[#This Row],[Education]])/2</f>
        <v>133.35000000000002</v>
      </c>
      <c r="AG175" s="1">
        <f>SUM(Table14[[#This Row],[Miscellaneous]],Table14[[#This Row],[Personal care and effects]])/2</f>
        <v>126.1</v>
      </c>
    </row>
    <row r="176" spans="1:33" hidden="1" x14ac:dyDescent="0.3">
      <c r="A176" t="s">
        <v>36</v>
      </c>
      <c r="B176">
        <v>2016</v>
      </c>
      <c r="C176" t="s">
        <v>43</v>
      </c>
      <c r="D176">
        <v>125.9</v>
      </c>
      <c r="E176">
        <v>143.9</v>
      </c>
      <c r="F176">
        <v>130.9</v>
      </c>
      <c r="G176">
        <v>131</v>
      </c>
      <c r="H176">
        <v>110.2</v>
      </c>
      <c r="I176">
        <v>135.5</v>
      </c>
      <c r="J176">
        <v>173.7</v>
      </c>
      <c r="K176">
        <v>184.4</v>
      </c>
      <c r="L176">
        <v>112</v>
      </c>
      <c r="M176">
        <v>142.80000000000001</v>
      </c>
      <c r="N176">
        <v>121.6</v>
      </c>
      <c r="O176">
        <v>136.9</v>
      </c>
      <c r="P176">
        <v>138.19999999999999</v>
      </c>
      <c r="Q176">
        <v>125.5</v>
      </c>
      <c r="R176">
        <v>115.5</v>
      </c>
      <c r="S176">
        <v>123.2</v>
      </c>
      <c r="T176">
        <v>120.6</v>
      </c>
      <c r="U176">
        <v>112.3</v>
      </c>
      <c r="V176">
        <v>119.9</v>
      </c>
      <c r="W176">
        <v>129.30000000000001</v>
      </c>
      <c r="X176">
        <v>118.8</v>
      </c>
      <c r="Y176">
        <v>119.6</v>
      </c>
      <c r="Z176">
        <v>128.1</v>
      </c>
      <c r="AA176" s="1">
        <f>SUM(Table14[[#This Row],[Cereals and products]:[Food and beverages]])/13</f>
        <v>137.46153846153848</v>
      </c>
      <c r="AB176" s="1">
        <f>SUM(Table14[[#This Row],[Fuel and light]])</f>
        <v>115.5</v>
      </c>
      <c r="AC176" s="1">
        <f>SUM(Table14[[#This Row],[Transport and communication]])</f>
        <v>112.3</v>
      </c>
      <c r="AD176" s="1">
        <f>SUM(Table14[[#This Row],[Housing]],Table14[[#This Row],[Household goods and services]])/2</f>
        <v>124.35</v>
      </c>
      <c r="AE176" s="1">
        <f>SUM(Table14[[#This Row],[Health]])</f>
        <v>120.6</v>
      </c>
      <c r="AF176" s="1">
        <f>SUM(Table14[[#This Row],[Recreation and amusement]],Table14[[#This Row],[Education]])/2</f>
        <v>124.60000000000001</v>
      </c>
      <c r="AG176" s="1">
        <f>SUM(Table14[[#This Row],[Miscellaneous]],Table14[[#This Row],[Personal care and effects]])/2</f>
        <v>119.19999999999999</v>
      </c>
    </row>
    <row r="177" spans="1:33" hidden="1" x14ac:dyDescent="0.3">
      <c r="A177" t="s">
        <v>35</v>
      </c>
      <c r="B177">
        <v>2016</v>
      </c>
      <c r="C177" t="s">
        <v>43</v>
      </c>
      <c r="D177">
        <v>127.7</v>
      </c>
      <c r="E177">
        <v>140.5</v>
      </c>
      <c r="F177">
        <v>128.30000000000001</v>
      </c>
      <c r="G177">
        <v>132.6</v>
      </c>
      <c r="H177">
        <v>115.5</v>
      </c>
      <c r="I177">
        <v>136.5</v>
      </c>
      <c r="J177">
        <v>159.69999999999999</v>
      </c>
      <c r="K177">
        <v>174.3</v>
      </c>
      <c r="L177">
        <v>109.9</v>
      </c>
      <c r="M177">
        <v>136.30000000000001</v>
      </c>
      <c r="N177">
        <v>124.4</v>
      </c>
      <c r="O177">
        <v>138.1</v>
      </c>
      <c r="P177">
        <v>136.80000000000001</v>
      </c>
      <c r="Q177">
        <v>125.5</v>
      </c>
      <c r="R177">
        <v>123.3</v>
      </c>
      <c r="S177">
        <v>126.4</v>
      </c>
      <c r="T177">
        <v>124.1</v>
      </c>
      <c r="U177">
        <v>114.2</v>
      </c>
      <c r="V177">
        <v>121.7</v>
      </c>
      <c r="W177">
        <v>129.69999999999999</v>
      </c>
      <c r="X177">
        <v>119.4</v>
      </c>
      <c r="Y177">
        <v>121.5</v>
      </c>
      <c r="Z177">
        <v>130.1</v>
      </c>
      <c r="AA177" s="1">
        <f>SUM(Table14[[#This Row],[Cereals and products]:[Food and beverages]])/13</f>
        <v>135.43076923076922</v>
      </c>
      <c r="AB177" s="1">
        <f>SUM(Table14[[#This Row],[Fuel and light]])</f>
        <v>123.3</v>
      </c>
      <c r="AC177" s="1">
        <f>SUM(Table14[[#This Row],[Transport and communication]])</f>
        <v>114.2</v>
      </c>
      <c r="AD177" s="1">
        <f>SUM(Table14[[#This Row],[Housing]],Table14[[#This Row],[Household goods and services]])/2</f>
        <v>125.95</v>
      </c>
      <c r="AE177" s="1">
        <f>SUM(Table14[[#This Row],[Health]])</f>
        <v>124.1</v>
      </c>
      <c r="AF177" s="1">
        <f>SUM(Table14[[#This Row],[Recreation and amusement]],Table14[[#This Row],[Education]])/2</f>
        <v>125.69999999999999</v>
      </c>
      <c r="AG177" s="1">
        <f>SUM(Table14[[#This Row],[Miscellaneous]],Table14[[#This Row],[Personal care and effects]])/2</f>
        <v>120.45</v>
      </c>
    </row>
    <row r="178" spans="1:33" hidden="1" x14ac:dyDescent="0.3">
      <c r="A178" t="s">
        <v>33</v>
      </c>
      <c r="B178">
        <v>2016</v>
      </c>
      <c r="C178" t="s">
        <v>43</v>
      </c>
      <c r="D178">
        <v>128.6</v>
      </c>
      <c r="E178">
        <v>138.6</v>
      </c>
      <c r="F178">
        <v>126.6</v>
      </c>
      <c r="G178">
        <v>133.6</v>
      </c>
      <c r="H178">
        <v>118.6</v>
      </c>
      <c r="I178">
        <v>137.4</v>
      </c>
      <c r="J178">
        <v>152.5</v>
      </c>
      <c r="K178">
        <v>169.2</v>
      </c>
      <c r="L178">
        <v>108.8</v>
      </c>
      <c r="M178">
        <v>133.1</v>
      </c>
      <c r="N178">
        <v>126.4</v>
      </c>
      <c r="O178">
        <v>139.19999999999999</v>
      </c>
      <c r="P178">
        <v>136</v>
      </c>
      <c r="Q178">
        <f>AVERAGE(Q176:Q177)</f>
        <v>125.5</v>
      </c>
      <c r="R178">
        <v>128</v>
      </c>
      <c r="S178">
        <v>129.30000000000001</v>
      </c>
      <c r="T178">
        <v>126.2</v>
      </c>
      <c r="U178">
        <v>116.3</v>
      </c>
      <c r="V178">
        <v>124.1</v>
      </c>
      <c r="W178">
        <v>130.19999999999999</v>
      </c>
      <c r="X178">
        <v>119.9</v>
      </c>
      <c r="Y178">
        <v>123.3</v>
      </c>
      <c r="Z178">
        <v>131.9</v>
      </c>
      <c r="AA178" s="1">
        <f>SUM(Table14[[#This Row],[Cereals and products]:[Food and beverages]])/13</f>
        <v>134.50769230769231</v>
      </c>
      <c r="AB178" s="1">
        <f>SUM(Table14[[#This Row],[Fuel and light]])</f>
        <v>128</v>
      </c>
      <c r="AC178" s="1">
        <f>SUM(Table14[[#This Row],[Transport and communication]])</f>
        <v>116.3</v>
      </c>
      <c r="AD178" s="1">
        <f>SUM(Table14[[#This Row],[Housing]],Table14[[#This Row],[Household goods and services]])/2</f>
        <v>127.4</v>
      </c>
      <c r="AE178" s="1">
        <f>SUM(Table14[[#This Row],[Health]])</f>
        <v>126.2</v>
      </c>
      <c r="AF178" s="1">
        <f>SUM(Table14[[#This Row],[Recreation and amusement]],Table14[[#This Row],[Education]])/2</f>
        <v>127.14999999999999</v>
      </c>
      <c r="AG178" s="1">
        <f>SUM(Table14[[#This Row],[Miscellaneous]],Table14[[#This Row],[Personal care and effects]])/2</f>
        <v>121.6</v>
      </c>
    </row>
    <row r="179" spans="1:33" hidden="1" x14ac:dyDescent="0.3">
      <c r="A179" t="s">
        <v>36</v>
      </c>
      <c r="B179">
        <v>2015</v>
      </c>
      <c r="C179" t="s">
        <v>43</v>
      </c>
      <c r="D179">
        <v>123.6</v>
      </c>
      <c r="E179">
        <v>134.4</v>
      </c>
      <c r="F179">
        <v>120.9</v>
      </c>
      <c r="G179">
        <v>127.3</v>
      </c>
      <c r="H179">
        <v>106</v>
      </c>
      <c r="I179">
        <v>132.30000000000001</v>
      </c>
      <c r="J179">
        <v>146.69999999999999</v>
      </c>
      <c r="K179">
        <v>148.1</v>
      </c>
      <c r="L179">
        <v>89.8</v>
      </c>
      <c r="M179">
        <v>130.5</v>
      </c>
      <c r="N179">
        <v>118</v>
      </c>
      <c r="O179">
        <v>130.5</v>
      </c>
      <c r="P179">
        <v>128.5</v>
      </c>
      <c r="Q179">
        <v>119</v>
      </c>
      <c r="R179">
        <v>115.1</v>
      </c>
      <c r="S179">
        <v>119.2</v>
      </c>
      <c r="T179">
        <v>115.4</v>
      </c>
      <c r="U179">
        <v>111.7</v>
      </c>
      <c r="V179">
        <v>116.2</v>
      </c>
      <c r="W179">
        <v>123.8</v>
      </c>
      <c r="X179">
        <v>112.5</v>
      </c>
      <c r="Y179">
        <v>116</v>
      </c>
      <c r="Z179">
        <v>121.7</v>
      </c>
      <c r="AA179" s="1">
        <f>SUM(Table14[[#This Row],[Cereals and products]:[Food and beverages]])/13</f>
        <v>125.89230769230768</v>
      </c>
      <c r="AB179" s="1">
        <f>SUM(Table14[[#This Row],[Fuel and light]])</f>
        <v>115.1</v>
      </c>
      <c r="AC179" s="1">
        <f>SUM(Table14[[#This Row],[Transport and communication]])</f>
        <v>111.7</v>
      </c>
      <c r="AD179" s="1">
        <f>SUM(Table14[[#This Row],[Housing]],Table14[[#This Row],[Household goods and services]])/2</f>
        <v>119.1</v>
      </c>
      <c r="AE179" s="1">
        <f>SUM(Table14[[#This Row],[Health]])</f>
        <v>115.4</v>
      </c>
      <c r="AF179" s="1">
        <f>SUM(Table14[[#This Row],[Recreation and amusement]],Table14[[#This Row],[Education]])/2</f>
        <v>120</v>
      </c>
      <c r="AG179" s="1">
        <f>SUM(Table14[[#This Row],[Miscellaneous]],Table14[[#This Row],[Personal care and effects]])/2</f>
        <v>114.25</v>
      </c>
    </row>
    <row r="180" spans="1:33" hidden="1" x14ac:dyDescent="0.3">
      <c r="A180" t="s">
        <v>35</v>
      </c>
      <c r="B180">
        <v>2015</v>
      </c>
      <c r="C180" t="s">
        <v>43</v>
      </c>
      <c r="D180">
        <v>123.9</v>
      </c>
      <c r="E180">
        <v>131.80000000000001</v>
      </c>
      <c r="F180">
        <v>121.6</v>
      </c>
      <c r="G180">
        <v>128.19999999999999</v>
      </c>
      <c r="H180">
        <v>111.1</v>
      </c>
      <c r="I180">
        <v>132.80000000000001</v>
      </c>
      <c r="J180">
        <v>139.1</v>
      </c>
      <c r="K180">
        <v>137.4</v>
      </c>
      <c r="L180">
        <v>94.1</v>
      </c>
      <c r="M180">
        <v>125.5</v>
      </c>
      <c r="N180">
        <v>119.8</v>
      </c>
      <c r="O180">
        <v>130.9</v>
      </c>
      <c r="P180">
        <v>127.3</v>
      </c>
      <c r="Q180">
        <v>119</v>
      </c>
      <c r="R180">
        <v>119.8</v>
      </c>
      <c r="S180">
        <v>121.1</v>
      </c>
      <c r="T180">
        <v>118.5</v>
      </c>
      <c r="U180">
        <v>112.9</v>
      </c>
      <c r="V180">
        <v>116.9</v>
      </c>
      <c r="W180">
        <v>123.1</v>
      </c>
      <c r="X180">
        <v>112.8</v>
      </c>
      <c r="Y180">
        <v>117</v>
      </c>
      <c r="Z180">
        <v>123</v>
      </c>
      <c r="AA180" s="1">
        <f>SUM(Table14[[#This Row],[Cereals and products]:[Food and beverages]])/13</f>
        <v>124.88461538461539</v>
      </c>
      <c r="AB180" s="1">
        <f>SUM(Table14[[#This Row],[Fuel and light]])</f>
        <v>119.8</v>
      </c>
      <c r="AC180" s="1">
        <f>SUM(Table14[[#This Row],[Transport and communication]])</f>
        <v>112.9</v>
      </c>
      <c r="AD180" s="1">
        <f>SUM(Table14[[#This Row],[Housing]],Table14[[#This Row],[Household goods and services]])/2</f>
        <v>120.05</v>
      </c>
      <c r="AE180" s="1">
        <f>SUM(Table14[[#This Row],[Health]])</f>
        <v>118.5</v>
      </c>
      <c r="AF180" s="1">
        <f>SUM(Table14[[#This Row],[Recreation and amusement]],Table14[[#This Row],[Education]])/2</f>
        <v>120</v>
      </c>
      <c r="AG180" s="1">
        <f>SUM(Table14[[#This Row],[Miscellaneous]],Table14[[#This Row],[Personal care and effects]])/2</f>
        <v>114.9</v>
      </c>
    </row>
    <row r="181" spans="1:33" hidden="1" x14ac:dyDescent="0.3">
      <c r="A181" t="s">
        <v>33</v>
      </c>
      <c r="B181">
        <v>2015</v>
      </c>
      <c r="C181" t="s">
        <v>43</v>
      </c>
      <c r="D181">
        <v>124.1</v>
      </c>
      <c r="E181">
        <v>130.4</v>
      </c>
      <c r="F181">
        <v>122.1</v>
      </c>
      <c r="G181">
        <v>128.69999999999999</v>
      </c>
      <c r="H181">
        <v>114.1</v>
      </c>
      <c r="I181">
        <v>133.19999999999999</v>
      </c>
      <c r="J181">
        <v>135.19999999999999</v>
      </c>
      <c r="K181">
        <v>131.9</v>
      </c>
      <c r="L181">
        <v>96.3</v>
      </c>
      <c r="M181">
        <v>123</v>
      </c>
      <c r="N181">
        <v>121.1</v>
      </c>
      <c r="O181">
        <v>131.19999999999999</v>
      </c>
      <c r="P181">
        <v>126.6</v>
      </c>
      <c r="Q181">
        <f>AVERAGE(Q179:Q180)</f>
        <v>119</v>
      </c>
      <c r="R181">
        <v>122.6</v>
      </c>
      <c r="S181">
        <v>122.8</v>
      </c>
      <c r="T181">
        <v>120.4</v>
      </c>
      <c r="U181">
        <v>114.2</v>
      </c>
      <c r="V181">
        <v>117.9</v>
      </c>
      <c r="W181">
        <v>122</v>
      </c>
      <c r="X181">
        <v>113</v>
      </c>
      <c r="Y181">
        <v>117.9</v>
      </c>
      <c r="Z181">
        <v>124.1</v>
      </c>
      <c r="AA181" s="1">
        <f>SUM(Table14[[#This Row],[Cereals and products]:[Food and beverages]])/13</f>
        <v>124.45384615384614</v>
      </c>
      <c r="AB181" s="1">
        <f>SUM(Table14[[#This Row],[Fuel and light]])</f>
        <v>122.6</v>
      </c>
      <c r="AC181" s="1">
        <f>SUM(Table14[[#This Row],[Transport and communication]])</f>
        <v>114.2</v>
      </c>
      <c r="AD181" s="1">
        <f>SUM(Table14[[#This Row],[Housing]],Table14[[#This Row],[Household goods and services]])/2</f>
        <v>120.9</v>
      </c>
      <c r="AE181" s="1">
        <f>SUM(Table14[[#This Row],[Health]])</f>
        <v>120.4</v>
      </c>
      <c r="AF181" s="1">
        <f>SUM(Table14[[#This Row],[Recreation and amusement]],Table14[[#This Row],[Education]])/2</f>
        <v>119.95</v>
      </c>
      <c r="AG181" s="1">
        <f>SUM(Table14[[#This Row],[Miscellaneous]],Table14[[#This Row],[Personal care and effects]])/2</f>
        <v>115.45</v>
      </c>
    </row>
    <row r="182" spans="1:33" hidden="1" x14ac:dyDescent="0.3">
      <c r="A182" t="s">
        <v>33</v>
      </c>
      <c r="B182">
        <v>2014</v>
      </c>
      <c r="C182" t="s">
        <v>43</v>
      </c>
      <c r="D182">
        <v>120.7</v>
      </c>
      <c r="E182">
        <v>121.6</v>
      </c>
      <c r="F182">
        <v>116.1</v>
      </c>
      <c r="G182">
        <v>119.3</v>
      </c>
      <c r="H182">
        <v>110.3</v>
      </c>
      <c r="I182">
        <v>125.8</v>
      </c>
      <c r="J182">
        <v>129.30000000000001</v>
      </c>
      <c r="K182">
        <v>112.2</v>
      </c>
      <c r="L182">
        <v>103.6</v>
      </c>
      <c r="M182">
        <v>112.3</v>
      </c>
      <c r="N182">
        <v>114.9</v>
      </c>
      <c r="O182">
        <v>120.1</v>
      </c>
      <c r="P182">
        <v>119.5</v>
      </c>
      <c r="Q182">
        <f>AVERAGE(Q183:Q184)</f>
        <v>113.9</v>
      </c>
      <c r="R182">
        <v>114.4</v>
      </c>
      <c r="S182">
        <v>114.9</v>
      </c>
      <c r="T182">
        <v>112.8</v>
      </c>
      <c r="U182">
        <v>112.2</v>
      </c>
      <c r="V182">
        <v>111.4</v>
      </c>
      <c r="W182">
        <v>114.3</v>
      </c>
      <c r="X182">
        <v>108</v>
      </c>
      <c r="Y182">
        <v>112.3</v>
      </c>
      <c r="Z182">
        <v>117</v>
      </c>
      <c r="AA182" s="1">
        <f>SUM(Table14[[#This Row],[Cereals and products]:[Food and beverages]])/13</f>
        <v>117.36153846153844</v>
      </c>
      <c r="AB182" s="1">
        <f>SUM(Table14[[#This Row],[Fuel and light]])</f>
        <v>114.4</v>
      </c>
      <c r="AC182" s="1">
        <f>SUM(Table14[[#This Row],[Transport and communication]])</f>
        <v>112.2</v>
      </c>
      <c r="AD182" s="1">
        <f>SUM(Table14[[#This Row],[Housing]],Table14[[#This Row],[Household goods and services]])/2</f>
        <v>114.4</v>
      </c>
      <c r="AE182" s="1">
        <f>SUM(Table14[[#This Row],[Health]])</f>
        <v>112.8</v>
      </c>
      <c r="AF182" s="1">
        <f>SUM(Table14[[#This Row],[Recreation and amusement]],Table14[[#This Row],[Education]])/2</f>
        <v>112.85</v>
      </c>
      <c r="AG182" s="1">
        <f>SUM(Table14[[#This Row],[Miscellaneous]],Table14[[#This Row],[Personal care and effects]])/2</f>
        <v>110.15</v>
      </c>
    </row>
    <row r="183" spans="1:33" hidden="1" x14ac:dyDescent="0.3">
      <c r="A183" t="s">
        <v>35</v>
      </c>
      <c r="B183">
        <v>2014</v>
      </c>
      <c r="C183" t="s">
        <v>43</v>
      </c>
      <c r="D183">
        <v>121.5</v>
      </c>
      <c r="E183">
        <v>123.1</v>
      </c>
      <c r="F183">
        <v>115.8</v>
      </c>
      <c r="G183">
        <v>119.7</v>
      </c>
      <c r="H183">
        <v>107.8</v>
      </c>
      <c r="I183">
        <v>128.30000000000001</v>
      </c>
      <c r="J183">
        <v>132.1</v>
      </c>
      <c r="K183">
        <v>112.4</v>
      </c>
      <c r="L183">
        <v>102.9</v>
      </c>
      <c r="M183">
        <v>114.3</v>
      </c>
      <c r="N183">
        <v>114.2</v>
      </c>
      <c r="O183">
        <v>121.2</v>
      </c>
      <c r="P183">
        <v>120.4</v>
      </c>
      <c r="Q183">
        <v>113.9</v>
      </c>
      <c r="R183">
        <v>113.2</v>
      </c>
      <c r="S183">
        <v>114.6</v>
      </c>
      <c r="T183">
        <v>112.3</v>
      </c>
      <c r="U183">
        <v>111.8</v>
      </c>
      <c r="V183">
        <v>111.6</v>
      </c>
      <c r="W183">
        <v>114.8</v>
      </c>
      <c r="X183">
        <v>108.3</v>
      </c>
      <c r="Y183">
        <v>112.3</v>
      </c>
      <c r="Z183">
        <v>116.7</v>
      </c>
      <c r="AA183" s="1">
        <f>SUM(Table14[[#This Row],[Cereals and products]:[Food and beverages]])/13</f>
        <v>117.9769230769231</v>
      </c>
      <c r="AB183" s="1">
        <f>SUM(Table14[[#This Row],[Fuel and light]])</f>
        <v>113.2</v>
      </c>
      <c r="AC183" s="1">
        <f>SUM(Table14[[#This Row],[Transport and communication]])</f>
        <v>111.8</v>
      </c>
      <c r="AD183" s="1">
        <f>SUM(Table14[[#This Row],[Housing]],Table14[[#This Row],[Household goods and services]])/2</f>
        <v>114.25</v>
      </c>
      <c r="AE183" s="1">
        <f>SUM(Table14[[#This Row],[Health]])</f>
        <v>112.3</v>
      </c>
      <c r="AF183" s="1">
        <f>SUM(Table14[[#This Row],[Recreation and amusement]],Table14[[#This Row],[Education]])/2</f>
        <v>113.19999999999999</v>
      </c>
      <c r="AG183" s="1">
        <f>SUM(Table14[[#This Row],[Miscellaneous]],Table14[[#This Row],[Personal care and effects]])/2</f>
        <v>110.3</v>
      </c>
    </row>
    <row r="184" spans="1:33" hidden="1" x14ac:dyDescent="0.3">
      <c r="A184" t="s">
        <v>36</v>
      </c>
      <c r="B184">
        <v>2014</v>
      </c>
      <c r="C184" t="s">
        <v>43</v>
      </c>
      <c r="D184">
        <v>123.1</v>
      </c>
      <c r="E184">
        <v>125.9</v>
      </c>
      <c r="F184">
        <v>115.4</v>
      </c>
      <c r="G184">
        <v>120.4</v>
      </c>
      <c r="H184">
        <v>103.4</v>
      </c>
      <c r="I184">
        <v>131.19999999999999</v>
      </c>
      <c r="J184">
        <v>137.5</v>
      </c>
      <c r="K184">
        <v>112.8</v>
      </c>
      <c r="L184">
        <v>101.4</v>
      </c>
      <c r="M184">
        <v>118.3</v>
      </c>
      <c r="N184">
        <v>113.2</v>
      </c>
      <c r="O184">
        <v>122.4</v>
      </c>
      <c r="P184">
        <v>122</v>
      </c>
      <c r="Q184">
        <v>113.9</v>
      </c>
      <c r="R184">
        <v>111.2</v>
      </c>
      <c r="S184">
        <v>114.3</v>
      </c>
      <c r="T184">
        <v>111.4</v>
      </c>
      <c r="U184">
        <v>111.5</v>
      </c>
      <c r="V184">
        <v>111.8</v>
      </c>
      <c r="W184">
        <v>115.1</v>
      </c>
      <c r="X184">
        <v>108.7</v>
      </c>
      <c r="Y184">
        <v>112.2</v>
      </c>
      <c r="Z184">
        <v>116.4</v>
      </c>
      <c r="AA184" s="1">
        <f>SUM(Table14[[#This Row],[Cereals and products]:[Food and beverages]])/13</f>
        <v>119</v>
      </c>
      <c r="AB184" s="1">
        <f>SUM(Table14[[#This Row],[Fuel and light]])</f>
        <v>111.2</v>
      </c>
      <c r="AC184" s="1">
        <f>SUM(Table14[[#This Row],[Transport and communication]])</f>
        <v>111.5</v>
      </c>
      <c r="AD184" s="1">
        <f>SUM(Table14[[#This Row],[Housing]],Table14[[#This Row],[Household goods and services]])/2</f>
        <v>114.1</v>
      </c>
      <c r="AE184" s="1">
        <f>SUM(Table14[[#This Row],[Health]])</f>
        <v>111.4</v>
      </c>
      <c r="AF184" s="1">
        <f>SUM(Table14[[#This Row],[Recreation and amusement]],Table14[[#This Row],[Education]])/2</f>
        <v>113.44999999999999</v>
      </c>
      <c r="AG184" s="1">
        <f>SUM(Table14[[#This Row],[Miscellaneous]],Table14[[#This Row],[Personal care and effects]])/2</f>
        <v>110.45</v>
      </c>
    </row>
    <row r="185" spans="1:33" hidden="1" x14ac:dyDescent="0.3">
      <c r="A185" t="s">
        <v>33</v>
      </c>
      <c r="B185">
        <v>2013</v>
      </c>
      <c r="C185" t="s">
        <v>43</v>
      </c>
      <c r="D185">
        <v>112.3</v>
      </c>
      <c r="E185">
        <v>112.1</v>
      </c>
      <c r="F185">
        <v>108.1</v>
      </c>
      <c r="G185">
        <v>108.3</v>
      </c>
      <c r="H185">
        <v>105.9</v>
      </c>
      <c r="I185">
        <v>109.2</v>
      </c>
      <c r="J185">
        <v>118</v>
      </c>
      <c r="K185">
        <v>106.8</v>
      </c>
      <c r="L185">
        <v>104.1</v>
      </c>
      <c r="M185">
        <v>105.4</v>
      </c>
      <c r="N185">
        <v>108.2</v>
      </c>
      <c r="O185">
        <v>111</v>
      </c>
      <c r="P185">
        <v>110.6</v>
      </c>
      <c r="Q185">
        <f>AVERAGE(Q186:Q187)</f>
        <v>106.6</v>
      </c>
      <c r="R185">
        <v>108.5</v>
      </c>
      <c r="S185">
        <v>107.5</v>
      </c>
      <c r="T185">
        <v>106.3</v>
      </c>
      <c r="U185">
        <v>105</v>
      </c>
      <c r="V185">
        <v>105.6</v>
      </c>
      <c r="W185">
        <v>106.5</v>
      </c>
      <c r="X185">
        <v>102.5</v>
      </c>
      <c r="Y185">
        <v>105.5</v>
      </c>
      <c r="Z185">
        <v>108.9</v>
      </c>
      <c r="AA185" s="1">
        <f>SUM(Table14[[#This Row],[Cereals and products]:[Food and beverages]])/13</f>
        <v>109.23076923076923</v>
      </c>
      <c r="AB185" s="1">
        <f>SUM(Table14[[#This Row],[Fuel and light]])</f>
        <v>108.5</v>
      </c>
      <c r="AC185" s="1">
        <f>SUM(Table14[[#This Row],[Transport and communication]])</f>
        <v>105</v>
      </c>
      <c r="AD185" s="1">
        <f>SUM(Table14[[#This Row],[Housing]],Table14[[#This Row],[Household goods and services]])/2</f>
        <v>107.05</v>
      </c>
      <c r="AE185" s="1">
        <f>SUM(Table14[[#This Row],[Health]])</f>
        <v>106.3</v>
      </c>
      <c r="AF185" s="1">
        <f>SUM(Table14[[#This Row],[Recreation and amusement]],Table14[[#This Row],[Education]])/2</f>
        <v>106.05</v>
      </c>
      <c r="AG185" s="1">
        <f>SUM(Table14[[#This Row],[Miscellaneous]],Table14[[#This Row],[Personal care and effects]])/2</f>
        <v>104</v>
      </c>
    </row>
    <row r="186" spans="1:33" hidden="1" x14ac:dyDescent="0.3">
      <c r="A186" t="s">
        <v>35</v>
      </c>
      <c r="B186">
        <v>2013</v>
      </c>
      <c r="C186" t="s">
        <v>43</v>
      </c>
      <c r="D186">
        <v>113.8</v>
      </c>
      <c r="E186">
        <v>114.9</v>
      </c>
      <c r="F186">
        <v>109.8</v>
      </c>
      <c r="G186">
        <v>107.9</v>
      </c>
      <c r="H186">
        <v>104.2</v>
      </c>
      <c r="I186">
        <v>110.7</v>
      </c>
      <c r="J186">
        <v>126.7</v>
      </c>
      <c r="K186">
        <v>106.3</v>
      </c>
      <c r="L186">
        <v>103.2</v>
      </c>
      <c r="M186">
        <v>105.7</v>
      </c>
      <c r="N186">
        <v>109</v>
      </c>
      <c r="O186">
        <v>111.6</v>
      </c>
      <c r="P186">
        <v>112.2</v>
      </c>
      <c r="Q186">
        <v>106.6</v>
      </c>
      <c r="R186">
        <v>108.3</v>
      </c>
      <c r="S186">
        <v>107.6</v>
      </c>
      <c r="T186">
        <v>106.4</v>
      </c>
      <c r="U186">
        <v>105.1</v>
      </c>
      <c r="V186">
        <v>105.4</v>
      </c>
      <c r="W186">
        <v>107.4</v>
      </c>
      <c r="X186">
        <v>102.8</v>
      </c>
      <c r="Y186">
        <v>105.8</v>
      </c>
      <c r="Z186">
        <v>109.3</v>
      </c>
      <c r="AA186" s="1">
        <f>SUM(Table14[[#This Row],[Cereals and products]:[Food and beverages]])/13</f>
        <v>110.46153846153847</v>
      </c>
      <c r="AB186" s="1">
        <f>SUM(Table14[[#This Row],[Fuel and light]])</f>
        <v>108.3</v>
      </c>
      <c r="AC186" s="1">
        <f>SUM(Table14[[#This Row],[Transport and communication]])</f>
        <v>105.1</v>
      </c>
      <c r="AD186" s="1">
        <f>SUM(Table14[[#This Row],[Housing]],Table14[[#This Row],[Household goods and services]])/2</f>
        <v>107.1</v>
      </c>
      <c r="AE186" s="1">
        <f>SUM(Table14[[#This Row],[Health]])</f>
        <v>106.4</v>
      </c>
      <c r="AF186" s="1">
        <f>SUM(Table14[[#This Row],[Recreation and amusement]],Table14[[#This Row],[Education]])/2</f>
        <v>106.4</v>
      </c>
      <c r="AG186" s="1">
        <f>SUM(Table14[[#This Row],[Miscellaneous]],Table14[[#This Row],[Personal care and effects]])/2</f>
        <v>104.3</v>
      </c>
    </row>
    <row r="187" spans="1:33" hidden="1" x14ac:dyDescent="0.3">
      <c r="A187" t="s">
        <v>36</v>
      </c>
      <c r="B187">
        <v>2013</v>
      </c>
      <c r="C187" t="s">
        <v>43</v>
      </c>
      <c r="D187">
        <v>117</v>
      </c>
      <c r="E187">
        <v>120.1</v>
      </c>
      <c r="F187">
        <v>112.5</v>
      </c>
      <c r="G187">
        <v>107.3</v>
      </c>
      <c r="H187">
        <v>101.3</v>
      </c>
      <c r="I187">
        <v>112.4</v>
      </c>
      <c r="J187">
        <v>143.6</v>
      </c>
      <c r="K187">
        <v>105.4</v>
      </c>
      <c r="L187">
        <v>101.4</v>
      </c>
      <c r="M187">
        <v>106.4</v>
      </c>
      <c r="N187">
        <v>110</v>
      </c>
      <c r="O187">
        <v>112.2</v>
      </c>
      <c r="P187">
        <v>115</v>
      </c>
      <c r="Q187">
        <v>106.6</v>
      </c>
      <c r="R187">
        <v>108</v>
      </c>
      <c r="S187">
        <v>107.7</v>
      </c>
      <c r="T187">
        <v>106.5</v>
      </c>
      <c r="U187">
        <v>105.2</v>
      </c>
      <c r="V187">
        <v>105.2</v>
      </c>
      <c r="W187">
        <v>108.1</v>
      </c>
      <c r="X187">
        <v>103.3</v>
      </c>
      <c r="Y187">
        <v>106.1</v>
      </c>
      <c r="Z187">
        <v>109.7</v>
      </c>
      <c r="AA187" s="1">
        <f>SUM(Table14[[#This Row],[Cereals and products]:[Food and beverages]])/13</f>
        <v>112.66153846153847</v>
      </c>
      <c r="AB187" s="1">
        <f>SUM(Table14[[#This Row],[Fuel and light]])</f>
        <v>108</v>
      </c>
      <c r="AC187" s="1">
        <f>SUM(Table14[[#This Row],[Transport and communication]])</f>
        <v>105.2</v>
      </c>
      <c r="AD187" s="1">
        <f>SUM(Table14[[#This Row],[Housing]],Table14[[#This Row],[Household goods and services]])/2</f>
        <v>107.15</v>
      </c>
      <c r="AE187" s="1">
        <f>SUM(Table14[[#This Row],[Health]])</f>
        <v>106.5</v>
      </c>
      <c r="AF187" s="1">
        <f>SUM(Table14[[#This Row],[Recreation and amusement]],Table14[[#This Row],[Education]])/2</f>
        <v>106.65</v>
      </c>
      <c r="AG187" s="1">
        <f>SUM(Table14[[#This Row],[Miscellaneous]],Table14[[#This Row],[Personal care and effects]])/2</f>
        <v>104.69999999999999</v>
      </c>
    </row>
    <row r="188" spans="1:33" x14ac:dyDescent="0.3">
      <c r="A188" t="s">
        <v>33</v>
      </c>
      <c r="B188">
        <v>2022</v>
      </c>
      <c r="C188" t="s">
        <v>42</v>
      </c>
      <c r="D188">
        <v>155.19999999999999</v>
      </c>
      <c r="E188">
        <v>210.8</v>
      </c>
      <c r="F188">
        <v>174.3</v>
      </c>
      <c r="G188">
        <v>166.3</v>
      </c>
      <c r="H188">
        <v>202.2</v>
      </c>
      <c r="I188">
        <v>169.6</v>
      </c>
      <c r="J188">
        <v>168.6</v>
      </c>
      <c r="K188">
        <v>164.4</v>
      </c>
      <c r="L188">
        <v>119.2</v>
      </c>
      <c r="M188">
        <v>191.8</v>
      </c>
      <c r="N188">
        <v>174.5</v>
      </c>
      <c r="O188">
        <v>183.1</v>
      </c>
      <c r="P188">
        <v>172.5</v>
      </c>
      <c r="Q188">
        <f>AVERAGE(Q189:Q190)</f>
        <v>167.8</v>
      </c>
      <c r="R188">
        <v>179.6</v>
      </c>
      <c r="S188">
        <v>171.3</v>
      </c>
      <c r="T188">
        <v>178.8</v>
      </c>
      <c r="U188">
        <v>166.3</v>
      </c>
      <c r="V188">
        <v>168.6</v>
      </c>
      <c r="W188">
        <v>174.7</v>
      </c>
      <c r="X188">
        <v>169.7</v>
      </c>
      <c r="Y188">
        <v>171.8</v>
      </c>
      <c r="Z188">
        <v>174.3</v>
      </c>
      <c r="AA188" s="1">
        <f>SUM(Table14[[#This Row],[Cereals and products]:[Food and beverages]])/13</f>
        <v>173.26923076923077</v>
      </c>
      <c r="AB188" s="1">
        <f>SUM(Table14[[#This Row],[Fuel and light]])</f>
        <v>179.6</v>
      </c>
      <c r="AC188" s="1">
        <f>SUM(Table14[[#This Row],[Transport and communication]])</f>
        <v>166.3</v>
      </c>
      <c r="AD188" s="1">
        <f>SUM(Table14[[#This Row],[Housing]],Table14[[#This Row],[Household goods and services]])/2</f>
        <v>169.55</v>
      </c>
      <c r="AE188" s="1">
        <f>SUM(Table14[[#This Row],[Health]])</f>
        <v>178.8</v>
      </c>
      <c r="AF188" s="1">
        <f>SUM(Table14[[#This Row],[Recreation and amusement]],Table14[[#This Row],[Education]])/2</f>
        <v>171.64999999999998</v>
      </c>
      <c r="AG188" s="1">
        <f>SUM(Table14[[#This Row],[Miscellaneous]],Table14[[#This Row],[Personal care and effects]])/2</f>
        <v>170.75</v>
      </c>
    </row>
    <row r="189" spans="1:33" hidden="1" x14ac:dyDescent="0.3">
      <c r="A189" t="s">
        <v>35</v>
      </c>
      <c r="B189">
        <v>2022</v>
      </c>
      <c r="C189" t="s">
        <v>42</v>
      </c>
      <c r="D189">
        <v>156.5</v>
      </c>
      <c r="E189">
        <v>213</v>
      </c>
      <c r="F189">
        <v>175.2</v>
      </c>
      <c r="G189">
        <v>166.6</v>
      </c>
      <c r="H189">
        <v>195.8</v>
      </c>
      <c r="I189">
        <v>174.2</v>
      </c>
      <c r="J189">
        <v>182.1</v>
      </c>
      <c r="K189">
        <v>164.3</v>
      </c>
      <c r="L189">
        <v>120</v>
      </c>
      <c r="M189">
        <v>190</v>
      </c>
      <c r="N189">
        <v>168.4</v>
      </c>
      <c r="O189">
        <v>185.2</v>
      </c>
      <c r="P189">
        <v>175</v>
      </c>
      <c r="Q189">
        <v>167.8</v>
      </c>
      <c r="R189">
        <v>179.6</v>
      </c>
      <c r="S189">
        <v>167.4</v>
      </c>
      <c r="T189">
        <v>176.1</v>
      </c>
      <c r="U189">
        <v>161.6</v>
      </c>
      <c r="V189">
        <v>166.3</v>
      </c>
      <c r="W189">
        <v>171.4</v>
      </c>
      <c r="X189">
        <v>169.7</v>
      </c>
      <c r="Y189">
        <v>168.4</v>
      </c>
      <c r="Z189">
        <v>173.4</v>
      </c>
      <c r="AA189" s="1">
        <f>SUM(Table14[[#This Row],[Cereals and products]:[Food and beverages]])/13</f>
        <v>174.33076923076925</v>
      </c>
      <c r="AB189" s="1">
        <f>SUM(Table14[[#This Row],[Fuel and light]])</f>
        <v>179.6</v>
      </c>
      <c r="AC189" s="1">
        <f>SUM(Table14[[#This Row],[Transport and communication]])</f>
        <v>161.6</v>
      </c>
      <c r="AD189" s="1">
        <f>SUM(Table14[[#This Row],[Housing]],Table14[[#This Row],[Household goods and services]])/2</f>
        <v>167.60000000000002</v>
      </c>
      <c r="AE189" s="1">
        <f>SUM(Table14[[#This Row],[Health]])</f>
        <v>176.1</v>
      </c>
      <c r="AF189" s="1">
        <f>SUM(Table14[[#This Row],[Recreation and amusement]],Table14[[#This Row],[Education]])/2</f>
        <v>168.85000000000002</v>
      </c>
      <c r="AG189" s="1">
        <f>SUM(Table14[[#This Row],[Miscellaneous]],Table14[[#This Row],[Personal care and effects]])/2</f>
        <v>169.05</v>
      </c>
    </row>
    <row r="190" spans="1:33" hidden="1" x14ac:dyDescent="0.3">
      <c r="A190" t="s">
        <v>36</v>
      </c>
      <c r="B190">
        <v>2022</v>
      </c>
      <c r="C190" t="s">
        <v>42</v>
      </c>
      <c r="D190">
        <v>159.30000000000001</v>
      </c>
      <c r="E190">
        <v>217.1</v>
      </c>
      <c r="F190">
        <v>176.6</v>
      </c>
      <c r="G190">
        <v>167.1</v>
      </c>
      <c r="H190">
        <v>184.8</v>
      </c>
      <c r="I190">
        <v>179.5</v>
      </c>
      <c r="J190">
        <v>208.5</v>
      </c>
      <c r="K190">
        <v>164</v>
      </c>
      <c r="L190">
        <v>121.5</v>
      </c>
      <c r="M190">
        <v>186.3</v>
      </c>
      <c r="N190">
        <v>159.80000000000001</v>
      </c>
      <c r="O190">
        <v>187.7</v>
      </c>
      <c r="P190">
        <v>179.4</v>
      </c>
      <c r="Q190">
        <v>167.8</v>
      </c>
      <c r="R190">
        <v>179.5</v>
      </c>
      <c r="S190">
        <v>163.1</v>
      </c>
      <c r="T190">
        <v>171.7</v>
      </c>
      <c r="U190">
        <v>157.4</v>
      </c>
      <c r="V190">
        <v>164.6</v>
      </c>
      <c r="W190">
        <v>169.1</v>
      </c>
      <c r="X190">
        <v>169.8</v>
      </c>
      <c r="Y190">
        <v>164.7</v>
      </c>
      <c r="Z190">
        <v>172.3</v>
      </c>
      <c r="AA190" s="1">
        <f>SUM(Table14[[#This Row],[Cereals and products]:[Food and beverages]])/13</f>
        <v>176.27692307692308</v>
      </c>
      <c r="AB190" s="1">
        <f>SUM(Table14[[#This Row],[Fuel and light]])</f>
        <v>179.5</v>
      </c>
      <c r="AC190" s="1">
        <f>SUM(Table14[[#This Row],[Transport and communication]])</f>
        <v>157.4</v>
      </c>
      <c r="AD190" s="1">
        <f>SUM(Table14[[#This Row],[Housing]],Table14[[#This Row],[Household goods and services]])/2</f>
        <v>165.45</v>
      </c>
      <c r="AE190" s="1">
        <f>SUM(Table14[[#This Row],[Health]])</f>
        <v>171.7</v>
      </c>
      <c r="AF190" s="1">
        <f>SUM(Table14[[#This Row],[Recreation and amusement]],Table14[[#This Row],[Education]])/2</f>
        <v>166.85</v>
      </c>
      <c r="AG190" s="1">
        <f>SUM(Table14[[#This Row],[Miscellaneous]],Table14[[#This Row],[Personal care and effects]])/2</f>
        <v>167.25</v>
      </c>
    </row>
    <row r="191" spans="1:33" hidden="1" x14ac:dyDescent="0.3">
      <c r="A191" t="s">
        <v>33</v>
      </c>
      <c r="B191">
        <v>2020</v>
      </c>
      <c r="C191" t="s">
        <v>46</v>
      </c>
      <c r="D191">
        <v>144.4</v>
      </c>
      <c r="E191">
        <v>166.8</v>
      </c>
      <c r="F191">
        <v>147.6</v>
      </c>
      <c r="G191">
        <v>151.69999999999999</v>
      </c>
      <c r="H191">
        <v>133.30000000000001</v>
      </c>
      <c r="I191">
        <v>141.80000000000001</v>
      </c>
      <c r="J191">
        <v>152.30000000000001</v>
      </c>
      <c r="K191">
        <v>141.80000000000001</v>
      </c>
      <c r="L191">
        <v>112.6</v>
      </c>
      <c r="M191">
        <v>154</v>
      </c>
      <c r="N191">
        <v>140.1</v>
      </c>
      <c r="O191">
        <v>160</v>
      </c>
      <c r="P191">
        <v>148.19999999999999</v>
      </c>
      <c r="Q191">
        <f>AVERAGE(Q192:Q193)</f>
        <v>154.5</v>
      </c>
      <c r="R191">
        <v>153.4</v>
      </c>
      <c r="S191">
        <v>151.5</v>
      </c>
      <c r="T191">
        <v>156.69999999999999</v>
      </c>
      <c r="U191">
        <v>135.80000000000001</v>
      </c>
      <c r="V191">
        <v>151.19999999999999</v>
      </c>
      <c r="W191">
        <v>161.19999999999999</v>
      </c>
      <c r="X191">
        <v>145.1</v>
      </c>
      <c r="Y191">
        <v>148.6</v>
      </c>
      <c r="Z191">
        <v>149.80000000000001</v>
      </c>
      <c r="AA191" s="1">
        <f>SUM(Table14[[#This Row],[Cereals and products]:[Food and beverages]])/13</f>
        <v>145.73846153846151</v>
      </c>
      <c r="AB191" s="1">
        <f>SUM(Table14[[#This Row],[Fuel and light]])</f>
        <v>153.4</v>
      </c>
      <c r="AC191" s="1">
        <f>SUM(Table14[[#This Row],[Transport and communication]])</f>
        <v>135.80000000000001</v>
      </c>
      <c r="AD191" s="1">
        <f>SUM(Table14[[#This Row],[Housing]],Table14[[#This Row],[Household goods and services]])/2</f>
        <v>153</v>
      </c>
      <c r="AE191" s="1">
        <f>SUM(Table14[[#This Row],[Health]])</f>
        <v>156.69999999999999</v>
      </c>
      <c r="AF191" s="1">
        <f>SUM(Table14[[#This Row],[Recreation and amusement]],Table14[[#This Row],[Education]])/2</f>
        <v>156.19999999999999</v>
      </c>
      <c r="AG191" s="1">
        <f>SUM(Table14[[#This Row],[Miscellaneous]],Table14[[#This Row],[Personal care and effects]])/2</f>
        <v>146.85</v>
      </c>
    </row>
    <row r="192" spans="1:33" hidden="1" x14ac:dyDescent="0.3">
      <c r="A192" t="s">
        <v>35</v>
      </c>
      <c r="B192">
        <v>2020</v>
      </c>
      <c r="C192" t="s">
        <v>46</v>
      </c>
      <c r="D192">
        <v>145.1</v>
      </c>
      <c r="E192">
        <v>167</v>
      </c>
      <c r="F192">
        <v>148.1</v>
      </c>
      <c r="G192">
        <v>151.5</v>
      </c>
      <c r="H192">
        <v>131.19999999999999</v>
      </c>
      <c r="I192">
        <v>142.5</v>
      </c>
      <c r="J192">
        <v>157.30000000000001</v>
      </c>
      <c r="K192">
        <v>141.1</v>
      </c>
      <c r="L192">
        <v>113.2</v>
      </c>
      <c r="M192">
        <v>153.19999999999999</v>
      </c>
      <c r="N192">
        <v>136.69999999999999</v>
      </c>
      <c r="O192">
        <v>159.6</v>
      </c>
      <c r="P192">
        <v>148.9</v>
      </c>
      <c r="Q192">
        <v>154.5</v>
      </c>
      <c r="R192">
        <v>148.9</v>
      </c>
      <c r="S192">
        <v>146.4</v>
      </c>
      <c r="T192">
        <v>152.30000000000001</v>
      </c>
      <c r="U192">
        <v>129.9</v>
      </c>
      <c r="V192">
        <v>143.69999999999999</v>
      </c>
      <c r="W192">
        <v>156.1</v>
      </c>
      <c r="X192">
        <v>145.19999999999999</v>
      </c>
      <c r="Y192">
        <v>143.80000000000001</v>
      </c>
      <c r="Z192">
        <v>148.6</v>
      </c>
      <c r="AA192" s="1">
        <f>SUM(Table14[[#This Row],[Cereals and products]:[Food and beverages]])/13</f>
        <v>145.80000000000001</v>
      </c>
      <c r="AB192" s="1">
        <f>SUM(Table14[[#This Row],[Fuel and light]])</f>
        <v>148.9</v>
      </c>
      <c r="AC192" s="1">
        <f>SUM(Table14[[#This Row],[Transport and communication]])</f>
        <v>129.9</v>
      </c>
      <c r="AD192" s="1">
        <f>SUM(Table14[[#This Row],[Housing]],Table14[[#This Row],[Household goods and services]])/2</f>
        <v>150.44999999999999</v>
      </c>
      <c r="AE192" s="1">
        <f>SUM(Table14[[#This Row],[Health]])</f>
        <v>152.30000000000001</v>
      </c>
      <c r="AF192" s="1">
        <f>SUM(Table14[[#This Row],[Recreation and amusement]],Table14[[#This Row],[Education]])/2</f>
        <v>149.89999999999998</v>
      </c>
      <c r="AG192" s="1">
        <f>SUM(Table14[[#This Row],[Miscellaneous]],Table14[[#This Row],[Personal care and effects]])/2</f>
        <v>144.5</v>
      </c>
    </row>
    <row r="193" spans="1:33" hidden="1" x14ac:dyDescent="0.3">
      <c r="A193" t="s">
        <v>36</v>
      </c>
      <c r="B193">
        <v>2020</v>
      </c>
      <c r="C193" t="s">
        <v>46</v>
      </c>
      <c r="D193">
        <v>146.5</v>
      </c>
      <c r="E193">
        <v>167.5</v>
      </c>
      <c r="F193">
        <v>148.9</v>
      </c>
      <c r="G193">
        <v>151.1</v>
      </c>
      <c r="H193">
        <v>127.5</v>
      </c>
      <c r="I193">
        <v>143.30000000000001</v>
      </c>
      <c r="J193">
        <v>167</v>
      </c>
      <c r="K193">
        <v>139.69999999999999</v>
      </c>
      <c r="L193">
        <v>114.4</v>
      </c>
      <c r="M193">
        <v>151.5</v>
      </c>
      <c r="N193">
        <v>131.9</v>
      </c>
      <c r="O193">
        <v>159.1</v>
      </c>
      <c r="P193">
        <v>150.1</v>
      </c>
      <c r="Q193">
        <v>154.5</v>
      </c>
      <c r="R193">
        <v>141.4</v>
      </c>
      <c r="S193">
        <v>140.80000000000001</v>
      </c>
      <c r="T193">
        <v>145</v>
      </c>
      <c r="U193">
        <v>124.6</v>
      </c>
      <c r="V193">
        <v>137.9</v>
      </c>
      <c r="W193">
        <v>152.5</v>
      </c>
      <c r="X193">
        <v>145.30000000000001</v>
      </c>
      <c r="Y193">
        <v>138.69999999999999</v>
      </c>
      <c r="Z193">
        <v>147.30000000000001</v>
      </c>
      <c r="AA193" s="1">
        <f>SUM(Table14[[#This Row],[Cereals and products]:[Food and beverages]])/13</f>
        <v>146.03846153846155</v>
      </c>
      <c r="AB193" s="1">
        <f>SUM(Table14[[#This Row],[Fuel and light]])</f>
        <v>141.4</v>
      </c>
      <c r="AC193" s="1">
        <f>SUM(Table14[[#This Row],[Transport and communication]])</f>
        <v>124.6</v>
      </c>
      <c r="AD193" s="1">
        <f>SUM(Table14[[#This Row],[Housing]],Table14[[#This Row],[Household goods and services]])/2</f>
        <v>147.65</v>
      </c>
      <c r="AE193" s="1">
        <f>SUM(Table14[[#This Row],[Health]])</f>
        <v>145</v>
      </c>
      <c r="AF193" s="1">
        <f>SUM(Table14[[#This Row],[Recreation and amusement]],Table14[[#This Row],[Education]])/2</f>
        <v>145.19999999999999</v>
      </c>
      <c r="AG193" s="1">
        <f>SUM(Table14[[#This Row],[Miscellaneous]],Table14[[#This Row],[Personal care and effects]])/2</f>
        <v>142</v>
      </c>
    </row>
    <row r="194" spans="1:33" hidden="1" x14ac:dyDescent="0.3">
      <c r="A194" t="s">
        <v>33</v>
      </c>
      <c r="B194">
        <v>2020</v>
      </c>
      <c r="C194" t="s">
        <v>47</v>
      </c>
      <c r="D194">
        <v>139.35</v>
      </c>
      <c r="E194">
        <v>157.6</v>
      </c>
      <c r="F194">
        <v>137.15</v>
      </c>
      <c r="G194">
        <v>142.5</v>
      </c>
      <c r="H194">
        <v>120.3</v>
      </c>
      <c r="I194">
        <v>148.1</v>
      </c>
      <c r="J194">
        <v>152.30000000000001</v>
      </c>
      <c r="K194">
        <v>124.7</v>
      </c>
      <c r="L194">
        <v>110.6</v>
      </c>
      <c r="M194">
        <v>140.44999999999999</v>
      </c>
      <c r="N194">
        <v>131.5</v>
      </c>
      <c r="O194">
        <v>155</v>
      </c>
      <c r="P194">
        <v>142.4</v>
      </c>
      <c r="Q194">
        <v>150.1</v>
      </c>
      <c r="R194" s="1">
        <f t="shared" ref="R194:Z196" si="0">(R191+R192+R193+R197+R198+R199)/6</f>
        <v>145.35000000000002</v>
      </c>
      <c r="S194" s="1">
        <f t="shared" si="0"/>
        <v>147.63333333333335</v>
      </c>
      <c r="T194" s="1">
        <f t="shared" si="0"/>
        <v>153.93333333333331</v>
      </c>
      <c r="U194" s="1">
        <f t="shared" si="0"/>
        <v>135.33333333333334</v>
      </c>
      <c r="V194" s="1">
        <f t="shared" si="0"/>
        <v>146.53333333333333</v>
      </c>
      <c r="W194" s="1">
        <f t="shared" si="0"/>
        <v>157.73333333333332</v>
      </c>
      <c r="X194" s="1">
        <f t="shared" si="0"/>
        <v>151.1</v>
      </c>
      <c r="Y194" s="1">
        <f t="shared" si="0"/>
        <v>147.15</v>
      </c>
      <c r="Z194" s="1">
        <f t="shared" si="0"/>
        <v>153.43333333333331</v>
      </c>
      <c r="AA194" s="1">
        <f>SUM(Table14[[#This Row],[Cereals and products]:[Food and beverages]])/13</f>
        <v>138.61153846153846</v>
      </c>
      <c r="AB194" s="1">
        <f>SUM(Table14[[#This Row],[Fuel and light]])</f>
        <v>145.35000000000002</v>
      </c>
      <c r="AC194" s="1">
        <f>SUM(Table14[[#This Row],[Transport and communication]])</f>
        <v>135.33333333333334</v>
      </c>
      <c r="AD194" s="1">
        <f>SUM(Table14[[#This Row],[Housing]],Table14[[#This Row],[Household goods and services]])/2</f>
        <v>148.86666666666667</v>
      </c>
      <c r="AE194" s="1">
        <f>SUM(Table14[[#This Row],[Health]])</f>
        <v>153.93333333333331</v>
      </c>
      <c r="AF194" s="1">
        <f>SUM(Table14[[#This Row],[Recreation and amusement]],Table14[[#This Row],[Education]])/2</f>
        <v>152.13333333333333</v>
      </c>
      <c r="AG194" s="1">
        <f>SUM(Table14[[#This Row],[Miscellaneous]],Table14[[#This Row],[Personal care and effects]])/2</f>
        <v>149.125</v>
      </c>
    </row>
    <row r="195" spans="1:33" hidden="1" x14ac:dyDescent="0.3">
      <c r="A195" t="s">
        <v>36</v>
      </c>
      <c r="B195">
        <v>2020</v>
      </c>
      <c r="C195" t="s">
        <v>47</v>
      </c>
      <c r="D195">
        <v>139.875</v>
      </c>
      <c r="E195">
        <v>157.19999999999999</v>
      </c>
      <c r="F195">
        <v>137.72499999999999</v>
      </c>
      <c r="G195">
        <v>142.4</v>
      </c>
      <c r="H195">
        <v>119.5</v>
      </c>
      <c r="I195">
        <v>148.9</v>
      </c>
      <c r="J195">
        <v>156.94999999999999</v>
      </c>
      <c r="K195">
        <v>124.5</v>
      </c>
      <c r="L195">
        <v>110.9</v>
      </c>
      <c r="M195">
        <v>140.72499999999999</v>
      </c>
      <c r="N195">
        <v>130.19999999999999</v>
      </c>
      <c r="O195">
        <v>154.80000000000001</v>
      </c>
      <c r="P195">
        <v>143.1</v>
      </c>
      <c r="Q195">
        <v>150.1</v>
      </c>
      <c r="R195" s="1">
        <f t="shared" si="0"/>
        <v>140.77500000000001</v>
      </c>
      <c r="S195" s="1">
        <f t="shared" si="0"/>
        <v>143.78888888888889</v>
      </c>
      <c r="T195" s="1">
        <f t="shared" si="0"/>
        <v>149.00555555555556</v>
      </c>
      <c r="U195" s="1">
        <f t="shared" si="0"/>
        <v>130.92222222222225</v>
      </c>
      <c r="V195" s="1">
        <f t="shared" si="0"/>
        <v>141.65555555555554</v>
      </c>
      <c r="W195" s="1">
        <f t="shared" si="0"/>
        <v>154.22222222222223</v>
      </c>
      <c r="X195" s="1">
        <f t="shared" si="0"/>
        <v>147.43333333333331</v>
      </c>
      <c r="Y195" s="1">
        <f t="shared" si="0"/>
        <v>142.85833333333332</v>
      </c>
      <c r="Z195" s="1">
        <f t="shared" si="0"/>
        <v>150.32222222222219</v>
      </c>
      <c r="AA195" s="1">
        <f>SUM(Table14[[#This Row],[Cereals and products]:[Food and beverages]])/13</f>
        <v>138.9826923076923</v>
      </c>
      <c r="AB195" s="1">
        <f>SUM(Table14[[#This Row],[Fuel and light]])</f>
        <v>140.77500000000001</v>
      </c>
      <c r="AC195" s="1">
        <f>SUM(Table14[[#This Row],[Transport and communication]])</f>
        <v>130.92222222222225</v>
      </c>
      <c r="AD195" s="1">
        <f>SUM(Table14[[#This Row],[Housing]],Table14[[#This Row],[Household goods and services]])/2</f>
        <v>146.94444444444446</v>
      </c>
      <c r="AE195" s="1">
        <f>SUM(Table14[[#This Row],[Health]])</f>
        <v>149.00555555555556</v>
      </c>
      <c r="AF195" s="1">
        <f>SUM(Table14[[#This Row],[Recreation and amusement]],Table14[[#This Row],[Education]])/2</f>
        <v>147.93888888888887</v>
      </c>
      <c r="AG195" s="1">
        <f>SUM(Table14[[#This Row],[Miscellaneous]],Table14[[#This Row],[Personal care and effects]])/2</f>
        <v>145.14583333333331</v>
      </c>
    </row>
    <row r="196" spans="1:33" hidden="1" x14ac:dyDescent="0.3">
      <c r="A196" t="s">
        <v>35</v>
      </c>
      <c r="B196">
        <v>2020</v>
      </c>
      <c r="C196" t="s">
        <v>47</v>
      </c>
      <c r="D196">
        <v>139.61250000000001</v>
      </c>
      <c r="E196">
        <v>157.4</v>
      </c>
      <c r="F196">
        <v>137.4375</v>
      </c>
      <c r="G196">
        <v>142.4</v>
      </c>
      <c r="H196">
        <v>119.9</v>
      </c>
      <c r="I196">
        <v>148.5</v>
      </c>
      <c r="J196">
        <v>154.625</v>
      </c>
      <c r="K196">
        <v>124.6</v>
      </c>
      <c r="L196">
        <v>110.7</v>
      </c>
      <c r="M196">
        <v>140.58750000000001</v>
      </c>
      <c r="N196">
        <v>130.80000000000001</v>
      </c>
      <c r="O196">
        <v>154.9</v>
      </c>
      <c r="P196">
        <v>142.69999999999999</v>
      </c>
      <c r="Q196">
        <v>150.1</v>
      </c>
      <c r="R196" s="1">
        <f t="shared" si="0"/>
        <v>138.77083333333334</v>
      </c>
      <c r="S196" s="1">
        <f t="shared" si="0"/>
        <v>141.58703703703705</v>
      </c>
      <c r="T196" s="1">
        <f t="shared" si="0"/>
        <v>145.08981481481482</v>
      </c>
      <c r="U196" s="1">
        <f t="shared" si="0"/>
        <v>128.29259259259263</v>
      </c>
      <c r="V196" s="1">
        <f t="shared" si="0"/>
        <v>138.7648148148148</v>
      </c>
      <c r="W196" s="1">
        <f t="shared" si="0"/>
        <v>151.59259259259261</v>
      </c>
      <c r="X196" s="1">
        <f t="shared" si="0"/>
        <v>143.33888888888887</v>
      </c>
      <c r="Y196" s="1">
        <f t="shared" si="0"/>
        <v>139.78472222222226</v>
      </c>
      <c r="Z196" s="1">
        <f t="shared" si="0"/>
        <v>147.50925925925924</v>
      </c>
      <c r="AA196" s="1">
        <f>SUM(Table14[[#This Row],[Cereals and products]:[Food and beverages]])/13</f>
        <v>138.78173076923079</v>
      </c>
      <c r="AB196" s="1">
        <f>SUM(Table14[[#This Row],[Fuel and light]])</f>
        <v>138.77083333333334</v>
      </c>
      <c r="AC196" s="1">
        <f>SUM(Table14[[#This Row],[Transport and communication]])</f>
        <v>128.29259259259263</v>
      </c>
      <c r="AD196" s="1">
        <f>SUM(Table14[[#This Row],[Housing]],Table14[[#This Row],[Household goods and services]])/2</f>
        <v>145.84351851851852</v>
      </c>
      <c r="AE196" s="1">
        <f>SUM(Table14[[#This Row],[Health]])</f>
        <v>145.08981481481482</v>
      </c>
      <c r="AF196" s="1">
        <f>SUM(Table14[[#This Row],[Recreation and amusement]],Table14[[#This Row],[Education]])/2</f>
        <v>145.17870370370372</v>
      </c>
      <c r="AG196" s="1">
        <f>SUM(Table14[[#This Row],[Miscellaneous]],Table14[[#This Row],[Personal care and effects]])/2</f>
        <v>141.56180555555557</v>
      </c>
    </row>
    <row r="197" spans="1:33" hidden="1" x14ac:dyDescent="0.3">
      <c r="A197" t="s">
        <v>33</v>
      </c>
      <c r="B197">
        <v>2020</v>
      </c>
      <c r="C197" t="s">
        <v>45</v>
      </c>
      <c r="D197">
        <v>145.4</v>
      </c>
      <c r="E197">
        <v>188.6</v>
      </c>
      <c r="F197">
        <v>171.6</v>
      </c>
      <c r="G197">
        <v>153.80000000000001</v>
      </c>
      <c r="H197">
        <v>145.4</v>
      </c>
      <c r="I197">
        <v>146.5</v>
      </c>
      <c r="J197">
        <v>222.2</v>
      </c>
      <c r="K197">
        <v>155.9</v>
      </c>
      <c r="L197">
        <v>114.9</v>
      </c>
      <c r="M197">
        <v>162</v>
      </c>
      <c r="N197">
        <v>150</v>
      </c>
      <c r="O197">
        <v>162.69999999999999</v>
      </c>
      <c r="P197">
        <v>163.4</v>
      </c>
      <c r="Q197">
        <v>153.5</v>
      </c>
      <c r="R197">
        <v>147.5</v>
      </c>
      <c r="S197">
        <v>152.80000000000001</v>
      </c>
      <c r="T197">
        <v>160.4</v>
      </c>
      <c r="U197">
        <v>146.1</v>
      </c>
      <c r="V197">
        <v>153.6</v>
      </c>
      <c r="W197">
        <v>161.6</v>
      </c>
      <c r="X197">
        <v>156.19999999999999</v>
      </c>
      <c r="Y197">
        <v>154.5</v>
      </c>
      <c r="Z197">
        <v>159.80000000000001</v>
      </c>
      <c r="AA197" s="1">
        <f>SUM(Table14[[#This Row],[Cereals and products]:[Food and beverages]])/13</f>
        <v>160.1846153846154</v>
      </c>
      <c r="AB197" s="1">
        <f>SUM(Table14[[#This Row],[Fuel and light]])</f>
        <v>147.5</v>
      </c>
      <c r="AC197" s="1">
        <f>SUM(Table14[[#This Row],[Transport and communication]])</f>
        <v>146.1</v>
      </c>
      <c r="AD197" s="1">
        <f>SUM(Table14[[#This Row],[Housing]],Table14[[#This Row],[Household goods and services]])/2</f>
        <v>153.15</v>
      </c>
      <c r="AE197" s="1">
        <f>SUM(Table14[[#This Row],[Health]])</f>
        <v>160.4</v>
      </c>
      <c r="AF197" s="1">
        <f>SUM(Table14[[#This Row],[Recreation and amusement]],Table14[[#This Row],[Education]])/2</f>
        <v>157.6</v>
      </c>
      <c r="AG197" s="1">
        <f>SUM(Table14[[#This Row],[Miscellaneous]],Table14[[#This Row],[Personal care and effects]])/2</f>
        <v>155.35</v>
      </c>
    </row>
    <row r="198" spans="1:33" hidden="1" x14ac:dyDescent="0.3">
      <c r="A198" t="s">
        <v>35</v>
      </c>
      <c r="B198">
        <v>2020</v>
      </c>
      <c r="C198" t="s">
        <v>45</v>
      </c>
      <c r="D198">
        <v>146.80000000000001</v>
      </c>
      <c r="E198">
        <v>191</v>
      </c>
      <c r="F198">
        <v>173.6</v>
      </c>
      <c r="G198">
        <v>153.80000000000001</v>
      </c>
      <c r="H198">
        <v>142.69999999999999</v>
      </c>
      <c r="I198">
        <v>148.4</v>
      </c>
      <c r="J198">
        <v>230</v>
      </c>
      <c r="K198">
        <v>156.80000000000001</v>
      </c>
      <c r="L198">
        <v>115.7</v>
      </c>
      <c r="M198">
        <v>161.80000000000001</v>
      </c>
      <c r="N198">
        <v>146.5</v>
      </c>
      <c r="O198">
        <v>163.80000000000001</v>
      </c>
      <c r="P198">
        <v>164.7</v>
      </c>
      <c r="Q198">
        <v>158</v>
      </c>
      <c r="R198">
        <v>143.6</v>
      </c>
      <c r="S198">
        <v>149.19999999999999</v>
      </c>
      <c r="T198">
        <v>157.19999999999999</v>
      </c>
      <c r="U198">
        <v>140.4</v>
      </c>
      <c r="V198">
        <v>148.4</v>
      </c>
      <c r="W198">
        <v>158.6</v>
      </c>
      <c r="X198">
        <v>156.9</v>
      </c>
      <c r="Y198">
        <v>150.69999999999999</v>
      </c>
      <c r="Z198">
        <v>158.4</v>
      </c>
      <c r="AA198" s="1">
        <f>SUM(Table14[[#This Row],[Cereals and products]:[Food and beverages]])/13</f>
        <v>161.19999999999999</v>
      </c>
      <c r="AB198" s="1">
        <f>SUM(Table14[[#This Row],[Fuel and light]])</f>
        <v>143.6</v>
      </c>
      <c r="AC198" s="1">
        <f>SUM(Table14[[#This Row],[Transport and communication]])</f>
        <v>140.4</v>
      </c>
      <c r="AD198" s="1">
        <f>SUM(Table14[[#This Row],[Housing]],Table14[[#This Row],[Household goods and services]])/2</f>
        <v>153.6</v>
      </c>
      <c r="AE198" s="1">
        <f>SUM(Table14[[#This Row],[Health]])</f>
        <v>157.19999999999999</v>
      </c>
      <c r="AF198" s="1">
        <f>SUM(Table14[[#This Row],[Recreation and amusement]],Table14[[#This Row],[Education]])/2</f>
        <v>153.5</v>
      </c>
      <c r="AG198" s="1">
        <f>SUM(Table14[[#This Row],[Miscellaneous]],Table14[[#This Row],[Personal care and effects]])/2</f>
        <v>153.80000000000001</v>
      </c>
    </row>
    <row r="199" spans="1:33" hidden="1" x14ac:dyDescent="0.3">
      <c r="A199" t="s">
        <v>36</v>
      </c>
      <c r="B199">
        <v>2020</v>
      </c>
      <c r="C199" t="s">
        <v>45</v>
      </c>
      <c r="D199">
        <v>149.69999999999999</v>
      </c>
      <c r="E199">
        <v>195.5</v>
      </c>
      <c r="F199">
        <v>176.9</v>
      </c>
      <c r="G199">
        <v>153.9</v>
      </c>
      <c r="H199">
        <v>138</v>
      </c>
      <c r="I199">
        <v>150.5</v>
      </c>
      <c r="J199">
        <v>245.3</v>
      </c>
      <c r="K199">
        <v>158.69999999999999</v>
      </c>
      <c r="L199">
        <v>117.2</v>
      </c>
      <c r="M199">
        <v>161.4</v>
      </c>
      <c r="N199">
        <v>141.5</v>
      </c>
      <c r="O199">
        <v>165.1</v>
      </c>
      <c r="P199">
        <v>167</v>
      </c>
      <c r="Q199">
        <v>158</v>
      </c>
      <c r="R199">
        <v>137.30000000000001</v>
      </c>
      <c r="S199">
        <v>145.1</v>
      </c>
      <c r="T199">
        <v>152</v>
      </c>
      <c r="U199">
        <v>135.19999999999999</v>
      </c>
      <c r="V199">
        <v>144.4</v>
      </c>
      <c r="W199">
        <v>156.4</v>
      </c>
      <c r="X199">
        <v>157.9</v>
      </c>
      <c r="Y199">
        <v>146.6</v>
      </c>
      <c r="Z199">
        <v>156.69999999999999</v>
      </c>
      <c r="AA199" s="1">
        <f>SUM(Table14[[#This Row],[Cereals and products]:[Food and beverages]])/13</f>
        <v>163.1307692307692</v>
      </c>
      <c r="AB199" s="1">
        <f>SUM(Table14[[#This Row],[Fuel and light]])</f>
        <v>137.30000000000001</v>
      </c>
      <c r="AC199" s="1">
        <f>SUM(Table14[[#This Row],[Transport and communication]])</f>
        <v>135.19999999999999</v>
      </c>
      <c r="AD199" s="1">
        <f>SUM(Table14[[#This Row],[Housing]],Table14[[#This Row],[Household goods and services]])/2</f>
        <v>151.55000000000001</v>
      </c>
      <c r="AE199" s="1">
        <f>SUM(Table14[[#This Row],[Health]])</f>
        <v>152</v>
      </c>
      <c r="AF199" s="1">
        <f>SUM(Table14[[#This Row],[Recreation and amusement]],Table14[[#This Row],[Education]])/2</f>
        <v>150.4</v>
      </c>
      <c r="AG199" s="1">
        <f>SUM(Table14[[#This Row],[Miscellaneous]],Table14[[#This Row],[Personal care and effects]])/2</f>
        <v>152.25</v>
      </c>
    </row>
    <row r="200" spans="1:33" hidden="1" x14ac:dyDescent="0.3">
      <c r="A200" t="s">
        <v>36</v>
      </c>
      <c r="B200">
        <v>2018</v>
      </c>
      <c r="C200" t="s">
        <v>42</v>
      </c>
      <c r="D200">
        <v>135.6</v>
      </c>
      <c r="E200">
        <v>148.6</v>
      </c>
      <c r="F200">
        <v>139.1</v>
      </c>
      <c r="G200">
        <v>141</v>
      </c>
      <c r="H200">
        <v>116.7</v>
      </c>
      <c r="I200">
        <v>149.69999999999999</v>
      </c>
      <c r="J200">
        <v>159.19999999999999</v>
      </c>
      <c r="K200">
        <v>112.6</v>
      </c>
      <c r="L200">
        <v>111.8</v>
      </c>
      <c r="M200">
        <v>140.30000000000001</v>
      </c>
      <c r="N200">
        <v>126.8</v>
      </c>
      <c r="O200">
        <v>149.4</v>
      </c>
      <c r="P200">
        <v>140.30000000000001</v>
      </c>
      <c r="Q200">
        <v>143.6</v>
      </c>
      <c r="R200">
        <v>128.1</v>
      </c>
      <c r="S200">
        <v>133.6</v>
      </c>
      <c r="T200">
        <v>133.6</v>
      </c>
      <c r="U200">
        <v>120.1</v>
      </c>
      <c r="V200">
        <v>129</v>
      </c>
      <c r="W200">
        <v>144</v>
      </c>
      <c r="X200">
        <v>128.19999999999999</v>
      </c>
      <c r="Y200">
        <v>130.19999999999999</v>
      </c>
      <c r="Z200">
        <v>137.5</v>
      </c>
      <c r="AA200" s="1">
        <f>SUM(Table14[[#This Row],[Cereals and products]:[Food and beverages]])/13</f>
        <v>136.23846153846154</v>
      </c>
      <c r="AB200" s="1">
        <f>SUM(Table14[[#This Row],[Fuel and light]])</f>
        <v>128.1</v>
      </c>
      <c r="AC200" s="1">
        <f>SUM(Table14[[#This Row],[Transport and communication]])</f>
        <v>120.1</v>
      </c>
      <c r="AD200" s="1">
        <f>SUM(Table14[[#This Row],[Housing]],Table14[[#This Row],[Household goods and services]])/2</f>
        <v>138.6</v>
      </c>
      <c r="AE200" s="1">
        <f>SUM(Table14[[#This Row],[Health]])</f>
        <v>133.6</v>
      </c>
      <c r="AF200" s="1">
        <f>SUM(Table14[[#This Row],[Recreation and amusement]],Table14[[#This Row],[Education]])/2</f>
        <v>136.5</v>
      </c>
      <c r="AG200" s="1">
        <f>SUM(Table14[[#This Row],[Miscellaneous]],Table14[[#This Row],[Personal care and effects]])/2</f>
        <v>129.19999999999999</v>
      </c>
    </row>
    <row r="201" spans="1:33" hidden="1" x14ac:dyDescent="0.3">
      <c r="A201" t="s">
        <v>35</v>
      </c>
      <c r="B201">
        <v>2018</v>
      </c>
      <c r="C201" t="s">
        <v>42</v>
      </c>
      <c r="D201">
        <v>137.5</v>
      </c>
      <c r="E201">
        <v>149.1</v>
      </c>
      <c r="F201">
        <v>139.19999999999999</v>
      </c>
      <c r="G201">
        <v>142.5</v>
      </c>
      <c r="H201">
        <v>121.4</v>
      </c>
      <c r="I201">
        <v>151.6</v>
      </c>
      <c r="J201">
        <v>155.9</v>
      </c>
      <c r="K201">
        <v>121.7</v>
      </c>
      <c r="L201">
        <v>113.5</v>
      </c>
      <c r="M201">
        <v>138.9</v>
      </c>
      <c r="N201">
        <v>130.30000000000001</v>
      </c>
      <c r="O201">
        <v>152.30000000000001</v>
      </c>
      <c r="P201">
        <v>141.4</v>
      </c>
      <c r="Q201">
        <v>143.6</v>
      </c>
      <c r="R201">
        <v>139.69999999999999</v>
      </c>
      <c r="S201">
        <v>138.6</v>
      </c>
      <c r="T201">
        <v>137</v>
      </c>
      <c r="U201">
        <v>123.6</v>
      </c>
      <c r="V201">
        <v>133.1</v>
      </c>
      <c r="W201">
        <v>144.69999999999999</v>
      </c>
      <c r="X201">
        <v>130.1</v>
      </c>
      <c r="Y201">
        <v>133.19999999999999</v>
      </c>
      <c r="Z201">
        <v>139.80000000000001</v>
      </c>
      <c r="AA201" s="1">
        <f>SUM(Table14[[#This Row],[Cereals and products]:[Food and beverages]])/13</f>
        <v>138.1</v>
      </c>
      <c r="AB201" s="1">
        <f>SUM(Table14[[#This Row],[Fuel and light]])</f>
        <v>139.69999999999999</v>
      </c>
      <c r="AC201" s="1">
        <f>SUM(Table14[[#This Row],[Transport and communication]])</f>
        <v>123.6</v>
      </c>
      <c r="AD201" s="1">
        <f>SUM(Table14[[#This Row],[Housing]],Table14[[#This Row],[Household goods and services]])/2</f>
        <v>141.1</v>
      </c>
      <c r="AE201" s="1">
        <f>SUM(Table14[[#This Row],[Health]])</f>
        <v>137</v>
      </c>
      <c r="AF201" s="1">
        <f>SUM(Table14[[#This Row],[Recreation and amusement]],Table14[[#This Row],[Education]])/2</f>
        <v>138.89999999999998</v>
      </c>
      <c r="AG201" s="1">
        <f>SUM(Table14[[#This Row],[Miscellaneous]],Table14[[#This Row],[Personal care and effects]])/2</f>
        <v>131.64999999999998</v>
      </c>
    </row>
    <row r="202" spans="1:33" hidden="1" x14ac:dyDescent="0.3">
      <c r="A202" t="s">
        <v>33</v>
      </c>
      <c r="B202">
        <v>2018</v>
      </c>
      <c r="C202" t="s">
        <v>42</v>
      </c>
      <c r="D202">
        <v>138.4</v>
      </c>
      <c r="E202">
        <v>149.30000000000001</v>
      </c>
      <c r="F202">
        <v>139.30000000000001</v>
      </c>
      <c r="G202">
        <v>143.4</v>
      </c>
      <c r="H202">
        <v>124.1</v>
      </c>
      <c r="I202">
        <v>153.30000000000001</v>
      </c>
      <c r="J202">
        <v>154.19999999999999</v>
      </c>
      <c r="K202">
        <v>126.4</v>
      </c>
      <c r="L202">
        <v>114.3</v>
      </c>
      <c r="M202">
        <v>138.19999999999999</v>
      </c>
      <c r="N202">
        <v>132.80000000000001</v>
      </c>
      <c r="O202">
        <v>154.80000000000001</v>
      </c>
      <c r="P202">
        <v>142</v>
      </c>
      <c r="Q202">
        <f>AVERAGE(Q200:Q201)</f>
        <v>143.6</v>
      </c>
      <c r="R202">
        <v>146.80000000000001</v>
      </c>
      <c r="S202">
        <v>143.1</v>
      </c>
      <c r="T202">
        <v>139</v>
      </c>
      <c r="U202">
        <v>127.5</v>
      </c>
      <c r="V202">
        <v>138.4</v>
      </c>
      <c r="W202">
        <v>145.80000000000001</v>
      </c>
      <c r="X202">
        <v>131.4</v>
      </c>
      <c r="Y202">
        <v>136</v>
      </c>
      <c r="Z202">
        <v>141.80000000000001</v>
      </c>
      <c r="AA202" s="1">
        <f>SUM(Table14[[#This Row],[Cereals and products]:[Food and beverages]])/13</f>
        <v>139.26923076923077</v>
      </c>
      <c r="AB202" s="1">
        <f>SUM(Table14[[#This Row],[Fuel and light]])</f>
        <v>146.80000000000001</v>
      </c>
      <c r="AC202" s="1">
        <f>SUM(Table14[[#This Row],[Transport and communication]])</f>
        <v>127.5</v>
      </c>
      <c r="AD202" s="1">
        <f>SUM(Table14[[#This Row],[Housing]],Table14[[#This Row],[Household goods and services]])/2</f>
        <v>143.35</v>
      </c>
      <c r="AE202" s="1">
        <f>SUM(Table14[[#This Row],[Health]])</f>
        <v>139</v>
      </c>
      <c r="AF202" s="1">
        <f>SUM(Table14[[#This Row],[Recreation and amusement]],Table14[[#This Row],[Education]])/2</f>
        <v>142.10000000000002</v>
      </c>
      <c r="AG202" s="1">
        <f>SUM(Table14[[#This Row],[Miscellaneous]],Table14[[#This Row],[Personal care and effects]])/2</f>
        <v>133.69999999999999</v>
      </c>
    </row>
    <row r="203" spans="1:33" hidden="1" x14ac:dyDescent="0.3">
      <c r="A203" t="s">
        <v>36</v>
      </c>
      <c r="B203">
        <v>2017</v>
      </c>
      <c r="C203" t="s">
        <v>42</v>
      </c>
      <c r="D203">
        <v>132.80000000000001</v>
      </c>
      <c r="E203">
        <v>148.4</v>
      </c>
      <c r="F203">
        <v>129.4</v>
      </c>
      <c r="G203">
        <v>137.69999999999999</v>
      </c>
      <c r="H203">
        <v>113.4</v>
      </c>
      <c r="I203">
        <v>139.4</v>
      </c>
      <c r="J203">
        <v>175.1</v>
      </c>
      <c r="K203">
        <v>124.7</v>
      </c>
      <c r="L203">
        <v>121.5</v>
      </c>
      <c r="M203">
        <v>137.80000000000001</v>
      </c>
      <c r="N203">
        <v>124.4</v>
      </c>
      <c r="O203">
        <v>143.69999999999999</v>
      </c>
      <c r="P203">
        <v>139.80000000000001</v>
      </c>
      <c r="Q203">
        <v>132.6</v>
      </c>
      <c r="R203">
        <v>119.7</v>
      </c>
      <c r="S203">
        <v>127.2</v>
      </c>
      <c r="T203">
        <v>125</v>
      </c>
      <c r="U203">
        <v>113.2</v>
      </c>
      <c r="V203">
        <v>123.5</v>
      </c>
      <c r="W203">
        <v>135.5</v>
      </c>
      <c r="X203">
        <v>122.4</v>
      </c>
      <c r="Y203">
        <v>123</v>
      </c>
      <c r="Z203">
        <v>131.80000000000001</v>
      </c>
      <c r="AA203" s="1">
        <f>SUM(Table14[[#This Row],[Cereals and products]:[Food and beverages]])/13</f>
        <v>136.00769230769231</v>
      </c>
      <c r="AB203" s="1">
        <f>SUM(Table14[[#This Row],[Fuel and light]])</f>
        <v>119.7</v>
      </c>
      <c r="AC203" s="1">
        <f>SUM(Table14[[#This Row],[Transport and communication]])</f>
        <v>113.2</v>
      </c>
      <c r="AD203" s="1">
        <f>SUM(Table14[[#This Row],[Housing]],Table14[[#This Row],[Household goods and services]])/2</f>
        <v>129.9</v>
      </c>
      <c r="AE203" s="1">
        <f>SUM(Table14[[#This Row],[Health]])</f>
        <v>125</v>
      </c>
      <c r="AF203" s="1">
        <f>SUM(Table14[[#This Row],[Recreation and amusement]],Table14[[#This Row],[Education]])/2</f>
        <v>129.5</v>
      </c>
      <c r="AG203" s="1">
        <f>SUM(Table14[[#This Row],[Miscellaneous]],Table14[[#This Row],[Personal care and effects]])/2</f>
        <v>122.7</v>
      </c>
    </row>
    <row r="204" spans="1:33" hidden="1" x14ac:dyDescent="0.3">
      <c r="A204" t="s">
        <v>35</v>
      </c>
      <c r="B204">
        <v>2017</v>
      </c>
      <c r="C204" t="s">
        <v>42</v>
      </c>
      <c r="D204">
        <v>133.6</v>
      </c>
      <c r="E204">
        <v>145.69999999999999</v>
      </c>
      <c r="F204">
        <v>129.6</v>
      </c>
      <c r="G204">
        <v>138.5</v>
      </c>
      <c r="H204">
        <v>118.1</v>
      </c>
      <c r="I204">
        <v>141.80000000000001</v>
      </c>
      <c r="J204">
        <v>159.5</v>
      </c>
      <c r="K204">
        <v>133.6</v>
      </c>
      <c r="L204">
        <v>120.5</v>
      </c>
      <c r="M204">
        <v>135.19999999999999</v>
      </c>
      <c r="N204">
        <v>128.5</v>
      </c>
      <c r="O204">
        <v>145.80000000000001</v>
      </c>
      <c r="P204">
        <v>139</v>
      </c>
      <c r="Q204">
        <v>132.6</v>
      </c>
      <c r="R204">
        <v>129.4</v>
      </c>
      <c r="S204">
        <v>131.9</v>
      </c>
      <c r="T204">
        <v>129.4</v>
      </c>
      <c r="U204">
        <v>116</v>
      </c>
      <c r="V204">
        <v>126.6</v>
      </c>
      <c r="W204">
        <v>136.80000000000001</v>
      </c>
      <c r="X204">
        <v>123.6</v>
      </c>
      <c r="Y204">
        <v>125.9</v>
      </c>
      <c r="Z204">
        <v>134.19999999999999</v>
      </c>
      <c r="AA204" s="1">
        <f>SUM(Table14[[#This Row],[Cereals and products]:[Food and beverages]])/13</f>
        <v>136.1076923076923</v>
      </c>
      <c r="AB204" s="1">
        <f>SUM(Table14[[#This Row],[Fuel and light]])</f>
        <v>129.4</v>
      </c>
      <c r="AC204" s="1">
        <f>SUM(Table14[[#This Row],[Transport and communication]])</f>
        <v>116</v>
      </c>
      <c r="AD204" s="1">
        <f>SUM(Table14[[#This Row],[Housing]],Table14[[#This Row],[Household goods and services]])/2</f>
        <v>132.25</v>
      </c>
      <c r="AE204" s="1">
        <f>SUM(Table14[[#This Row],[Health]])</f>
        <v>129.4</v>
      </c>
      <c r="AF204" s="1">
        <f>SUM(Table14[[#This Row],[Recreation and amusement]],Table14[[#This Row],[Education]])/2</f>
        <v>131.69999999999999</v>
      </c>
      <c r="AG204" s="1">
        <f>SUM(Table14[[#This Row],[Miscellaneous]],Table14[[#This Row],[Personal care and effects]])/2</f>
        <v>124.75</v>
      </c>
    </row>
    <row r="205" spans="1:33" hidden="1" x14ac:dyDescent="0.3">
      <c r="A205" t="s">
        <v>33</v>
      </c>
      <c r="B205">
        <v>2017</v>
      </c>
      <c r="C205" t="s">
        <v>42</v>
      </c>
      <c r="D205">
        <v>134</v>
      </c>
      <c r="E205">
        <v>144.19999999999999</v>
      </c>
      <c r="F205">
        <v>129.80000000000001</v>
      </c>
      <c r="G205">
        <v>139</v>
      </c>
      <c r="H205">
        <v>120.9</v>
      </c>
      <c r="I205">
        <v>143.9</v>
      </c>
      <c r="J205">
        <v>151.5</v>
      </c>
      <c r="K205">
        <v>138.1</v>
      </c>
      <c r="L205">
        <v>120</v>
      </c>
      <c r="M205">
        <v>133.9</v>
      </c>
      <c r="N205">
        <v>131.4</v>
      </c>
      <c r="O205">
        <v>147.69999999999999</v>
      </c>
      <c r="P205">
        <v>138.5</v>
      </c>
      <c r="Q205">
        <f>AVERAGE(Q203:Q204)</f>
        <v>132.6</v>
      </c>
      <c r="R205">
        <v>135.30000000000001</v>
      </c>
      <c r="S205">
        <v>136.1</v>
      </c>
      <c r="T205">
        <v>132.1</v>
      </c>
      <c r="U205">
        <v>119.1</v>
      </c>
      <c r="V205">
        <v>130.6</v>
      </c>
      <c r="W205">
        <v>138.6</v>
      </c>
      <c r="X205">
        <v>124.4</v>
      </c>
      <c r="Y205">
        <v>128.6</v>
      </c>
      <c r="Z205">
        <v>136.19999999999999</v>
      </c>
      <c r="AA205" s="1">
        <f>SUM(Table14[[#This Row],[Cereals and products]:[Food and beverages]])/13</f>
        <v>136.37692307692308</v>
      </c>
      <c r="AB205" s="1">
        <f>SUM(Table14[[#This Row],[Fuel and light]])</f>
        <v>135.30000000000001</v>
      </c>
      <c r="AC205" s="1">
        <f>SUM(Table14[[#This Row],[Transport and communication]])</f>
        <v>119.1</v>
      </c>
      <c r="AD205" s="1">
        <f>SUM(Table14[[#This Row],[Housing]],Table14[[#This Row],[Household goods and services]])/2</f>
        <v>134.35</v>
      </c>
      <c r="AE205" s="1">
        <f>SUM(Table14[[#This Row],[Health]])</f>
        <v>132.1</v>
      </c>
      <c r="AF205" s="1">
        <f>SUM(Table14[[#This Row],[Recreation and amusement]],Table14[[#This Row],[Education]])/2</f>
        <v>134.6</v>
      </c>
      <c r="AG205" s="1">
        <f>SUM(Table14[[#This Row],[Miscellaneous]],Table14[[#This Row],[Personal care and effects]])/2</f>
        <v>126.5</v>
      </c>
    </row>
    <row r="206" spans="1:33" hidden="1" x14ac:dyDescent="0.3">
      <c r="A206" t="s">
        <v>36</v>
      </c>
      <c r="B206">
        <v>2016</v>
      </c>
      <c r="C206" t="s">
        <v>42</v>
      </c>
      <c r="D206">
        <v>126.8</v>
      </c>
      <c r="E206">
        <v>144.19999999999999</v>
      </c>
      <c r="F206">
        <v>136.6</v>
      </c>
      <c r="G206">
        <v>131.80000000000001</v>
      </c>
      <c r="H206">
        <v>111</v>
      </c>
      <c r="I206">
        <v>137</v>
      </c>
      <c r="J206">
        <v>179.5</v>
      </c>
      <c r="K206">
        <v>188.4</v>
      </c>
      <c r="L206">
        <v>113.3</v>
      </c>
      <c r="M206">
        <v>143.9</v>
      </c>
      <c r="N206">
        <v>121.7</v>
      </c>
      <c r="O206">
        <v>137.5</v>
      </c>
      <c r="P206">
        <v>139.80000000000001</v>
      </c>
      <c r="Q206">
        <v>126.4</v>
      </c>
      <c r="R206">
        <v>115.5</v>
      </c>
      <c r="S206">
        <v>123.5</v>
      </c>
      <c r="T206">
        <v>120.9</v>
      </c>
      <c r="U206">
        <v>111.7</v>
      </c>
      <c r="V206">
        <v>120.3</v>
      </c>
      <c r="W206">
        <v>130.80000000000001</v>
      </c>
      <c r="X206">
        <v>120</v>
      </c>
      <c r="Y206">
        <v>119.9</v>
      </c>
      <c r="Z206">
        <v>129</v>
      </c>
      <c r="AA206" s="1">
        <f>SUM(Table14[[#This Row],[Cereals and products]:[Food and beverages]])/13</f>
        <v>139.34615384615387</v>
      </c>
      <c r="AB206" s="1">
        <f>SUM(Table14[[#This Row],[Fuel and light]])</f>
        <v>115.5</v>
      </c>
      <c r="AC206" s="1">
        <f>SUM(Table14[[#This Row],[Transport and communication]])</f>
        <v>111.7</v>
      </c>
      <c r="AD206" s="1">
        <f>SUM(Table14[[#This Row],[Housing]],Table14[[#This Row],[Household goods and services]])/2</f>
        <v>124.95</v>
      </c>
      <c r="AE206" s="1">
        <f>SUM(Table14[[#This Row],[Health]])</f>
        <v>120.9</v>
      </c>
      <c r="AF206" s="1">
        <f>SUM(Table14[[#This Row],[Recreation and amusement]],Table14[[#This Row],[Education]])/2</f>
        <v>125.55000000000001</v>
      </c>
      <c r="AG206" s="1">
        <f>SUM(Table14[[#This Row],[Miscellaneous]],Table14[[#This Row],[Personal care and effects]])/2</f>
        <v>119.95</v>
      </c>
    </row>
    <row r="207" spans="1:33" hidden="1" x14ac:dyDescent="0.3">
      <c r="A207" t="s">
        <v>35</v>
      </c>
      <c r="B207">
        <v>2016</v>
      </c>
      <c r="C207" t="s">
        <v>42</v>
      </c>
      <c r="D207">
        <v>128.5</v>
      </c>
      <c r="E207">
        <v>141.19999999999999</v>
      </c>
      <c r="F207">
        <v>132.30000000000001</v>
      </c>
      <c r="G207">
        <v>133.5</v>
      </c>
      <c r="H207">
        <v>116.4</v>
      </c>
      <c r="I207">
        <v>137.80000000000001</v>
      </c>
      <c r="J207">
        <v>165.4</v>
      </c>
      <c r="K207">
        <v>177.4</v>
      </c>
      <c r="L207">
        <v>111.3</v>
      </c>
      <c r="M207">
        <v>137.5</v>
      </c>
      <c r="N207">
        <v>125</v>
      </c>
      <c r="O207">
        <v>138.80000000000001</v>
      </c>
      <c r="P207">
        <v>138.4</v>
      </c>
      <c r="Q207">
        <v>126.4</v>
      </c>
      <c r="R207">
        <v>123.4</v>
      </c>
      <c r="S207">
        <v>126.9</v>
      </c>
      <c r="T207">
        <v>124.5</v>
      </c>
      <c r="U207">
        <v>113.9</v>
      </c>
      <c r="V207">
        <v>122.4</v>
      </c>
      <c r="W207">
        <v>130.80000000000001</v>
      </c>
      <c r="X207">
        <v>120.5</v>
      </c>
      <c r="Y207">
        <v>121.9</v>
      </c>
      <c r="Z207">
        <v>131.1</v>
      </c>
      <c r="AA207" s="1">
        <f>SUM(Table14[[#This Row],[Cereals and products]:[Food and beverages]])/13</f>
        <v>137.19230769230768</v>
      </c>
      <c r="AB207" s="1">
        <f>SUM(Table14[[#This Row],[Fuel and light]])</f>
        <v>123.4</v>
      </c>
      <c r="AC207" s="1">
        <f>SUM(Table14[[#This Row],[Transport and communication]])</f>
        <v>113.9</v>
      </c>
      <c r="AD207" s="1">
        <f>SUM(Table14[[#This Row],[Housing]],Table14[[#This Row],[Household goods and services]])/2</f>
        <v>126.65</v>
      </c>
      <c r="AE207" s="1">
        <f>SUM(Table14[[#This Row],[Health]])</f>
        <v>124.5</v>
      </c>
      <c r="AF207" s="1">
        <f>SUM(Table14[[#This Row],[Recreation and amusement]],Table14[[#This Row],[Education]])/2</f>
        <v>126.60000000000001</v>
      </c>
      <c r="AG207" s="1">
        <f>SUM(Table14[[#This Row],[Miscellaneous]],Table14[[#This Row],[Personal care and effects]])/2</f>
        <v>121.2</v>
      </c>
    </row>
    <row r="208" spans="1:33" hidden="1" x14ac:dyDescent="0.3">
      <c r="A208" t="s">
        <v>33</v>
      </c>
      <c r="B208">
        <v>2016</v>
      </c>
      <c r="C208" t="s">
        <v>42</v>
      </c>
      <c r="D208">
        <v>129.30000000000001</v>
      </c>
      <c r="E208">
        <v>139.5</v>
      </c>
      <c r="F208">
        <v>129.6</v>
      </c>
      <c r="G208">
        <v>134.5</v>
      </c>
      <c r="H208">
        <v>119.5</v>
      </c>
      <c r="I208">
        <v>138.5</v>
      </c>
      <c r="J208">
        <v>158.19999999999999</v>
      </c>
      <c r="K208">
        <v>171.8</v>
      </c>
      <c r="L208">
        <v>110.3</v>
      </c>
      <c r="M208">
        <v>134.30000000000001</v>
      </c>
      <c r="N208">
        <v>127.3</v>
      </c>
      <c r="O208">
        <v>139.9</v>
      </c>
      <c r="P208">
        <v>137.6</v>
      </c>
      <c r="Q208">
        <f>AVERAGE(Q206:Q207)</f>
        <v>126.4</v>
      </c>
      <c r="R208">
        <v>128.19999999999999</v>
      </c>
      <c r="S208">
        <v>130</v>
      </c>
      <c r="T208">
        <v>126.7</v>
      </c>
      <c r="U208">
        <v>116.4</v>
      </c>
      <c r="V208">
        <v>125.2</v>
      </c>
      <c r="W208">
        <v>130.80000000000001</v>
      </c>
      <c r="X208">
        <v>120.9</v>
      </c>
      <c r="Y208">
        <v>123.8</v>
      </c>
      <c r="Z208">
        <v>133</v>
      </c>
      <c r="AA208" s="1">
        <f>SUM(Table14[[#This Row],[Cereals and products]:[Food and beverages]])/13</f>
        <v>136.17692307692306</v>
      </c>
      <c r="AB208" s="1">
        <f>SUM(Table14[[#This Row],[Fuel and light]])</f>
        <v>128.19999999999999</v>
      </c>
      <c r="AC208" s="1">
        <f>SUM(Table14[[#This Row],[Transport and communication]])</f>
        <v>116.4</v>
      </c>
      <c r="AD208" s="1">
        <f>SUM(Table14[[#This Row],[Housing]],Table14[[#This Row],[Household goods and services]])/2</f>
        <v>128.19999999999999</v>
      </c>
      <c r="AE208" s="1">
        <f>SUM(Table14[[#This Row],[Health]])</f>
        <v>126.7</v>
      </c>
      <c r="AF208" s="1">
        <f>SUM(Table14[[#This Row],[Recreation and amusement]],Table14[[#This Row],[Education]])/2</f>
        <v>128</v>
      </c>
      <c r="AG208" s="1">
        <f>SUM(Table14[[#This Row],[Miscellaneous]],Table14[[#This Row],[Personal care and effects]])/2</f>
        <v>122.35</v>
      </c>
    </row>
    <row r="209" spans="1:33" hidden="1" x14ac:dyDescent="0.3">
      <c r="A209" t="s">
        <v>36</v>
      </c>
      <c r="B209">
        <v>2015</v>
      </c>
      <c r="C209" t="s">
        <v>42</v>
      </c>
      <c r="D209">
        <v>123.2</v>
      </c>
      <c r="E209">
        <v>134.30000000000001</v>
      </c>
      <c r="F209">
        <v>119.5</v>
      </c>
      <c r="G209">
        <v>127.7</v>
      </c>
      <c r="H209">
        <v>106.3</v>
      </c>
      <c r="I209">
        <v>132.80000000000001</v>
      </c>
      <c r="J209">
        <v>153.5</v>
      </c>
      <c r="K209">
        <v>149.5</v>
      </c>
      <c r="L209">
        <v>85.7</v>
      </c>
      <c r="M209">
        <v>131.5</v>
      </c>
      <c r="N209">
        <v>118.3</v>
      </c>
      <c r="O209">
        <v>131.1</v>
      </c>
      <c r="P209">
        <v>129.5</v>
      </c>
      <c r="Q209">
        <v>119.9</v>
      </c>
      <c r="R209">
        <v>115.3</v>
      </c>
      <c r="S209">
        <v>119.5</v>
      </c>
      <c r="T209">
        <v>116</v>
      </c>
      <c r="U209">
        <v>111.5</v>
      </c>
      <c r="V209">
        <v>116.6</v>
      </c>
      <c r="W209">
        <v>125.4</v>
      </c>
      <c r="X209">
        <v>111.7</v>
      </c>
      <c r="Y209">
        <v>116.3</v>
      </c>
      <c r="Z209">
        <v>122.4</v>
      </c>
      <c r="AA209" s="1">
        <f>SUM(Table14[[#This Row],[Cereals and products]:[Food and beverages]])/13</f>
        <v>126.37692307692306</v>
      </c>
      <c r="AB209" s="1">
        <f>SUM(Table14[[#This Row],[Fuel and light]])</f>
        <v>115.3</v>
      </c>
      <c r="AC209" s="1">
        <f>SUM(Table14[[#This Row],[Transport and communication]])</f>
        <v>111.5</v>
      </c>
      <c r="AD209" s="1">
        <f>SUM(Table14[[#This Row],[Housing]],Table14[[#This Row],[Household goods and services]])/2</f>
        <v>119.7</v>
      </c>
      <c r="AE209" s="1">
        <f>SUM(Table14[[#This Row],[Health]])</f>
        <v>116</v>
      </c>
      <c r="AF209" s="1">
        <f>SUM(Table14[[#This Row],[Recreation and amusement]],Table14[[#This Row],[Education]])/2</f>
        <v>121</v>
      </c>
      <c r="AG209" s="1">
        <f>SUM(Table14[[#This Row],[Miscellaneous]],Table14[[#This Row],[Personal care and effects]])/2</f>
        <v>114</v>
      </c>
    </row>
    <row r="210" spans="1:33" hidden="1" x14ac:dyDescent="0.3">
      <c r="A210" t="s">
        <v>35</v>
      </c>
      <c r="B210">
        <v>2015</v>
      </c>
      <c r="C210" t="s">
        <v>42</v>
      </c>
      <c r="D210">
        <v>123.7</v>
      </c>
      <c r="E210">
        <v>132.5</v>
      </c>
      <c r="F210">
        <v>121</v>
      </c>
      <c r="G210">
        <v>128.30000000000001</v>
      </c>
      <c r="H210">
        <v>110.9</v>
      </c>
      <c r="I210">
        <v>133.1</v>
      </c>
      <c r="J210">
        <v>145.1</v>
      </c>
      <c r="K210">
        <v>139.1</v>
      </c>
      <c r="L210">
        <v>91.3</v>
      </c>
      <c r="M210">
        <v>126.1</v>
      </c>
      <c r="N210">
        <v>119.9</v>
      </c>
      <c r="O210">
        <v>131.4</v>
      </c>
      <c r="P210">
        <v>128.19999999999999</v>
      </c>
      <c r="Q210">
        <v>119.9</v>
      </c>
      <c r="R210">
        <v>120.1</v>
      </c>
      <c r="S210">
        <v>121.3</v>
      </c>
      <c r="T210">
        <v>119</v>
      </c>
      <c r="U210">
        <v>112.7</v>
      </c>
      <c r="V210">
        <v>117.2</v>
      </c>
      <c r="W210">
        <v>124.4</v>
      </c>
      <c r="X210">
        <v>112.3</v>
      </c>
      <c r="Y210">
        <v>117.2</v>
      </c>
      <c r="Z210">
        <v>123.6</v>
      </c>
      <c r="AA210" s="1">
        <f>SUM(Table14[[#This Row],[Cereals and products]:[Food and beverages]])/13</f>
        <v>125.43076923076924</v>
      </c>
      <c r="AB210" s="1">
        <f>SUM(Table14[[#This Row],[Fuel and light]])</f>
        <v>120.1</v>
      </c>
      <c r="AC210" s="1">
        <f>SUM(Table14[[#This Row],[Transport and communication]])</f>
        <v>112.7</v>
      </c>
      <c r="AD210" s="1">
        <f>SUM(Table14[[#This Row],[Housing]],Table14[[#This Row],[Household goods and services]])/2</f>
        <v>120.6</v>
      </c>
      <c r="AE210" s="1">
        <f>SUM(Table14[[#This Row],[Health]])</f>
        <v>119</v>
      </c>
      <c r="AF210" s="1">
        <f>SUM(Table14[[#This Row],[Recreation and amusement]],Table14[[#This Row],[Education]])/2</f>
        <v>120.80000000000001</v>
      </c>
      <c r="AG210" s="1">
        <f>SUM(Table14[[#This Row],[Miscellaneous]],Table14[[#This Row],[Personal care and effects]])/2</f>
        <v>114.75</v>
      </c>
    </row>
    <row r="211" spans="1:33" hidden="1" x14ac:dyDescent="0.3">
      <c r="A211" t="s">
        <v>33</v>
      </c>
      <c r="B211">
        <v>2015</v>
      </c>
      <c r="C211" t="s">
        <v>42</v>
      </c>
      <c r="D211">
        <v>124</v>
      </c>
      <c r="E211">
        <v>131.5</v>
      </c>
      <c r="F211">
        <v>122</v>
      </c>
      <c r="G211">
        <v>128.69999999999999</v>
      </c>
      <c r="H211">
        <v>113.5</v>
      </c>
      <c r="I211">
        <v>133.30000000000001</v>
      </c>
      <c r="J211">
        <v>140.80000000000001</v>
      </c>
      <c r="K211">
        <v>133.80000000000001</v>
      </c>
      <c r="L211">
        <v>94.1</v>
      </c>
      <c r="M211">
        <v>123.4</v>
      </c>
      <c r="N211">
        <v>121</v>
      </c>
      <c r="O211">
        <v>131.69999999999999</v>
      </c>
      <c r="P211">
        <v>127.5</v>
      </c>
      <c r="Q211">
        <f>AVERAGE(Q209:Q210)</f>
        <v>119.9</v>
      </c>
      <c r="R211">
        <v>123</v>
      </c>
      <c r="S211">
        <v>123</v>
      </c>
      <c r="T211">
        <v>120.8</v>
      </c>
      <c r="U211">
        <v>114.1</v>
      </c>
      <c r="V211">
        <v>118</v>
      </c>
      <c r="W211">
        <v>122.9</v>
      </c>
      <c r="X211">
        <v>112.7</v>
      </c>
      <c r="Y211">
        <v>118.1</v>
      </c>
      <c r="Z211">
        <v>124.7</v>
      </c>
      <c r="AA211" s="1">
        <f>SUM(Table14[[#This Row],[Cereals and products]:[Food and beverages]])/13</f>
        <v>125.02307692307691</v>
      </c>
      <c r="AB211" s="1">
        <f>SUM(Table14[[#This Row],[Fuel and light]])</f>
        <v>123</v>
      </c>
      <c r="AC211" s="1">
        <f>SUM(Table14[[#This Row],[Transport and communication]])</f>
        <v>114.1</v>
      </c>
      <c r="AD211" s="1">
        <f>SUM(Table14[[#This Row],[Housing]],Table14[[#This Row],[Household goods and services]])/2</f>
        <v>121.45</v>
      </c>
      <c r="AE211" s="1">
        <f>SUM(Table14[[#This Row],[Health]])</f>
        <v>120.8</v>
      </c>
      <c r="AF211" s="1">
        <f>SUM(Table14[[#This Row],[Recreation and amusement]],Table14[[#This Row],[Education]])/2</f>
        <v>120.45</v>
      </c>
      <c r="AG211" s="1">
        <f>SUM(Table14[[#This Row],[Miscellaneous]],Table14[[#This Row],[Personal care and effects]])/2</f>
        <v>115.4</v>
      </c>
    </row>
    <row r="212" spans="1:33" hidden="1" x14ac:dyDescent="0.3">
      <c r="A212" t="s">
        <v>33</v>
      </c>
      <c r="B212">
        <v>2014</v>
      </c>
      <c r="C212" t="s">
        <v>42</v>
      </c>
      <c r="D212">
        <v>121.7</v>
      </c>
      <c r="E212">
        <v>122.5</v>
      </c>
      <c r="F212">
        <v>117.7</v>
      </c>
      <c r="G212">
        <v>120.6</v>
      </c>
      <c r="H212">
        <v>110.4</v>
      </c>
      <c r="I212">
        <v>129.1</v>
      </c>
      <c r="J212">
        <v>150.1</v>
      </c>
      <c r="K212">
        <v>113.2</v>
      </c>
      <c r="L212">
        <v>104.8</v>
      </c>
      <c r="M212">
        <v>113.3</v>
      </c>
      <c r="N212">
        <v>115.6</v>
      </c>
      <c r="O212">
        <v>120.9</v>
      </c>
      <c r="P212">
        <v>123.3</v>
      </c>
      <c r="Q212">
        <f>AVERAGE(Q213:Q214)</f>
        <v>114.8</v>
      </c>
      <c r="R212">
        <v>115.3</v>
      </c>
      <c r="S212">
        <v>115.4</v>
      </c>
      <c r="T212">
        <v>113.4</v>
      </c>
      <c r="U212">
        <v>113.2</v>
      </c>
      <c r="V212">
        <v>111.8</v>
      </c>
      <c r="W212">
        <v>115.5</v>
      </c>
      <c r="X212">
        <v>108.8</v>
      </c>
      <c r="Y212">
        <v>113.1</v>
      </c>
      <c r="Z212">
        <v>119.5</v>
      </c>
      <c r="AA212" s="1">
        <f>SUM(Table14[[#This Row],[Cereals and products]:[Food and beverages]])/13</f>
        <v>120.24615384615385</v>
      </c>
      <c r="AB212" s="1">
        <f>SUM(Table14[[#This Row],[Fuel and light]])</f>
        <v>115.3</v>
      </c>
      <c r="AC212" s="1">
        <f>SUM(Table14[[#This Row],[Transport and communication]])</f>
        <v>113.2</v>
      </c>
      <c r="AD212" s="1">
        <f>SUM(Table14[[#This Row],[Housing]],Table14[[#This Row],[Household goods and services]])/2</f>
        <v>115.1</v>
      </c>
      <c r="AE212" s="1">
        <f>SUM(Table14[[#This Row],[Health]])</f>
        <v>113.4</v>
      </c>
      <c r="AF212" s="1">
        <f>SUM(Table14[[#This Row],[Recreation and amusement]],Table14[[#This Row],[Education]])/2</f>
        <v>113.65</v>
      </c>
      <c r="AG212" s="1">
        <f>SUM(Table14[[#This Row],[Miscellaneous]],Table14[[#This Row],[Personal care and effects]])/2</f>
        <v>110.94999999999999</v>
      </c>
    </row>
    <row r="213" spans="1:33" hidden="1" x14ac:dyDescent="0.3">
      <c r="A213" t="s">
        <v>35</v>
      </c>
      <c r="B213">
        <v>2014</v>
      </c>
      <c r="C213" t="s">
        <v>42</v>
      </c>
      <c r="D213">
        <v>122.4</v>
      </c>
      <c r="E213">
        <v>123.9</v>
      </c>
      <c r="F213">
        <v>117.8</v>
      </c>
      <c r="G213">
        <v>121</v>
      </c>
      <c r="H213">
        <v>107.9</v>
      </c>
      <c r="I213">
        <v>131.19999999999999</v>
      </c>
      <c r="J213">
        <v>157.69999999999999</v>
      </c>
      <c r="K213">
        <v>113.2</v>
      </c>
      <c r="L213">
        <v>104.1</v>
      </c>
      <c r="M213">
        <v>115.5</v>
      </c>
      <c r="N213">
        <v>114.8</v>
      </c>
      <c r="O213">
        <v>122.1</v>
      </c>
      <c r="P213">
        <v>124.7</v>
      </c>
      <c r="Q213">
        <v>114.8</v>
      </c>
      <c r="R213">
        <v>113.9</v>
      </c>
      <c r="S213">
        <v>115.2</v>
      </c>
      <c r="T213">
        <v>112.7</v>
      </c>
      <c r="U213">
        <v>113.1</v>
      </c>
      <c r="V213">
        <v>112.1</v>
      </c>
      <c r="W213">
        <v>116.8</v>
      </c>
      <c r="X213">
        <v>109.2</v>
      </c>
      <c r="Y213">
        <v>113.3</v>
      </c>
      <c r="Z213">
        <v>119.2</v>
      </c>
      <c r="AA213" s="1">
        <f>SUM(Table14[[#This Row],[Cereals and products]:[Food and beverages]])/13</f>
        <v>121.25384615384615</v>
      </c>
      <c r="AB213" s="1">
        <f>SUM(Table14[[#This Row],[Fuel and light]])</f>
        <v>113.9</v>
      </c>
      <c r="AC213" s="1">
        <f>SUM(Table14[[#This Row],[Transport and communication]])</f>
        <v>113.1</v>
      </c>
      <c r="AD213" s="1">
        <f>SUM(Table14[[#This Row],[Housing]],Table14[[#This Row],[Household goods and services]])/2</f>
        <v>115</v>
      </c>
      <c r="AE213" s="1">
        <f>SUM(Table14[[#This Row],[Health]])</f>
        <v>112.7</v>
      </c>
      <c r="AF213" s="1">
        <f>SUM(Table14[[#This Row],[Recreation and amusement]],Table14[[#This Row],[Education]])/2</f>
        <v>114.44999999999999</v>
      </c>
      <c r="AG213" s="1">
        <f>SUM(Table14[[#This Row],[Miscellaneous]],Table14[[#This Row],[Personal care and effects]])/2</f>
        <v>111.25</v>
      </c>
    </row>
    <row r="214" spans="1:33" hidden="1" x14ac:dyDescent="0.3">
      <c r="A214" t="s">
        <v>36</v>
      </c>
      <c r="B214">
        <v>2014</v>
      </c>
      <c r="C214" t="s">
        <v>42</v>
      </c>
      <c r="D214">
        <v>123.8</v>
      </c>
      <c r="E214">
        <v>126.4</v>
      </c>
      <c r="F214">
        <v>118</v>
      </c>
      <c r="G214">
        <v>121.6</v>
      </c>
      <c r="H214">
        <v>103.5</v>
      </c>
      <c r="I214">
        <v>133.69999999999999</v>
      </c>
      <c r="J214">
        <v>172.4</v>
      </c>
      <c r="K214">
        <v>113.1</v>
      </c>
      <c r="L214">
        <v>102.7</v>
      </c>
      <c r="M214">
        <v>120</v>
      </c>
      <c r="N214">
        <v>113.8</v>
      </c>
      <c r="O214">
        <v>123.4</v>
      </c>
      <c r="P214">
        <v>127.1</v>
      </c>
      <c r="Q214">
        <v>114.8</v>
      </c>
      <c r="R214">
        <v>111.6</v>
      </c>
      <c r="S214">
        <v>114.9</v>
      </c>
      <c r="T214">
        <v>111.5</v>
      </c>
      <c r="U214">
        <v>113</v>
      </c>
      <c r="V214">
        <v>112.4</v>
      </c>
      <c r="W214">
        <v>117.8</v>
      </c>
      <c r="X214">
        <v>109.7</v>
      </c>
      <c r="Y214">
        <v>113.5</v>
      </c>
      <c r="Z214">
        <v>118.9</v>
      </c>
      <c r="AA214" s="1">
        <f>SUM(Table14[[#This Row],[Cereals and products]:[Food and beverages]])/13</f>
        <v>123.03846153846153</v>
      </c>
      <c r="AB214" s="1">
        <f>SUM(Table14[[#This Row],[Fuel and light]])</f>
        <v>111.6</v>
      </c>
      <c r="AC214" s="1">
        <f>SUM(Table14[[#This Row],[Transport and communication]])</f>
        <v>113</v>
      </c>
      <c r="AD214" s="1">
        <f>SUM(Table14[[#This Row],[Housing]],Table14[[#This Row],[Household goods and services]])/2</f>
        <v>114.85</v>
      </c>
      <c r="AE214" s="1">
        <f>SUM(Table14[[#This Row],[Health]])</f>
        <v>111.5</v>
      </c>
      <c r="AF214" s="1">
        <f>SUM(Table14[[#This Row],[Recreation and amusement]],Table14[[#This Row],[Education]])/2</f>
        <v>115.1</v>
      </c>
      <c r="AG214" s="1">
        <f>SUM(Table14[[#This Row],[Miscellaneous]],Table14[[#This Row],[Personal care and effects]])/2</f>
        <v>111.6</v>
      </c>
    </row>
    <row r="215" spans="1:33" hidden="1" x14ac:dyDescent="0.3">
      <c r="A215" t="s">
        <v>33</v>
      </c>
      <c r="B215">
        <v>2013</v>
      </c>
      <c r="C215" t="s">
        <v>42</v>
      </c>
      <c r="D215">
        <v>113.4</v>
      </c>
      <c r="E215">
        <v>114.9</v>
      </c>
      <c r="F215">
        <v>110.5</v>
      </c>
      <c r="G215">
        <v>109.3</v>
      </c>
      <c r="H215">
        <v>106.2</v>
      </c>
      <c r="I215">
        <v>110.3</v>
      </c>
      <c r="J215">
        <v>129.19999999999999</v>
      </c>
      <c r="K215">
        <v>107.1</v>
      </c>
      <c r="L215">
        <v>104.3</v>
      </c>
      <c r="M215">
        <v>106.4</v>
      </c>
      <c r="N215">
        <v>109.1</v>
      </c>
      <c r="O215">
        <v>112.1</v>
      </c>
      <c r="P215">
        <v>113.1</v>
      </c>
      <c r="Q215">
        <f>AVERAGE(Q216:Q217)</f>
        <v>107.7</v>
      </c>
      <c r="R215">
        <v>109.5</v>
      </c>
      <c r="S215">
        <v>108.3</v>
      </c>
      <c r="T215">
        <v>106.9</v>
      </c>
      <c r="U215">
        <v>106.8</v>
      </c>
      <c r="V215">
        <v>106.4</v>
      </c>
      <c r="W215">
        <v>107.8</v>
      </c>
      <c r="X215">
        <v>102.5</v>
      </c>
      <c r="Y215">
        <v>106.5</v>
      </c>
      <c r="Z215">
        <v>110.7</v>
      </c>
      <c r="AA215" s="1">
        <f>SUM(Table14[[#This Row],[Cereals and products]:[Food and beverages]])/13</f>
        <v>111.22307692307689</v>
      </c>
      <c r="AB215" s="1">
        <f>SUM(Table14[[#This Row],[Fuel and light]])</f>
        <v>109.5</v>
      </c>
      <c r="AC215" s="1">
        <f>SUM(Table14[[#This Row],[Transport and communication]])</f>
        <v>106.8</v>
      </c>
      <c r="AD215" s="1">
        <f>SUM(Table14[[#This Row],[Housing]],Table14[[#This Row],[Household goods and services]])/2</f>
        <v>108</v>
      </c>
      <c r="AE215" s="1">
        <f>SUM(Table14[[#This Row],[Health]])</f>
        <v>106.9</v>
      </c>
      <c r="AF215" s="1">
        <f>SUM(Table14[[#This Row],[Recreation and amusement]],Table14[[#This Row],[Education]])/2</f>
        <v>107.1</v>
      </c>
      <c r="AG215" s="1">
        <f>SUM(Table14[[#This Row],[Miscellaneous]],Table14[[#This Row],[Personal care and effects]])/2</f>
        <v>104.5</v>
      </c>
    </row>
    <row r="216" spans="1:33" hidden="1" x14ac:dyDescent="0.3">
      <c r="A216" t="s">
        <v>35</v>
      </c>
      <c r="B216">
        <v>2013</v>
      </c>
      <c r="C216" t="s">
        <v>42</v>
      </c>
      <c r="D216">
        <v>114.8</v>
      </c>
      <c r="E216">
        <v>116.4</v>
      </c>
      <c r="F216">
        <v>111.9</v>
      </c>
      <c r="G216">
        <v>108.9</v>
      </c>
      <c r="H216">
        <v>104.3</v>
      </c>
      <c r="I216">
        <v>111.7</v>
      </c>
      <c r="J216">
        <v>140</v>
      </c>
      <c r="K216">
        <v>106.4</v>
      </c>
      <c r="L216">
        <v>103.3</v>
      </c>
      <c r="M216">
        <v>106.8</v>
      </c>
      <c r="N216">
        <v>109.6</v>
      </c>
      <c r="O216">
        <v>112.6</v>
      </c>
      <c r="P216">
        <v>114.7</v>
      </c>
      <c r="Q216">
        <v>107.7</v>
      </c>
      <c r="R216">
        <v>109.2</v>
      </c>
      <c r="S216">
        <v>108.2</v>
      </c>
      <c r="T216">
        <v>107</v>
      </c>
      <c r="U216">
        <v>107.1</v>
      </c>
      <c r="V216">
        <v>106.1</v>
      </c>
      <c r="W216">
        <v>109.1</v>
      </c>
      <c r="X216">
        <v>102.8</v>
      </c>
      <c r="Y216">
        <v>106.9</v>
      </c>
      <c r="Z216">
        <v>111</v>
      </c>
      <c r="AA216" s="1">
        <f>SUM(Table14[[#This Row],[Cereals and products]:[Food and beverages]])/13</f>
        <v>112.41538461538461</v>
      </c>
      <c r="AB216" s="1">
        <f>SUM(Table14[[#This Row],[Fuel and light]])</f>
        <v>109.2</v>
      </c>
      <c r="AC216" s="1">
        <f>SUM(Table14[[#This Row],[Transport and communication]])</f>
        <v>107.1</v>
      </c>
      <c r="AD216" s="1">
        <f>SUM(Table14[[#This Row],[Housing]],Table14[[#This Row],[Household goods and services]])/2</f>
        <v>107.95</v>
      </c>
      <c r="AE216" s="1">
        <f>SUM(Table14[[#This Row],[Health]])</f>
        <v>107</v>
      </c>
      <c r="AF216" s="1">
        <f>SUM(Table14[[#This Row],[Recreation and amusement]],Table14[[#This Row],[Education]])/2</f>
        <v>107.6</v>
      </c>
      <c r="AG216" s="1">
        <f>SUM(Table14[[#This Row],[Miscellaneous]],Table14[[#This Row],[Personal care and effects]])/2</f>
        <v>104.85</v>
      </c>
    </row>
    <row r="217" spans="1:33" hidden="1" x14ac:dyDescent="0.3">
      <c r="A217" t="s">
        <v>36</v>
      </c>
      <c r="B217">
        <v>2013</v>
      </c>
      <c r="C217" t="s">
        <v>42</v>
      </c>
      <c r="D217">
        <v>117.8</v>
      </c>
      <c r="E217">
        <v>119.2</v>
      </c>
      <c r="F217">
        <v>114</v>
      </c>
      <c r="G217">
        <v>108.3</v>
      </c>
      <c r="H217">
        <v>101.1</v>
      </c>
      <c r="I217">
        <v>113.2</v>
      </c>
      <c r="J217">
        <v>160.9</v>
      </c>
      <c r="K217">
        <v>105.1</v>
      </c>
      <c r="L217">
        <v>101.3</v>
      </c>
      <c r="M217">
        <v>107.5</v>
      </c>
      <c r="N217">
        <v>110.4</v>
      </c>
      <c r="O217">
        <v>113.1</v>
      </c>
      <c r="P217">
        <v>117.5</v>
      </c>
      <c r="Q217">
        <v>107.7</v>
      </c>
      <c r="R217">
        <v>108.6</v>
      </c>
      <c r="S217">
        <v>108.1</v>
      </c>
      <c r="T217">
        <v>107.1</v>
      </c>
      <c r="U217">
        <v>107.3</v>
      </c>
      <c r="V217">
        <v>105.9</v>
      </c>
      <c r="W217">
        <v>110.1</v>
      </c>
      <c r="X217">
        <v>103.2</v>
      </c>
      <c r="Y217">
        <v>107.3</v>
      </c>
      <c r="Z217">
        <v>111.4</v>
      </c>
      <c r="AA217" s="1">
        <f>SUM(Table14[[#This Row],[Cereals and products]:[Food and beverages]])/13</f>
        <v>114.56923076923077</v>
      </c>
      <c r="AB217" s="1">
        <f>SUM(Table14[[#This Row],[Fuel and light]])</f>
        <v>108.6</v>
      </c>
      <c r="AC217" s="1">
        <f>SUM(Table14[[#This Row],[Transport and communication]])</f>
        <v>107.3</v>
      </c>
      <c r="AD217" s="1">
        <f>SUM(Table14[[#This Row],[Housing]],Table14[[#This Row],[Household goods and services]])/2</f>
        <v>107.9</v>
      </c>
      <c r="AE217" s="1">
        <f>SUM(Table14[[#This Row],[Health]])</f>
        <v>107.1</v>
      </c>
      <c r="AF217" s="1">
        <f>SUM(Table14[[#This Row],[Recreation and amusement]],Table14[[#This Row],[Education]])/2</f>
        <v>108</v>
      </c>
      <c r="AG217" s="1">
        <f>SUM(Table14[[#This Row],[Miscellaneous]],Table14[[#This Row],[Personal care and effects]])/2</f>
        <v>105.25</v>
      </c>
    </row>
    <row r="218" spans="1:33" hidden="1" x14ac:dyDescent="0.3">
      <c r="A218" t="s">
        <v>36</v>
      </c>
      <c r="B218">
        <v>2023</v>
      </c>
      <c r="C218" t="s">
        <v>41</v>
      </c>
      <c r="D218">
        <v>173.3</v>
      </c>
      <c r="E218">
        <v>215.2</v>
      </c>
      <c r="F218">
        <v>197</v>
      </c>
      <c r="G218">
        <v>175.2</v>
      </c>
      <c r="H218">
        <v>178</v>
      </c>
      <c r="I218">
        <v>160.5</v>
      </c>
      <c r="J218">
        <v>175.3</v>
      </c>
      <c r="K218">
        <v>171.2</v>
      </c>
      <c r="L218">
        <v>122.7</v>
      </c>
      <c r="M218">
        <v>204.3</v>
      </c>
      <c r="N218">
        <v>163.69999999999999</v>
      </c>
      <c r="O218">
        <v>194.3</v>
      </c>
      <c r="P218">
        <v>179.5</v>
      </c>
      <c r="Q218">
        <v>172.1</v>
      </c>
      <c r="R218">
        <v>180.1</v>
      </c>
      <c r="S218">
        <v>168</v>
      </c>
      <c r="T218">
        <v>178.5</v>
      </c>
      <c r="U218">
        <v>159.5</v>
      </c>
      <c r="V218">
        <v>167.8</v>
      </c>
      <c r="W218">
        <v>171.8</v>
      </c>
      <c r="X218">
        <v>178.8</v>
      </c>
      <c r="Y218">
        <v>168.9</v>
      </c>
      <c r="Z218">
        <v>174.9</v>
      </c>
      <c r="AA218" s="1">
        <f>SUM(Table14[[#This Row],[Cereals and products]:[Food and beverages]])/13</f>
        <v>177.70769230769233</v>
      </c>
      <c r="AB218" s="1">
        <f>SUM(Table14[[#This Row],[Fuel and light]])</f>
        <v>180.1</v>
      </c>
      <c r="AC218" s="1">
        <f>SUM(Table14[[#This Row],[Transport and communication]])</f>
        <v>159.5</v>
      </c>
      <c r="AD218" s="1">
        <f>SUM(Table14[[#This Row],[Housing]],Table14[[#This Row],[Household goods and services]])/2</f>
        <v>170.05</v>
      </c>
      <c r="AE218" s="1">
        <f>SUM(Table14[[#This Row],[Health]])</f>
        <v>178.5</v>
      </c>
      <c r="AF218" s="1">
        <f>SUM(Table14[[#This Row],[Recreation and amusement]],Table14[[#This Row],[Education]])/2</f>
        <v>169.8</v>
      </c>
      <c r="AG218" s="1">
        <f>SUM(Table14[[#This Row],[Miscellaneous]],Table14[[#This Row],[Personal care and effects]])/2</f>
        <v>173.85000000000002</v>
      </c>
    </row>
    <row r="219" spans="1:33" hidden="1" x14ac:dyDescent="0.3">
      <c r="A219" t="s">
        <v>35</v>
      </c>
      <c r="B219">
        <v>2023</v>
      </c>
      <c r="C219" t="s">
        <v>41</v>
      </c>
      <c r="D219">
        <v>173.8</v>
      </c>
      <c r="E219">
        <v>210.7</v>
      </c>
      <c r="F219">
        <v>194.5</v>
      </c>
      <c r="G219">
        <v>174.6</v>
      </c>
      <c r="H219">
        <v>187.2</v>
      </c>
      <c r="I219">
        <v>158.30000000000001</v>
      </c>
      <c r="J219">
        <v>153.9</v>
      </c>
      <c r="K219">
        <v>170.9</v>
      </c>
      <c r="L219">
        <v>121.1</v>
      </c>
      <c r="M219">
        <v>208.4</v>
      </c>
      <c r="N219">
        <v>171.4</v>
      </c>
      <c r="O219">
        <v>191.2</v>
      </c>
      <c r="P219">
        <v>176.7</v>
      </c>
      <c r="Q219">
        <v>172.1</v>
      </c>
      <c r="R219">
        <v>182</v>
      </c>
      <c r="S219">
        <v>172.9</v>
      </c>
      <c r="T219">
        <v>182.3</v>
      </c>
      <c r="U219">
        <v>163.6</v>
      </c>
      <c r="V219">
        <v>169.5</v>
      </c>
      <c r="W219">
        <v>174.3</v>
      </c>
      <c r="X219">
        <v>178.6</v>
      </c>
      <c r="Y219">
        <v>172.8</v>
      </c>
      <c r="Z219">
        <v>176.5</v>
      </c>
      <c r="AA219" s="1">
        <f>SUM(Table14[[#This Row],[Cereals and products]:[Food and beverages]])/13</f>
        <v>176.36153846153846</v>
      </c>
      <c r="AB219" s="1">
        <f>SUM(Table14[[#This Row],[Fuel and light]])</f>
        <v>182</v>
      </c>
      <c r="AC219" s="1">
        <f>SUM(Table14[[#This Row],[Transport and communication]])</f>
        <v>163.6</v>
      </c>
      <c r="AD219" s="1">
        <f>SUM(Table14[[#This Row],[Housing]],Table14[[#This Row],[Household goods and services]])/2</f>
        <v>172.5</v>
      </c>
      <c r="AE219" s="1">
        <f>SUM(Table14[[#This Row],[Health]])</f>
        <v>182.3</v>
      </c>
      <c r="AF219" s="1">
        <f>SUM(Table14[[#This Row],[Recreation and amusement]],Table14[[#This Row],[Education]])/2</f>
        <v>171.9</v>
      </c>
      <c r="AG219" s="1">
        <f>SUM(Table14[[#This Row],[Miscellaneous]],Table14[[#This Row],[Personal care and effects]])/2</f>
        <v>175.7</v>
      </c>
    </row>
    <row r="220" spans="1:33" hidden="1" x14ac:dyDescent="0.3">
      <c r="A220" t="s">
        <v>33</v>
      </c>
      <c r="B220">
        <v>2023</v>
      </c>
      <c r="C220" t="s">
        <v>41</v>
      </c>
      <c r="D220">
        <v>174</v>
      </c>
      <c r="E220">
        <v>208.3</v>
      </c>
      <c r="F220">
        <v>192.9</v>
      </c>
      <c r="G220">
        <v>174.3</v>
      </c>
      <c r="H220">
        <v>192.6</v>
      </c>
      <c r="I220">
        <v>156.30000000000001</v>
      </c>
      <c r="J220">
        <v>142.9</v>
      </c>
      <c r="K220">
        <v>170.7</v>
      </c>
      <c r="L220">
        <v>120.3</v>
      </c>
      <c r="M220">
        <v>210.5</v>
      </c>
      <c r="N220">
        <v>176.9</v>
      </c>
      <c r="O220">
        <v>188.5</v>
      </c>
      <c r="P220">
        <v>175</v>
      </c>
      <c r="Q220">
        <f>AVERAGE(Q218:Q219)</f>
        <v>172.1</v>
      </c>
      <c r="R220">
        <v>183.2</v>
      </c>
      <c r="S220">
        <v>177.2</v>
      </c>
      <c r="T220">
        <v>184.7</v>
      </c>
      <c r="U220">
        <v>168.2</v>
      </c>
      <c r="V220">
        <v>171.8</v>
      </c>
      <c r="W220">
        <v>177.8</v>
      </c>
      <c r="X220">
        <v>178.4</v>
      </c>
      <c r="Y220">
        <v>176.5</v>
      </c>
      <c r="Z220">
        <v>177.8</v>
      </c>
      <c r="AA220" s="1">
        <f>SUM(Table14[[#This Row],[Cereals and products]:[Food and beverages]])/13</f>
        <v>175.63076923076926</v>
      </c>
      <c r="AB220" s="1">
        <f>SUM(Table14[[#This Row],[Fuel and light]])</f>
        <v>183.2</v>
      </c>
      <c r="AC220" s="1">
        <f>SUM(Table14[[#This Row],[Transport and communication]])</f>
        <v>168.2</v>
      </c>
      <c r="AD220" s="1">
        <f>SUM(Table14[[#This Row],[Housing]],Table14[[#This Row],[Household goods and services]])/2</f>
        <v>174.64999999999998</v>
      </c>
      <c r="AE220" s="1">
        <f>SUM(Table14[[#This Row],[Health]])</f>
        <v>184.7</v>
      </c>
      <c r="AF220" s="1">
        <f>SUM(Table14[[#This Row],[Recreation and amusement]],Table14[[#This Row],[Education]])/2</f>
        <v>174.8</v>
      </c>
      <c r="AG220" s="1">
        <f>SUM(Table14[[#This Row],[Miscellaneous]],Table14[[#This Row],[Personal care and effects]])/2</f>
        <v>177.45</v>
      </c>
    </row>
    <row r="221" spans="1:33" hidden="1" x14ac:dyDescent="0.3">
      <c r="A221" t="s">
        <v>33</v>
      </c>
      <c r="B221">
        <v>2022</v>
      </c>
      <c r="C221" t="s">
        <v>41</v>
      </c>
      <c r="D221">
        <v>148.30000000000001</v>
      </c>
      <c r="E221">
        <v>196.9</v>
      </c>
      <c r="F221">
        <v>178</v>
      </c>
      <c r="G221">
        <v>160.5</v>
      </c>
      <c r="H221">
        <v>192.6</v>
      </c>
      <c r="I221">
        <v>151.19999999999999</v>
      </c>
      <c r="J221">
        <v>159.19999999999999</v>
      </c>
      <c r="K221">
        <v>164</v>
      </c>
      <c r="L221">
        <v>119.3</v>
      </c>
      <c r="M221">
        <v>173.3</v>
      </c>
      <c r="N221">
        <v>169.8</v>
      </c>
      <c r="O221">
        <v>175.8</v>
      </c>
      <c r="P221">
        <v>164.1</v>
      </c>
      <c r="Q221">
        <f>AVERAGE(Q222:Q223)</f>
        <v>164.5</v>
      </c>
      <c r="R221">
        <v>165.8</v>
      </c>
      <c r="S221">
        <v>164.9</v>
      </c>
      <c r="T221">
        <v>174.7</v>
      </c>
      <c r="U221">
        <v>160.80000000000001</v>
      </c>
      <c r="V221">
        <v>164.9</v>
      </c>
      <c r="W221">
        <v>169.9</v>
      </c>
      <c r="X221">
        <v>163.19999999999999</v>
      </c>
      <c r="Y221">
        <v>166.6</v>
      </c>
      <c r="Z221">
        <v>166.4</v>
      </c>
      <c r="AA221" s="1">
        <f>SUM(Table14[[#This Row],[Cereals and products]:[Food and beverages]])/13</f>
        <v>165.61538461538461</v>
      </c>
      <c r="AB221" s="1">
        <f>SUM(Table14[[#This Row],[Fuel and light]])</f>
        <v>165.8</v>
      </c>
      <c r="AC221" s="1">
        <f>SUM(Table14[[#This Row],[Transport and communication]])</f>
        <v>160.80000000000001</v>
      </c>
      <c r="AD221" s="1">
        <f>SUM(Table14[[#This Row],[Housing]],Table14[[#This Row],[Household goods and services]])/2</f>
        <v>164.7</v>
      </c>
      <c r="AE221" s="1">
        <f>SUM(Table14[[#This Row],[Health]])</f>
        <v>174.7</v>
      </c>
      <c r="AF221" s="1">
        <f>SUM(Table14[[#This Row],[Recreation and amusement]],Table14[[#This Row],[Education]])/2</f>
        <v>167.4</v>
      </c>
      <c r="AG221" s="1">
        <f>SUM(Table14[[#This Row],[Miscellaneous]],Table14[[#This Row],[Personal care and effects]])/2</f>
        <v>164.89999999999998</v>
      </c>
    </row>
    <row r="222" spans="1:33" hidden="1" x14ac:dyDescent="0.3">
      <c r="A222" t="s">
        <v>35</v>
      </c>
      <c r="B222">
        <v>2022</v>
      </c>
      <c r="C222" t="s">
        <v>41</v>
      </c>
      <c r="D222">
        <v>149.5</v>
      </c>
      <c r="E222">
        <v>198.7</v>
      </c>
      <c r="F222">
        <v>178.8</v>
      </c>
      <c r="G222">
        <v>160.5</v>
      </c>
      <c r="H222">
        <v>184.7</v>
      </c>
      <c r="I222">
        <v>153.69999999999999</v>
      </c>
      <c r="J222">
        <v>174.3</v>
      </c>
      <c r="K222">
        <v>163.9</v>
      </c>
      <c r="L222">
        <v>120</v>
      </c>
      <c r="M222">
        <v>172.1</v>
      </c>
      <c r="N222">
        <v>164.3</v>
      </c>
      <c r="O222">
        <v>177.3</v>
      </c>
      <c r="P222">
        <v>166.4</v>
      </c>
      <c r="Q222">
        <v>164.5</v>
      </c>
      <c r="R222">
        <v>164.2</v>
      </c>
      <c r="S222">
        <v>161.1</v>
      </c>
      <c r="T222">
        <v>171.4</v>
      </c>
      <c r="U222">
        <v>156.5</v>
      </c>
      <c r="V222">
        <v>161.19999999999999</v>
      </c>
      <c r="W222">
        <v>164.7</v>
      </c>
      <c r="X222">
        <v>163</v>
      </c>
      <c r="Y222">
        <v>162.69999999999999</v>
      </c>
      <c r="Z222">
        <v>165.7</v>
      </c>
      <c r="AA222" s="1">
        <f>SUM(Table14[[#This Row],[Cereals and products]:[Food and beverages]])/13</f>
        <v>166.47692307692307</v>
      </c>
      <c r="AB222" s="1">
        <f>SUM(Table14[[#This Row],[Fuel and light]])</f>
        <v>164.2</v>
      </c>
      <c r="AC222" s="1">
        <f>SUM(Table14[[#This Row],[Transport and communication]])</f>
        <v>156.5</v>
      </c>
      <c r="AD222" s="1">
        <f>SUM(Table14[[#This Row],[Housing]],Table14[[#This Row],[Household goods and services]])/2</f>
        <v>162.80000000000001</v>
      </c>
      <c r="AE222" s="1">
        <f>SUM(Table14[[#This Row],[Health]])</f>
        <v>171.4</v>
      </c>
      <c r="AF222" s="1">
        <f>SUM(Table14[[#This Row],[Recreation and amusement]],Table14[[#This Row],[Education]])/2</f>
        <v>162.94999999999999</v>
      </c>
      <c r="AG222" s="1">
        <f>SUM(Table14[[#This Row],[Miscellaneous]],Table14[[#This Row],[Personal care and effects]])/2</f>
        <v>162.85</v>
      </c>
    </row>
    <row r="223" spans="1:33" hidden="1" x14ac:dyDescent="0.3">
      <c r="A223" t="s">
        <v>36</v>
      </c>
      <c r="B223">
        <v>2022</v>
      </c>
      <c r="C223" t="s">
        <v>41</v>
      </c>
      <c r="D223">
        <v>152.19999999999999</v>
      </c>
      <c r="E223">
        <v>202.1</v>
      </c>
      <c r="F223">
        <v>180.1</v>
      </c>
      <c r="G223">
        <v>160.4</v>
      </c>
      <c r="H223">
        <v>171</v>
      </c>
      <c r="I223">
        <v>156.5</v>
      </c>
      <c r="J223">
        <v>203.6</v>
      </c>
      <c r="K223">
        <v>163.80000000000001</v>
      </c>
      <c r="L223">
        <v>121.3</v>
      </c>
      <c r="M223">
        <v>169.8</v>
      </c>
      <c r="N223">
        <v>156.6</v>
      </c>
      <c r="O223">
        <v>179</v>
      </c>
      <c r="P223">
        <v>170.3</v>
      </c>
      <c r="Q223">
        <v>164.5</v>
      </c>
      <c r="R223">
        <v>161.6</v>
      </c>
      <c r="S223">
        <v>156.80000000000001</v>
      </c>
      <c r="T223">
        <v>166.1</v>
      </c>
      <c r="U223">
        <v>152.69999999999999</v>
      </c>
      <c r="V223">
        <v>158.4</v>
      </c>
      <c r="W223">
        <v>161</v>
      </c>
      <c r="X223">
        <v>162.80000000000001</v>
      </c>
      <c r="Y223">
        <v>158.6</v>
      </c>
      <c r="Z223">
        <v>165</v>
      </c>
      <c r="AA223" s="1">
        <f>SUM(Table14[[#This Row],[Cereals and products]:[Food and beverages]])/13</f>
        <v>168.2076923076923</v>
      </c>
      <c r="AB223" s="1">
        <f>SUM(Table14[[#This Row],[Fuel and light]])</f>
        <v>161.6</v>
      </c>
      <c r="AC223" s="1">
        <f>SUM(Table14[[#This Row],[Transport and communication]])</f>
        <v>152.69999999999999</v>
      </c>
      <c r="AD223" s="1">
        <f>SUM(Table14[[#This Row],[Housing]],Table14[[#This Row],[Household goods and services]])/2</f>
        <v>160.65</v>
      </c>
      <c r="AE223" s="1">
        <f>SUM(Table14[[#This Row],[Health]])</f>
        <v>166.1</v>
      </c>
      <c r="AF223" s="1">
        <f>SUM(Table14[[#This Row],[Recreation and amusement]],Table14[[#This Row],[Education]])/2</f>
        <v>159.69999999999999</v>
      </c>
      <c r="AG223" s="1">
        <f>SUM(Table14[[#This Row],[Miscellaneous]],Table14[[#This Row],[Personal care and effects]])/2</f>
        <v>160.69999999999999</v>
      </c>
    </row>
    <row r="224" spans="1:33" hidden="1" x14ac:dyDescent="0.3">
      <c r="A224" t="s">
        <v>33</v>
      </c>
      <c r="B224">
        <v>2020</v>
      </c>
      <c r="C224" t="s">
        <v>40</v>
      </c>
      <c r="D224">
        <v>146</v>
      </c>
      <c r="E224">
        <v>186.3</v>
      </c>
      <c r="F224">
        <v>159.19999999999999</v>
      </c>
      <c r="G224">
        <v>153.6</v>
      </c>
      <c r="H224">
        <v>142.6</v>
      </c>
      <c r="I224">
        <v>147.19999999999999</v>
      </c>
      <c r="J224">
        <v>200.6</v>
      </c>
      <c r="K224">
        <v>150.30000000000001</v>
      </c>
      <c r="L224">
        <v>115.3</v>
      </c>
      <c r="M224">
        <v>160.9</v>
      </c>
      <c r="N224">
        <v>147.4</v>
      </c>
      <c r="O224">
        <v>161.9</v>
      </c>
      <c r="P224">
        <v>159.6</v>
      </c>
      <c r="Q224">
        <v>153</v>
      </c>
      <c r="R224">
        <v>146.80000000000001</v>
      </c>
      <c r="S224">
        <v>152</v>
      </c>
      <c r="T224">
        <v>159.5</v>
      </c>
      <c r="U224">
        <v>146.4</v>
      </c>
      <c r="V224">
        <v>152.4</v>
      </c>
      <c r="W224">
        <v>162.5</v>
      </c>
      <c r="X224">
        <v>156.19999999999999</v>
      </c>
      <c r="Y224">
        <v>154.30000000000001</v>
      </c>
      <c r="Z224">
        <v>157.5</v>
      </c>
      <c r="AA224" s="1">
        <f>SUM(Table14[[#This Row],[Cereals and products]:[Food and beverages]])/13</f>
        <v>156.22307692307692</v>
      </c>
      <c r="AB224" s="1">
        <f>SUM(Table14[[#This Row],[Fuel and light]])</f>
        <v>146.80000000000001</v>
      </c>
      <c r="AC224" s="1">
        <f>SUM(Table14[[#This Row],[Transport and communication]])</f>
        <v>146.4</v>
      </c>
      <c r="AD224" s="1">
        <f>SUM(Table14[[#This Row],[Housing]],Table14[[#This Row],[Household goods and services]])/2</f>
        <v>152.5</v>
      </c>
      <c r="AE224" s="1">
        <f>SUM(Table14[[#This Row],[Health]])</f>
        <v>159.5</v>
      </c>
      <c r="AF224" s="1">
        <f>SUM(Table14[[#This Row],[Recreation and amusement]],Table14[[#This Row],[Education]])/2</f>
        <v>157.44999999999999</v>
      </c>
      <c r="AG224" s="1">
        <f>SUM(Table14[[#This Row],[Miscellaneous]],Table14[[#This Row],[Personal care and effects]])/2</f>
        <v>155.25</v>
      </c>
    </row>
    <row r="225" spans="1:33" hidden="1" x14ac:dyDescent="0.3">
      <c r="A225" t="s">
        <v>35</v>
      </c>
      <c r="B225">
        <v>2020</v>
      </c>
      <c r="C225" t="s">
        <v>40</v>
      </c>
      <c r="D225">
        <v>147.5</v>
      </c>
      <c r="E225">
        <v>188.9</v>
      </c>
      <c r="F225">
        <v>161.4</v>
      </c>
      <c r="G225">
        <v>153.6</v>
      </c>
      <c r="H225">
        <v>140.1</v>
      </c>
      <c r="I225">
        <v>151.19999999999999</v>
      </c>
      <c r="J225">
        <v>209.2</v>
      </c>
      <c r="K225">
        <v>150.9</v>
      </c>
      <c r="L225">
        <v>116.2</v>
      </c>
      <c r="M225">
        <v>161</v>
      </c>
      <c r="N225">
        <v>144</v>
      </c>
      <c r="O225">
        <v>163.19999999999999</v>
      </c>
      <c r="P225">
        <v>161.4</v>
      </c>
      <c r="Q225">
        <v>156.5</v>
      </c>
      <c r="R225">
        <v>143.1</v>
      </c>
      <c r="S225">
        <v>148.69999999999999</v>
      </c>
      <c r="T225">
        <v>156.30000000000001</v>
      </c>
      <c r="U225">
        <v>140.6</v>
      </c>
      <c r="V225">
        <v>146.5</v>
      </c>
      <c r="W225">
        <v>158.5</v>
      </c>
      <c r="X225">
        <v>157</v>
      </c>
      <c r="Y225">
        <v>150.4</v>
      </c>
      <c r="Z225">
        <v>156.4</v>
      </c>
      <c r="AA225" s="1">
        <f>SUM(Table14[[#This Row],[Cereals and products]:[Food and beverages]])/13</f>
        <v>157.5846153846154</v>
      </c>
      <c r="AB225" s="1">
        <f>SUM(Table14[[#This Row],[Fuel and light]])</f>
        <v>143.1</v>
      </c>
      <c r="AC225" s="1">
        <f>SUM(Table14[[#This Row],[Transport and communication]])</f>
        <v>140.6</v>
      </c>
      <c r="AD225" s="1">
        <f>SUM(Table14[[#This Row],[Housing]],Table14[[#This Row],[Household goods and services]])/2</f>
        <v>152.6</v>
      </c>
      <c r="AE225" s="1">
        <f>SUM(Table14[[#This Row],[Health]])</f>
        <v>156.30000000000001</v>
      </c>
      <c r="AF225" s="1">
        <f>SUM(Table14[[#This Row],[Recreation and amusement]],Table14[[#This Row],[Education]])/2</f>
        <v>152.5</v>
      </c>
      <c r="AG225" s="1">
        <f>SUM(Table14[[#This Row],[Miscellaneous]],Table14[[#This Row],[Personal care and effects]])/2</f>
        <v>153.69999999999999</v>
      </c>
    </row>
    <row r="226" spans="1:33" hidden="1" x14ac:dyDescent="0.3">
      <c r="A226" t="s">
        <v>36</v>
      </c>
      <c r="B226">
        <v>2020</v>
      </c>
      <c r="C226" t="s">
        <v>40</v>
      </c>
      <c r="D226">
        <v>150.6</v>
      </c>
      <c r="E226">
        <v>193.7</v>
      </c>
      <c r="F226">
        <v>164.8</v>
      </c>
      <c r="G226">
        <v>153.69999999999999</v>
      </c>
      <c r="H226">
        <v>135.69999999999999</v>
      </c>
      <c r="I226">
        <v>155.69999999999999</v>
      </c>
      <c r="J226">
        <v>226</v>
      </c>
      <c r="K226">
        <v>152.19999999999999</v>
      </c>
      <c r="L226">
        <v>118.1</v>
      </c>
      <c r="M226">
        <v>161.30000000000001</v>
      </c>
      <c r="N226">
        <v>139.19999999999999</v>
      </c>
      <c r="O226">
        <v>164.8</v>
      </c>
      <c r="P226">
        <v>164.4</v>
      </c>
      <c r="Q226">
        <v>156.5</v>
      </c>
      <c r="R226">
        <v>137.1</v>
      </c>
      <c r="S226">
        <v>145.1</v>
      </c>
      <c r="T226">
        <v>151</v>
      </c>
      <c r="U226">
        <v>135.4</v>
      </c>
      <c r="V226">
        <v>142</v>
      </c>
      <c r="W226">
        <v>155.69999999999999</v>
      </c>
      <c r="X226">
        <v>158.1</v>
      </c>
      <c r="Y226">
        <v>146.19999999999999</v>
      </c>
      <c r="Z226">
        <v>155.19999999999999</v>
      </c>
      <c r="AA226" s="1">
        <f>SUM(Table14[[#This Row],[Cereals and products]:[Food and beverages]])/13</f>
        <v>160.01538461538459</v>
      </c>
      <c r="AB226" s="1">
        <f>SUM(Table14[[#This Row],[Fuel and light]])</f>
        <v>137.1</v>
      </c>
      <c r="AC226" s="1">
        <f>SUM(Table14[[#This Row],[Transport and communication]])</f>
        <v>135.4</v>
      </c>
      <c r="AD226" s="1">
        <f>SUM(Table14[[#This Row],[Housing]],Table14[[#This Row],[Household goods and services]])/2</f>
        <v>150.80000000000001</v>
      </c>
      <c r="AE226" s="1">
        <f>SUM(Table14[[#This Row],[Health]])</f>
        <v>151</v>
      </c>
      <c r="AF226" s="1">
        <f>SUM(Table14[[#This Row],[Recreation and amusement]],Table14[[#This Row],[Education]])/2</f>
        <v>148.85</v>
      </c>
      <c r="AG226" s="1">
        <f>SUM(Table14[[#This Row],[Miscellaneous]],Table14[[#This Row],[Personal care and effects]])/2</f>
        <v>152.14999999999998</v>
      </c>
    </row>
    <row r="227" spans="1:33" hidden="1" x14ac:dyDescent="0.3">
      <c r="A227" t="s">
        <v>33</v>
      </c>
      <c r="B227">
        <v>2020</v>
      </c>
      <c r="C227" t="s">
        <v>34</v>
      </c>
      <c r="D227">
        <v>146.9</v>
      </c>
      <c r="E227">
        <v>183.9</v>
      </c>
      <c r="F227">
        <v>149.5</v>
      </c>
      <c r="G227">
        <v>153.4</v>
      </c>
      <c r="H227">
        <v>140.4</v>
      </c>
      <c r="I227">
        <v>147</v>
      </c>
      <c r="J227">
        <v>178.8</v>
      </c>
      <c r="K227">
        <v>149.30000000000001</v>
      </c>
      <c r="L227">
        <v>115.1</v>
      </c>
      <c r="M227">
        <v>160</v>
      </c>
      <c r="N227">
        <v>145.4</v>
      </c>
      <c r="O227">
        <v>161.6</v>
      </c>
      <c r="P227">
        <v>156.1</v>
      </c>
      <c r="Q227">
        <v>152.19999999999999</v>
      </c>
      <c r="R227">
        <v>146.4</v>
      </c>
      <c r="S227">
        <v>151.6</v>
      </c>
      <c r="T227">
        <v>159.1</v>
      </c>
      <c r="U227">
        <v>144.6</v>
      </c>
      <c r="V227">
        <v>152.80000000000001</v>
      </c>
      <c r="W227">
        <v>161.1</v>
      </c>
      <c r="X227">
        <v>157.4</v>
      </c>
      <c r="Y227">
        <v>153.69999999999999</v>
      </c>
      <c r="Z227">
        <v>155.4</v>
      </c>
      <c r="AA227" s="1">
        <f>SUM(Table14[[#This Row],[Cereals and products]:[Food and beverages]])/13</f>
        <v>152.87692307692308</v>
      </c>
      <c r="AB227" s="1">
        <f>SUM(Table14[[#This Row],[Fuel and light]])</f>
        <v>146.4</v>
      </c>
      <c r="AC227" s="1">
        <f>SUM(Table14[[#This Row],[Transport and communication]])</f>
        <v>144.6</v>
      </c>
      <c r="AD227" s="1">
        <f>SUM(Table14[[#This Row],[Housing]],Table14[[#This Row],[Household goods and services]])/2</f>
        <v>151.89999999999998</v>
      </c>
      <c r="AE227" s="1">
        <f>SUM(Table14[[#This Row],[Health]])</f>
        <v>159.1</v>
      </c>
      <c r="AF227" s="1">
        <f>SUM(Table14[[#This Row],[Recreation and amusement]],Table14[[#This Row],[Education]])/2</f>
        <v>156.94999999999999</v>
      </c>
      <c r="AG227" s="1">
        <f>SUM(Table14[[#This Row],[Miscellaneous]],Table14[[#This Row],[Personal care and effects]])/2</f>
        <v>155.55000000000001</v>
      </c>
    </row>
    <row r="228" spans="1:33" hidden="1" x14ac:dyDescent="0.3">
      <c r="A228" t="s">
        <v>35</v>
      </c>
      <c r="B228">
        <v>2020</v>
      </c>
      <c r="C228" t="s">
        <v>34</v>
      </c>
      <c r="D228">
        <v>148.4</v>
      </c>
      <c r="E228">
        <v>187.1</v>
      </c>
      <c r="F228">
        <v>152.5</v>
      </c>
      <c r="G228">
        <v>153.6</v>
      </c>
      <c r="H228">
        <v>138.19999999999999</v>
      </c>
      <c r="I228">
        <v>150.9</v>
      </c>
      <c r="J228">
        <v>186.7</v>
      </c>
      <c r="K228">
        <v>149.80000000000001</v>
      </c>
      <c r="L228">
        <v>116.4</v>
      </c>
      <c r="M228">
        <v>160.30000000000001</v>
      </c>
      <c r="N228">
        <v>142.19999999999999</v>
      </c>
      <c r="O228">
        <v>162.9</v>
      </c>
      <c r="P228">
        <v>158</v>
      </c>
      <c r="Q228">
        <v>156.30000000000001</v>
      </c>
      <c r="R228">
        <v>142.9</v>
      </c>
      <c r="S228">
        <v>148.69999999999999</v>
      </c>
      <c r="T228">
        <v>155.6</v>
      </c>
      <c r="U228">
        <v>139.6</v>
      </c>
      <c r="V228">
        <v>146.6</v>
      </c>
      <c r="W228">
        <v>157.5</v>
      </c>
      <c r="X228">
        <v>158.4</v>
      </c>
      <c r="Y228">
        <v>150</v>
      </c>
      <c r="Z228">
        <v>154.69999999999999</v>
      </c>
      <c r="AA228" s="1">
        <f>SUM(Table14[[#This Row],[Cereals and products]:[Food and beverages]])/13</f>
        <v>154.38461538461539</v>
      </c>
      <c r="AB228" s="1">
        <f>SUM(Table14[[#This Row],[Fuel and light]])</f>
        <v>142.9</v>
      </c>
      <c r="AC228" s="1">
        <f>SUM(Table14[[#This Row],[Transport and communication]])</f>
        <v>139.6</v>
      </c>
      <c r="AD228" s="1">
        <f>SUM(Table14[[#This Row],[Housing]],Table14[[#This Row],[Household goods and services]])/2</f>
        <v>152.5</v>
      </c>
      <c r="AE228" s="1">
        <f>SUM(Table14[[#This Row],[Health]])</f>
        <v>155.6</v>
      </c>
      <c r="AF228" s="1">
        <f>SUM(Table14[[#This Row],[Recreation and amusement]],Table14[[#This Row],[Education]])/2</f>
        <v>152.05000000000001</v>
      </c>
      <c r="AG228" s="1">
        <f>SUM(Table14[[#This Row],[Miscellaneous]],Table14[[#This Row],[Personal care and effects]])/2</f>
        <v>154.19999999999999</v>
      </c>
    </row>
    <row r="229" spans="1:33" hidden="1" x14ac:dyDescent="0.3">
      <c r="A229" t="s">
        <v>36</v>
      </c>
      <c r="B229">
        <v>2020</v>
      </c>
      <c r="C229" t="s">
        <v>34</v>
      </c>
      <c r="D229">
        <v>151.5</v>
      </c>
      <c r="E229">
        <v>193.1</v>
      </c>
      <c r="F229">
        <v>157.30000000000001</v>
      </c>
      <c r="G229">
        <v>153.9</v>
      </c>
      <c r="H229">
        <v>134.4</v>
      </c>
      <c r="I229">
        <v>155.4</v>
      </c>
      <c r="J229">
        <v>202</v>
      </c>
      <c r="K229">
        <v>150.80000000000001</v>
      </c>
      <c r="L229">
        <v>118.9</v>
      </c>
      <c r="M229">
        <v>160.9</v>
      </c>
      <c r="N229">
        <v>137.69999999999999</v>
      </c>
      <c r="O229">
        <v>164.4</v>
      </c>
      <c r="P229">
        <v>161.30000000000001</v>
      </c>
      <c r="Q229">
        <v>156.30000000000001</v>
      </c>
      <c r="R229">
        <v>137.19999999999999</v>
      </c>
      <c r="S229">
        <v>145.4</v>
      </c>
      <c r="T229">
        <v>150</v>
      </c>
      <c r="U229">
        <v>135.1</v>
      </c>
      <c r="V229">
        <v>141.80000000000001</v>
      </c>
      <c r="W229">
        <v>154.9</v>
      </c>
      <c r="X229">
        <v>159.80000000000001</v>
      </c>
      <c r="Y229">
        <v>146</v>
      </c>
      <c r="Z229">
        <v>154</v>
      </c>
      <c r="AA229" s="1">
        <f>SUM(Table14[[#This Row],[Cereals and products]:[Food and beverages]])/13</f>
        <v>157.04615384615386</v>
      </c>
      <c r="AB229" s="1">
        <f>SUM(Table14[[#This Row],[Fuel and light]])</f>
        <v>137.19999999999999</v>
      </c>
      <c r="AC229" s="1">
        <f>SUM(Table14[[#This Row],[Transport and communication]])</f>
        <v>135.1</v>
      </c>
      <c r="AD229" s="1">
        <f>SUM(Table14[[#This Row],[Housing]],Table14[[#This Row],[Household goods and services]])/2</f>
        <v>150.85000000000002</v>
      </c>
      <c r="AE229" s="1">
        <f>SUM(Table14[[#This Row],[Health]])</f>
        <v>150</v>
      </c>
      <c r="AF229" s="1">
        <f>SUM(Table14[[#This Row],[Recreation and amusement]],Table14[[#This Row],[Education]])/2</f>
        <v>148.35000000000002</v>
      </c>
      <c r="AG229" s="1">
        <f>SUM(Table14[[#This Row],[Miscellaneous]],Table14[[#This Row],[Personal care and effects]])/2</f>
        <v>152.9</v>
      </c>
    </row>
    <row r="230" spans="1:33" hidden="1" x14ac:dyDescent="0.3">
      <c r="A230" t="s">
        <v>33</v>
      </c>
      <c r="B230">
        <v>2021</v>
      </c>
      <c r="C230" t="s">
        <v>48</v>
      </c>
      <c r="D230">
        <v>142.69999999999999</v>
      </c>
      <c r="E230">
        <v>195.5</v>
      </c>
      <c r="F230">
        <v>163.4</v>
      </c>
      <c r="G230">
        <v>155</v>
      </c>
      <c r="H230">
        <v>175.2</v>
      </c>
      <c r="I230">
        <v>160.6</v>
      </c>
      <c r="J230">
        <v>135.1</v>
      </c>
      <c r="K230">
        <v>161.1</v>
      </c>
      <c r="L230">
        <v>112.2</v>
      </c>
      <c r="M230">
        <v>164.4</v>
      </c>
      <c r="N230">
        <v>161.9</v>
      </c>
      <c r="O230">
        <v>166.8</v>
      </c>
      <c r="P230">
        <v>155.6</v>
      </c>
      <c r="Q230">
        <f>AVERAGE(Q231:Q232)</f>
        <v>161.4</v>
      </c>
      <c r="R230">
        <v>156</v>
      </c>
      <c r="S230">
        <v>155.5</v>
      </c>
      <c r="T230">
        <v>165.3</v>
      </c>
      <c r="U230">
        <v>151.69999999999999</v>
      </c>
      <c r="V230">
        <v>158.6</v>
      </c>
      <c r="W230">
        <v>164.1</v>
      </c>
      <c r="X230">
        <v>154.6</v>
      </c>
      <c r="Y230">
        <v>158</v>
      </c>
      <c r="Z230">
        <v>157.6</v>
      </c>
      <c r="AA230" s="1">
        <f>SUM(Table14[[#This Row],[Cereals and products]:[Food and beverages]])/13</f>
        <v>157.65384615384616</v>
      </c>
      <c r="AB230" s="1">
        <f>SUM(Table14[[#This Row],[Fuel and light]])</f>
        <v>156</v>
      </c>
      <c r="AC230" s="1">
        <f>SUM(Table14[[#This Row],[Transport and communication]])</f>
        <v>151.69999999999999</v>
      </c>
      <c r="AD230" s="1">
        <f>SUM(Table14[[#This Row],[Housing]],Table14[[#This Row],[Household goods and services]])/2</f>
        <v>158.44999999999999</v>
      </c>
      <c r="AE230" s="1">
        <f>SUM(Table14[[#This Row],[Health]])</f>
        <v>165.3</v>
      </c>
      <c r="AF230" s="1">
        <f>SUM(Table14[[#This Row],[Recreation and amusement]],Table14[[#This Row],[Education]])/2</f>
        <v>161.35</v>
      </c>
      <c r="AG230" s="1">
        <f>SUM(Table14[[#This Row],[Miscellaneous]],Table14[[#This Row],[Personal care and effects]])/2</f>
        <v>156.30000000000001</v>
      </c>
    </row>
    <row r="231" spans="1:33" hidden="1" x14ac:dyDescent="0.3">
      <c r="A231" t="s">
        <v>35</v>
      </c>
      <c r="B231">
        <v>2021</v>
      </c>
      <c r="C231" t="s">
        <v>48</v>
      </c>
      <c r="D231">
        <v>144.30000000000001</v>
      </c>
      <c r="E231">
        <v>198</v>
      </c>
      <c r="F231">
        <v>164.6</v>
      </c>
      <c r="G231">
        <v>155.4</v>
      </c>
      <c r="H231">
        <v>170.1</v>
      </c>
      <c r="I231">
        <v>164.4</v>
      </c>
      <c r="J231">
        <v>144.1</v>
      </c>
      <c r="K231">
        <v>161.69999999999999</v>
      </c>
      <c r="L231">
        <v>113.1</v>
      </c>
      <c r="M231">
        <v>163.9</v>
      </c>
      <c r="N231">
        <v>157.6</v>
      </c>
      <c r="O231">
        <v>168.9</v>
      </c>
      <c r="P231">
        <v>158</v>
      </c>
      <c r="Q231">
        <v>161.4</v>
      </c>
      <c r="R231">
        <v>155.6</v>
      </c>
      <c r="S231">
        <v>151.80000000000001</v>
      </c>
      <c r="T231">
        <v>162.30000000000001</v>
      </c>
      <c r="U231">
        <v>146.6</v>
      </c>
      <c r="V231">
        <v>153.19999999999999</v>
      </c>
      <c r="W231">
        <v>160.30000000000001</v>
      </c>
      <c r="X231">
        <v>155.4</v>
      </c>
      <c r="Y231">
        <v>154.4</v>
      </c>
      <c r="Z231">
        <v>157.80000000000001</v>
      </c>
      <c r="AA231" s="1">
        <f>SUM(Table14[[#This Row],[Cereals and products]:[Food and beverages]])/13</f>
        <v>158.77692307692308</v>
      </c>
      <c r="AB231" s="1">
        <f>SUM(Table14[[#This Row],[Fuel and light]])</f>
        <v>155.6</v>
      </c>
      <c r="AC231" s="1">
        <f>SUM(Table14[[#This Row],[Transport and communication]])</f>
        <v>146.6</v>
      </c>
      <c r="AD231" s="1">
        <f>SUM(Table14[[#This Row],[Housing]],Table14[[#This Row],[Household goods and services]])/2</f>
        <v>156.60000000000002</v>
      </c>
      <c r="AE231" s="1">
        <f>SUM(Table14[[#This Row],[Health]])</f>
        <v>162.30000000000001</v>
      </c>
      <c r="AF231" s="1">
        <f>SUM(Table14[[#This Row],[Recreation and amusement]],Table14[[#This Row],[Education]])/2</f>
        <v>156.75</v>
      </c>
      <c r="AG231" s="1">
        <f>SUM(Table14[[#This Row],[Miscellaneous]],Table14[[#This Row],[Personal care and effects]])/2</f>
        <v>154.9</v>
      </c>
    </row>
    <row r="232" spans="1:33" hidden="1" x14ac:dyDescent="0.3">
      <c r="A232" t="s">
        <v>36</v>
      </c>
      <c r="B232">
        <v>2021</v>
      </c>
      <c r="C232" t="s">
        <v>48</v>
      </c>
      <c r="D232">
        <v>147.6</v>
      </c>
      <c r="E232">
        <v>202.5</v>
      </c>
      <c r="F232">
        <v>166.4</v>
      </c>
      <c r="G232">
        <v>156</v>
      </c>
      <c r="H232">
        <v>161.4</v>
      </c>
      <c r="I232">
        <v>168.8</v>
      </c>
      <c r="J232">
        <v>161.6</v>
      </c>
      <c r="K232">
        <v>162.80000000000001</v>
      </c>
      <c r="L232">
        <v>114.8</v>
      </c>
      <c r="M232">
        <v>162.80000000000001</v>
      </c>
      <c r="N232">
        <v>151.5</v>
      </c>
      <c r="O232">
        <v>171.4</v>
      </c>
      <c r="P232">
        <v>162</v>
      </c>
      <c r="Q232">
        <v>161.4</v>
      </c>
      <c r="R232">
        <v>154.9</v>
      </c>
      <c r="S232">
        <v>147.6</v>
      </c>
      <c r="T232">
        <v>157.5</v>
      </c>
      <c r="U232">
        <v>142.1</v>
      </c>
      <c r="V232">
        <v>149.1</v>
      </c>
      <c r="W232">
        <v>157.6</v>
      </c>
      <c r="X232">
        <v>156.6</v>
      </c>
      <c r="Y232">
        <v>150.5</v>
      </c>
      <c r="Z232">
        <v>158</v>
      </c>
      <c r="AA232" s="1">
        <f>SUM(Table14[[#This Row],[Cereals and products]:[Food and beverages]])/13</f>
        <v>160.73846153846154</v>
      </c>
      <c r="AB232" s="1">
        <f>SUM(Table14[[#This Row],[Fuel and light]])</f>
        <v>154.9</v>
      </c>
      <c r="AC232" s="1">
        <f>SUM(Table14[[#This Row],[Transport and communication]])</f>
        <v>142.1</v>
      </c>
      <c r="AD232" s="1">
        <f>SUM(Table14[[#This Row],[Housing]],Table14[[#This Row],[Household goods and services]])/2</f>
        <v>154.5</v>
      </c>
      <c r="AE232" s="1">
        <f>SUM(Table14[[#This Row],[Health]])</f>
        <v>157.5</v>
      </c>
      <c r="AF232" s="1">
        <f>SUM(Table14[[#This Row],[Recreation and amusement]],Table14[[#This Row],[Education]])/2</f>
        <v>153.35</v>
      </c>
      <c r="AG232" s="1">
        <f>SUM(Table14[[#This Row],[Miscellaneous]],Table14[[#This Row],[Personal care and effects]])/2</f>
        <v>153.55000000000001</v>
      </c>
    </row>
    <row r="233" spans="1:33" hidden="1" x14ac:dyDescent="0.3">
      <c r="A233" t="s">
        <v>36</v>
      </c>
      <c r="B233">
        <v>2018</v>
      </c>
      <c r="C233" t="s">
        <v>41</v>
      </c>
      <c r="D233">
        <v>134.6</v>
      </c>
      <c r="E233">
        <v>143.69999999999999</v>
      </c>
      <c r="F233">
        <v>143.6</v>
      </c>
      <c r="G233">
        <v>139.6</v>
      </c>
      <c r="H233">
        <v>116.4</v>
      </c>
      <c r="I233">
        <v>133.80000000000001</v>
      </c>
      <c r="J233">
        <v>150.5</v>
      </c>
      <c r="K233">
        <v>118.4</v>
      </c>
      <c r="L233">
        <v>117.3</v>
      </c>
      <c r="M233">
        <v>140.5</v>
      </c>
      <c r="N233">
        <v>125.9</v>
      </c>
      <c r="O233">
        <v>146.80000000000001</v>
      </c>
      <c r="P233">
        <v>137.19999999999999</v>
      </c>
      <c r="Q233">
        <v>140.4</v>
      </c>
      <c r="R233">
        <v>127.3</v>
      </c>
      <c r="S233">
        <v>129.5</v>
      </c>
      <c r="T233">
        <v>129</v>
      </c>
      <c r="U233">
        <v>116.3</v>
      </c>
      <c r="V233">
        <v>126.2</v>
      </c>
      <c r="W233">
        <v>137.1</v>
      </c>
      <c r="X233">
        <v>125.5</v>
      </c>
      <c r="Y233">
        <v>125.8</v>
      </c>
      <c r="Z233">
        <v>134.1</v>
      </c>
      <c r="AA233" s="1">
        <f>SUM(Table14[[#This Row],[Cereals and products]:[Food and beverages]])/13</f>
        <v>134.48461538461541</v>
      </c>
      <c r="AB233" s="1">
        <f>SUM(Table14[[#This Row],[Fuel and light]])</f>
        <v>127.3</v>
      </c>
      <c r="AC233" s="1">
        <f>SUM(Table14[[#This Row],[Transport and communication]])</f>
        <v>116.3</v>
      </c>
      <c r="AD233" s="1">
        <f>SUM(Table14[[#This Row],[Housing]],Table14[[#This Row],[Household goods and services]])/2</f>
        <v>134.94999999999999</v>
      </c>
      <c r="AE233" s="1">
        <f>SUM(Table14[[#This Row],[Health]])</f>
        <v>129</v>
      </c>
      <c r="AF233" s="1">
        <f>SUM(Table14[[#This Row],[Recreation and amusement]],Table14[[#This Row],[Education]])/2</f>
        <v>131.65</v>
      </c>
      <c r="AG233" s="1">
        <f>SUM(Table14[[#This Row],[Miscellaneous]],Table14[[#This Row],[Personal care and effects]])/2</f>
        <v>125.65</v>
      </c>
    </row>
    <row r="234" spans="1:33" hidden="1" x14ac:dyDescent="0.3">
      <c r="A234" t="s">
        <v>35</v>
      </c>
      <c r="B234">
        <v>2018</v>
      </c>
      <c r="C234" t="s">
        <v>41</v>
      </c>
      <c r="D234">
        <v>136</v>
      </c>
      <c r="E234">
        <v>144.19999999999999</v>
      </c>
      <c r="F234">
        <v>143.69999999999999</v>
      </c>
      <c r="G234">
        <v>141.1</v>
      </c>
      <c r="H234">
        <v>120.7</v>
      </c>
      <c r="I234">
        <v>141.30000000000001</v>
      </c>
      <c r="J234">
        <v>151.6</v>
      </c>
      <c r="K234">
        <v>127.3</v>
      </c>
      <c r="L234">
        <v>118.8</v>
      </c>
      <c r="M234">
        <v>137.5</v>
      </c>
      <c r="N234">
        <v>129</v>
      </c>
      <c r="O234">
        <v>149.5</v>
      </c>
      <c r="P234">
        <v>139.19999999999999</v>
      </c>
      <c r="Q234">
        <v>140.4</v>
      </c>
      <c r="R234">
        <v>136.6</v>
      </c>
      <c r="S234">
        <v>134.9</v>
      </c>
      <c r="T234">
        <v>133.30000000000001</v>
      </c>
      <c r="U234">
        <v>119.3</v>
      </c>
      <c r="V234">
        <v>129.69999999999999</v>
      </c>
      <c r="W234">
        <v>139</v>
      </c>
      <c r="X234">
        <v>127.3</v>
      </c>
      <c r="Y234">
        <v>129.1</v>
      </c>
      <c r="Z234">
        <v>136.9</v>
      </c>
      <c r="AA234" s="1">
        <f>SUM(Table14[[#This Row],[Cereals and products]:[Food and beverages]])/13</f>
        <v>136.91538461538462</v>
      </c>
      <c r="AB234" s="1">
        <f>SUM(Table14[[#This Row],[Fuel and light]])</f>
        <v>136.6</v>
      </c>
      <c r="AC234" s="1">
        <f>SUM(Table14[[#This Row],[Transport and communication]])</f>
        <v>119.3</v>
      </c>
      <c r="AD234" s="1">
        <f>SUM(Table14[[#This Row],[Housing]],Table14[[#This Row],[Household goods and services]])/2</f>
        <v>137.65</v>
      </c>
      <c r="AE234" s="1">
        <f>SUM(Table14[[#This Row],[Health]])</f>
        <v>133.30000000000001</v>
      </c>
      <c r="AF234" s="1">
        <f>SUM(Table14[[#This Row],[Recreation and amusement]],Table14[[#This Row],[Education]])/2</f>
        <v>134.35</v>
      </c>
      <c r="AG234" s="1">
        <f>SUM(Table14[[#This Row],[Miscellaneous]],Table14[[#This Row],[Personal care and effects]])/2</f>
        <v>128.19999999999999</v>
      </c>
    </row>
    <row r="235" spans="1:33" hidden="1" x14ac:dyDescent="0.3">
      <c r="A235" t="s">
        <v>33</v>
      </c>
      <c r="B235">
        <v>2018</v>
      </c>
      <c r="C235" t="s">
        <v>41</v>
      </c>
      <c r="D235">
        <v>136.6</v>
      </c>
      <c r="E235">
        <v>144.4</v>
      </c>
      <c r="F235">
        <v>143.80000000000001</v>
      </c>
      <c r="G235">
        <v>142</v>
      </c>
      <c r="H235">
        <v>123.2</v>
      </c>
      <c r="I235">
        <v>147.9</v>
      </c>
      <c r="J235">
        <v>152.1</v>
      </c>
      <c r="K235">
        <v>131.80000000000001</v>
      </c>
      <c r="L235">
        <v>119.5</v>
      </c>
      <c r="M235">
        <v>136</v>
      </c>
      <c r="N235">
        <v>131.19999999999999</v>
      </c>
      <c r="O235">
        <v>151.80000000000001</v>
      </c>
      <c r="P235">
        <v>140.4</v>
      </c>
      <c r="Q235">
        <f>AVERAGE(Q233:Q234)</f>
        <v>140.4</v>
      </c>
      <c r="R235">
        <v>142.30000000000001</v>
      </c>
      <c r="S235">
        <v>139.80000000000001</v>
      </c>
      <c r="T235">
        <v>136</v>
      </c>
      <c r="U235">
        <v>122.7</v>
      </c>
      <c r="V235">
        <v>134.30000000000001</v>
      </c>
      <c r="W235">
        <v>141.6</v>
      </c>
      <c r="X235">
        <v>128.6</v>
      </c>
      <c r="Y235">
        <v>132.30000000000001</v>
      </c>
      <c r="Z235">
        <v>139.30000000000001</v>
      </c>
      <c r="AA235" s="1">
        <f>SUM(Table14[[#This Row],[Cereals and products]:[Food and beverages]])/13</f>
        <v>138.51538461538462</v>
      </c>
      <c r="AB235" s="1">
        <f>SUM(Table14[[#This Row],[Fuel and light]])</f>
        <v>142.30000000000001</v>
      </c>
      <c r="AC235" s="1">
        <f>SUM(Table14[[#This Row],[Transport and communication]])</f>
        <v>122.7</v>
      </c>
      <c r="AD235" s="1">
        <f>SUM(Table14[[#This Row],[Housing]],Table14[[#This Row],[Household goods and services]])/2</f>
        <v>140.10000000000002</v>
      </c>
      <c r="AE235" s="1">
        <f>SUM(Table14[[#This Row],[Health]])</f>
        <v>136</v>
      </c>
      <c r="AF235" s="1">
        <f>SUM(Table14[[#This Row],[Recreation and amusement]],Table14[[#This Row],[Education]])/2</f>
        <v>137.94999999999999</v>
      </c>
      <c r="AG235" s="1">
        <f>SUM(Table14[[#This Row],[Miscellaneous]],Table14[[#This Row],[Personal care and effects]])/2</f>
        <v>130.44999999999999</v>
      </c>
    </row>
    <row r="236" spans="1:33" hidden="1" x14ac:dyDescent="0.3">
      <c r="A236" t="s">
        <v>36</v>
      </c>
      <c r="B236">
        <v>2017</v>
      </c>
      <c r="C236" t="s">
        <v>41</v>
      </c>
      <c r="D236">
        <v>132.19999999999999</v>
      </c>
      <c r="E236">
        <v>138.9</v>
      </c>
      <c r="F236">
        <v>132.6</v>
      </c>
      <c r="G236">
        <v>133.1</v>
      </c>
      <c r="H236">
        <v>114</v>
      </c>
      <c r="I236">
        <v>129.6</v>
      </c>
      <c r="J236">
        <v>118.7</v>
      </c>
      <c r="K236">
        <v>155.1</v>
      </c>
      <c r="L236">
        <v>117.3</v>
      </c>
      <c r="M236">
        <v>144.9</v>
      </c>
      <c r="N236">
        <v>123.2</v>
      </c>
      <c r="O236">
        <v>141.6</v>
      </c>
      <c r="P236">
        <v>132</v>
      </c>
      <c r="Q236">
        <v>129.6</v>
      </c>
      <c r="R236">
        <v>118</v>
      </c>
      <c r="S236">
        <v>125.1</v>
      </c>
      <c r="T236">
        <v>122.6</v>
      </c>
      <c r="U236">
        <v>115.2</v>
      </c>
      <c r="V236">
        <v>122</v>
      </c>
      <c r="W236">
        <v>132.4</v>
      </c>
      <c r="X236">
        <v>120.9</v>
      </c>
      <c r="Y236">
        <v>122.1</v>
      </c>
      <c r="Z236">
        <v>127.8</v>
      </c>
      <c r="AA236" s="1">
        <f>SUM(Table14[[#This Row],[Cereals and products]:[Food and beverages]])/13</f>
        <v>131.78461538461539</v>
      </c>
      <c r="AB236" s="1">
        <f>SUM(Table14[[#This Row],[Fuel and light]])</f>
        <v>118</v>
      </c>
      <c r="AC236" s="1">
        <f>SUM(Table14[[#This Row],[Transport and communication]])</f>
        <v>115.2</v>
      </c>
      <c r="AD236" s="1">
        <f>SUM(Table14[[#This Row],[Housing]],Table14[[#This Row],[Household goods and services]])/2</f>
        <v>127.35</v>
      </c>
      <c r="AE236" s="1">
        <f>SUM(Table14[[#This Row],[Health]])</f>
        <v>122.6</v>
      </c>
      <c r="AF236" s="1">
        <f>SUM(Table14[[#This Row],[Recreation and amusement]],Table14[[#This Row],[Education]])/2</f>
        <v>127.2</v>
      </c>
      <c r="AG236" s="1">
        <f>SUM(Table14[[#This Row],[Miscellaneous]],Table14[[#This Row],[Personal care and effects]])/2</f>
        <v>121.5</v>
      </c>
    </row>
    <row r="237" spans="1:33" hidden="1" x14ac:dyDescent="0.3">
      <c r="A237" t="s">
        <v>35</v>
      </c>
      <c r="B237">
        <v>2017</v>
      </c>
      <c r="C237" t="s">
        <v>41</v>
      </c>
      <c r="D237">
        <v>132.80000000000001</v>
      </c>
      <c r="E237">
        <v>138.19999999999999</v>
      </c>
      <c r="F237">
        <v>132.19999999999999</v>
      </c>
      <c r="G237">
        <v>135.4</v>
      </c>
      <c r="H237">
        <v>119.1</v>
      </c>
      <c r="I237">
        <v>133</v>
      </c>
      <c r="J237">
        <v>119.4</v>
      </c>
      <c r="K237">
        <v>159.5</v>
      </c>
      <c r="L237">
        <v>115.6</v>
      </c>
      <c r="M237">
        <v>139.6</v>
      </c>
      <c r="N237">
        <v>126.6</v>
      </c>
      <c r="O237">
        <v>142.80000000000001</v>
      </c>
      <c r="P237">
        <v>133.1</v>
      </c>
      <c r="Q237">
        <v>129.6</v>
      </c>
      <c r="R237">
        <v>126.8</v>
      </c>
      <c r="S237">
        <v>129.4</v>
      </c>
      <c r="T237">
        <v>127.1</v>
      </c>
      <c r="U237">
        <v>117</v>
      </c>
      <c r="V237">
        <v>124.2</v>
      </c>
      <c r="W237">
        <v>133.30000000000001</v>
      </c>
      <c r="X237">
        <v>121.7</v>
      </c>
      <c r="Y237">
        <v>124.4</v>
      </c>
      <c r="Z237">
        <v>130.30000000000001</v>
      </c>
      <c r="AA237" s="1">
        <f>SUM(Table14[[#This Row],[Cereals and products]:[Food and beverages]])/13</f>
        <v>132.86923076923074</v>
      </c>
      <c r="AB237" s="1">
        <f>SUM(Table14[[#This Row],[Fuel and light]])</f>
        <v>126.8</v>
      </c>
      <c r="AC237" s="1">
        <f>SUM(Table14[[#This Row],[Transport and communication]])</f>
        <v>117</v>
      </c>
      <c r="AD237" s="1">
        <f>SUM(Table14[[#This Row],[Housing]],Table14[[#This Row],[Household goods and services]])/2</f>
        <v>129.5</v>
      </c>
      <c r="AE237" s="1">
        <f>SUM(Table14[[#This Row],[Health]])</f>
        <v>127.1</v>
      </c>
      <c r="AF237" s="1">
        <f>SUM(Table14[[#This Row],[Recreation and amusement]],Table14[[#This Row],[Education]])/2</f>
        <v>128.75</v>
      </c>
      <c r="AG237" s="1">
        <f>SUM(Table14[[#This Row],[Miscellaneous]],Table14[[#This Row],[Personal care and effects]])/2</f>
        <v>123.05000000000001</v>
      </c>
    </row>
    <row r="238" spans="1:33" hidden="1" x14ac:dyDescent="0.3">
      <c r="A238" t="s">
        <v>33</v>
      </c>
      <c r="B238">
        <v>2017</v>
      </c>
      <c r="C238" t="s">
        <v>41</v>
      </c>
      <c r="D238">
        <v>133.1</v>
      </c>
      <c r="E238">
        <v>137.80000000000001</v>
      </c>
      <c r="F238">
        <v>131.9</v>
      </c>
      <c r="G238">
        <v>136.69999999999999</v>
      </c>
      <c r="H238">
        <v>122</v>
      </c>
      <c r="I238">
        <v>136</v>
      </c>
      <c r="J238">
        <v>119.8</v>
      </c>
      <c r="K238">
        <v>161.69999999999999</v>
      </c>
      <c r="L238">
        <v>114.8</v>
      </c>
      <c r="M238">
        <v>136.9</v>
      </c>
      <c r="N238">
        <v>129</v>
      </c>
      <c r="O238">
        <v>143.9</v>
      </c>
      <c r="P238">
        <v>133.69999999999999</v>
      </c>
      <c r="Q238">
        <f>AVERAGE(Q236:Q237)</f>
        <v>129.6</v>
      </c>
      <c r="R238">
        <v>132.1</v>
      </c>
      <c r="S238">
        <v>133.19999999999999</v>
      </c>
      <c r="T238">
        <v>129.9</v>
      </c>
      <c r="U238">
        <v>119.1</v>
      </c>
      <c r="V238">
        <v>127</v>
      </c>
      <c r="W238">
        <v>134.6</v>
      </c>
      <c r="X238">
        <v>122.3</v>
      </c>
      <c r="Y238">
        <v>126.6</v>
      </c>
      <c r="Z238">
        <v>132.4</v>
      </c>
      <c r="AA238" s="1">
        <f>SUM(Table14[[#This Row],[Cereals and products]:[Food and beverages]])/13</f>
        <v>133.63846153846154</v>
      </c>
      <c r="AB238" s="1">
        <f>SUM(Table14[[#This Row],[Fuel and light]])</f>
        <v>132.1</v>
      </c>
      <c r="AC238" s="1">
        <f>SUM(Table14[[#This Row],[Transport and communication]])</f>
        <v>119.1</v>
      </c>
      <c r="AD238" s="1">
        <f>SUM(Table14[[#This Row],[Housing]],Table14[[#This Row],[Household goods and services]])/2</f>
        <v>131.39999999999998</v>
      </c>
      <c r="AE238" s="1">
        <f>SUM(Table14[[#This Row],[Health]])</f>
        <v>129.9</v>
      </c>
      <c r="AF238" s="1">
        <f>SUM(Table14[[#This Row],[Recreation and amusement]],Table14[[#This Row],[Education]])/2</f>
        <v>130.80000000000001</v>
      </c>
      <c r="AG238" s="1">
        <f>SUM(Table14[[#This Row],[Miscellaneous]],Table14[[#This Row],[Personal care and effects]])/2</f>
        <v>124.44999999999999</v>
      </c>
    </row>
    <row r="239" spans="1:33" hidden="1" x14ac:dyDescent="0.3">
      <c r="A239" t="s">
        <v>36</v>
      </c>
      <c r="B239">
        <v>2016</v>
      </c>
      <c r="C239" t="s">
        <v>41</v>
      </c>
      <c r="D239">
        <v>124.7</v>
      </c>
      <c r="E239">
        <v>135.9</v>
      </c>
      <c r="F239">
        <v>132</v>
      </c>
      <c r="G239">
        <v>129.19999999999999</v>
      </c>
      <c r="H239">
        <v>109.7</v>
      </c>
      <c r="I239">
        <v>119</v>
      </c>
      <c r="J239">
        <v>144.1</v>
      </c>
      <c r="K239">
        <v>184.2</v>
      </c>
      <c r="L239">
        <v>96.7</v>
      </c>
      <c r="M239">
        <v>139.5</v>
      </c>
      <c r="N239">
        <v>120.5</v>
      </c>
      <c r="O239">
        <v>134.69999999999999</v>
      </c>
      <c r="P239">
        <v>131.19999999999999</v>
      </c>
      <c r="Q239">
        <v>123.4</v>
      </c>
      <c r="R239">
        <v>116.9</v>
      </c>
      <c r="S239">
        <v>121.6</v>
      </c>
      <c r="T239">
        <v>119.1</v>
      </c>
      <c r="U239">
        <v>108.9</v>
      </c>
      <c r="V239">
        <v>118.5</v>
      </c>
      <c r="W239">
        <v>126.4</v>
      </c>
      <c r="X239">
        <v>114</v>
      </c>
      <c r="Y239">
        <v>116.8</v>
      </c>
      <c r="Z239">
        <v>124.2</v>
      </c>
      <c r="AA239" s="1">
        <f>SUM(Table14[[#This Row],[Cereals and products]:[Food and beverages]])/13</f>
        <v>130.87692307692308</v>
      </c>
      <c r="AB239" s="1">
        <f>SUM(Table14[[#This Row],[Fuel and light]])</f>
        <v>116.9</v>
      </c>
      <c r="AC239" s="1">
        <f>SUM(Table14[[#This Row],[Transport and communication]])</f>
        <v>108.9</v>
      </c>
      <c r="AD239" s="1">
        <f>SUM(Table14[[#This Row],[Housing]],Table14[[#This Row],[Household goods and services]])/2</f>
        <v>122.5</v>
      </c>
      <c r="AE239" s="1">
        <f>SUM(Table14[[#This Row],[Health]])</f>
        <v>119.1</v>
      </c>
      <c r="AF239" s="1">
        <f>SUM(Table14[[#This Row],[Recreation and amusement]],Table14[[#This Row],[Education]])/2</f>
        <v>122.45</v>
      </c>
      <c r="AG239" s="1">
        <f>SUM(Table14[[#This Row],[Miscellaneous]],Table14[[#This Row],[Personal care and effects]])/2</f>
        <v>115.4</v>
      </c>
    </row>
    <row r="240" spans="1:33" hidden="1" x14ac:dyDescent="0.3">
      <c r="A240" t="s">
        <v>35</v>
      </c>
      <c r="B240">
        <v>2016</v>
      </c>
      <c r="C240" t="s">
        <v>41</v>
      </c>
      <c r="D240">
        <v>126.1</v>
      </c>
      <c r="E240">
        <v>134.1</v>
      </c>
      <c r="F240">
        <v>128.6</v>
      </c>
      <c r="G240">
        <v>129.9</v>
      </c>
      <c r="H240">
        <v>115.5</v>
      </c>
      <c r="I240">
        <v>125.7</v>
      </c>
      <c r="J240">
        <v>141.5</v>
      </c>
      <c r="K240">
        <v>170.7</v>
      </c>
      <c r="L240">
        <v>97.4</v>
      </c>
      <c r="M240">
        <v>132.9</v>
      </c>
      <c r="N240">
        <v>122.7</v>
      </c>
      <c r="O240">
        <v>135.30000000000001</v>
      </c>
      <c r="P240">
        <v>131.30000000000001</v>
      </c>
      <c r="Q240">
        <v>123.4</v>
      </c>
      <c r="R240">
        <v>122.7</v>
      </c>
      <c r="S240">
        <v>124.2</v>
      </c>
      <c r="T240">
        <v>122</v>
      </c>
      <c r="U240">
        <v>111.1</v>
      </c>
      <c r="V240">
        <v>119.8</v>
      </c>
      <c r="W240">
        <v>126.3</v>
      </c>
      <c r="X240">
        <v>114.5</v>
      </c>
      <c r="Y240">
        <v>118.5</v>
      </c>
      <c r="Z240">
        <v>126.3</v>
      </c>
      <c r="AA240" s="1">
        <f>SUM(Table14[[#This Row],[Cereals and products]:[Food and beverages]])/13</f>
        <v>130.13076923076923</v>
      </c>
      <c r="AB240" s="1">
        <f>SUM(Table14[[#This Row],[Fuel and light]])</f>
        <v>122.7</v>
      </c>
      <c r="AC240" s="1">
        <f>SUM(Table14[[#This Row],[Transport and communication]])</f>
        <v>111.1</v>
      </c>
      <c r="AD240" s="1">
        <f>SUM(Table14[[#This Row],[Housing]],Table14[[#This Row],[Household goods and services]])/2</f>
        <v>123.80000000000001</v>
      </c>
      <c r="AE240" s="1">
        <f>SUM(Table14[[#This Row],[Health]])</f>
        <v>122</v>
      </c>
      <c r="AF240" s="1">
        <f>SUM(Table14[[#This Row],[Recreation and amusement]],Table14[[#This Row],[Education]])/2</f>
        <v>123.05</v>
      </c>
      <c r="AG240" s="1">
        <f>SUM(Table14[[#This Row],[Miscellaneous]],Table14[[#This Row],[Personal care and effects]])/2</f>
        <v>116.5</v>
      </c>
    </row>
    <row r="241" spans="1:33" hidden="1" x14ac:dyDescent="0.3">
      <c r="A241" t="s">
        <v>33</v>
      </c>
      <c r="B241">
        <v>2016</v>
      </c>
      <c r="C241" t="s">
        <v>41</v>
      </c>
      <c r="D241">
        <v>126.8</v>
      </c>
      <c r="E241">
        <v>133.19999999999999</v>
      </c>
      <c r="F241">
        <v>126.5</v>
      </c>
      <c r="G241">
        <v>130.30000000000001</v>
      </c>
      <c r="H241">
        <v>118.9</v>
      </c>
      <c r="I241">
        <v>131.6</v>
      </c>
      <c r="J241">
        <v>140.1</v>
      </c>
      <c r="K241">
        <v>163.80000000000001</v>
      </c>
      <c r="L241">
        <v>97.7</v>
      </c>
      <c r="M241">
        <v>129.6</v>
      </c>
      <c r="N241">
        <v>124.3</v>
      </c>
      <c r="O241">
        <v>135.9</v>
      </c>
      <c r="P241">
        <v>131.4</v>
      </c>
      <c r="Q241">
        <f>AVERAGE(Q239:Q240)</f>
        <v>123.4</v>
      </c>
      <c r="R241">
        <v>126.2</v>
      </c>
      <c r="S241">
        <v>126.6</v>
      </c>
      <c r="T241">
        <v>123.7</v>
      </c>
      <c r="U241">
        <v>113.6</v>
      </c>
      <c r="V241">
        <v>121.4</v>
      </c>
      <c r="W241">
        <v>126.2</v>
      </c>
      <c r="X241">
        <v>114.9</v>
      </c>
      <c r="Y241">
        <v>120.1</v>
      </c>
      <c r="Z241">
        <v>128.1</v>
      </c>
      <c r="AA241" s="1">
        <f>SUM(Table14[[#This Row],[Cereals and products]:[Food and beverages]])/13</f>
        <v>130.00769230769231</v>
      </c>
      <c r="AB241" s="1">
        <f>SUM(Table14[[#This Row],[Fuel and light]])</f>
        <v>126.2</v>
      </c>
      <c r="AC241" s="1">
        <f>SUM(Table14[[#This Row],[Transport and communication]])</f>
        <v>113.6</v>
      </c>
      <c r="AD241" s="1">
        <f>SUM(Table14[[#This Row],[Housing]],Table14[[#This Row],[Household goods and services]])/2</f>
        <v>125</v>
      </c>
      <c r="AE241" s="1">
        <f>SUM(Table14[[#This Row],[Health]])</f>
        <v>123.7</v>
      </c>
      <c r="AF241" s="1">
        <f>SUM(Table14[[#This Row],[Recreation and amusement]],Table14[[#This Row],[Education]])/2</f>
        <v>123.80000000000001</v>
      </c>
      <c r="AG241" s="1">
        <f>SUM(Table14[[#This Row],[Miscellaneous]],Table14[[#This Row],[Personal care and effects]])/2</f>
        <v>117.5</v>
      </c>
    </row>
    <row r="242" spans="1:33" hidden="1" x14ac:dyDescent="0.3">
      <c r="A242" t="s">
        <v>33</v>
      </c>
      <c r="B242">
        <v>2015</v>
      </c>
      <c r="C242" t="s">
        <v>41</v>
      </c>
      <c r="D242">
        <v>123.1</v>
      </c>
      <c r="E242">
        <v>123.1</v>
      </c>
      <c r="F242">
        <v>122.1</v>
      </c>
      <c r="G242">
        <v>124.9</v>
      </c>
      <c r="H242">
        <v>111</v>
      </c>
      <c r="I242">
        <v>130.4</v>
      </c>
      <c r="J242">
        <v>132.30000000000001</v>
      </c>
      <c r="K242">
        <v>117.2</v>
      </c>
      <c r="L242">
        <v>100.5</v>
      </c>
      <c r="M242">
        <v>117.2</v>
      </c>
      <c r="N242">
        <v>117.9</v>
      </c>
      <c r="O242">
        <v>125.6</v>
      </c>
      <c r="P242">
        <v>122.8</v>
      </c>
      <c r="Q242">
        <f>AVERAGE(Q243:Q244)</f>
        <v>117.3</v>
      </c>
      <c r="R242">
        <v>118.4</v>
      </c>
      <c r="S242">
        <v>118.9</v>
      </c>
      <c r="T242">
        <v>116.6</v>
      </c>
      <c r="U242">
        <v>111</v>
      </c>
      <c r="V242">
        <v>114</v>
      </c>
      <c r="W242">
        <v>118.2</v>
      </c>
      <c r="X242">
        <v>110.2</v>
      </c>
      <c r="Y242">
        <v>114.5</v>
      </c>
      <c r="Z242">
        <v>120.3</v>
      </c>
      <c r="AA242" s="1">
        <f>SUM(Table14[[#This Row],[Cereals and products]:[Food and beverages]])/13</f>
        <v>120.62307692307692</v>
      </c>
      <c r="AB242" s="1">
        <f>SUM(Table14[[#This Row],[Fuel and light]])</f>
        <v>118.4</v>
      </c>
      <c r="AC242" s="1">
        <f>SUM(Table14[[#This Row],[Transport and communication]])</f>
        <v>111</v>
      </c>
      <c r="AD242" s="1">
        <f>SUM(Table14[[#This Row],[Housing]],Table14[[#This Row],[Household goods and services]])/2</f>
        <v>118.1</v>
      </c>
      <c r="AE242" s="1">
        <f>SUM(Table14[[#This Row],[Health]])</f>
        <v>116.6</v>
      </c>
      <c r="AF242" s="1">
        <f>SUM(Table14[[#This Row],[Recreation and amusement]],Table14[[#This Row],[Education]])/2</f>
        <v>116.1</v>
      </c>
      <c r="AG242" s="1">
        <f>SUM(Table14[[#This Row],[Miscellaneous]],Table14[[#This Row],[Personal care and effects]])/2</f>
        <v>112.35</v>
      </c>
    </row>
    <row r="243" spans="1:33" hidden="1" x14ac:dyDescent="0.3">
      <c r="A243" t="s">
        <v>35</v>
      </c>
      <c r="B243">
        <v>2015</v>
      </c>
      <c r="C243" t="s">
        <v>41</v>
      </c>
      <c r="D243">
        <v>123.4</v>
      </c>
      <c r="E243">
        <v>123.9</v>
      </c>
      <c r="F243">
        <v>123.8</v>
      </c>
      <c r="G243">
        <v>125</v>
      </c>
      <c r="H243">
        <v>108.5</v>
      </c>
      <c r="I243">
        <v>126.2</v>
      </c>
      <c r="J243">
        <v>133</v>
      </c>
      <c r="K243">
        <v>119.1</v>
      </c>
      <c r="L243">
        <v>99</v>
      </c>
      <c r="M243">
        <v>120.3</v>
      </c>
      <c r="N243">
        <v>117.3</v>
      </c>
      <c r="O243">
        <v>126.7</v>
      </c>
      <c r="P243">
        <v>123.1</v>
      </c>
      <c r="Q243">
        <v>117.3</v>
      </c>
      <c r="R243">
        <v>116.5</v>
      </c>
      <c r="S243">
        <v>118.1</v>
      </c>
      <c r="T243">
        <v>115.5</v>
      </c>
      <c r="U243">
        <v>109.4</v>
      </c>
      <c r="V243">
        <v>114.3</v>
      </c>
      <c r="W243">
        <v>119.7</v>
      </c>
      <c r="X243">
        <v>110.7</v>
      </c>
      <c r="Y243">
        <v>114</v>
      </c>
      <c r="Z243">
        <v>119.5</v>
      </c>
      <c r="AA243" s="1">
        <f>SUM(Table14[[#This Row],[Cereals and products]:[Food and beverages]])/13</f>
        <v>120.71538461538461</v>
      </c>
      <c r="AB243" s="1">
        <f>SUM(Table14[[#This Row],[Fuel and light]])</f>
        <v>116.5</v>
      </c>
      <c r="AC243" s="1">
        <f>SUM(Table14[[#This Row],[Transport and communication]])</f>
        <v>109.4</v>
      </c>
      <c r="AD243" s="1">
        <f>SUM(Table14[[#This Row],[Housing]],Table14[[#This Row],[Household goods and services]])/2</f>
        <v>117.69999999999999</v>
      </c>
      <c r="AE243" s="1">
        <f>SUM(Table14[[#This Row],[Health]])</f>
        <v>115.5</v>
      </c>
      <c r="AF243" s="1">
        <f>SUM(Table14[[#This Row],[Recreation and amusement]],Table14[[#This Row],[Education]])/2</f>
        <v>117</v>
      </c>
      <c r="AG243" s="1">
        <f>SUM(Table14[[#This Row],[Miscellaneous]],Table14[[#This Row],[Personal care and effects]])/2</f>
        <v>112.35</v>
      </c>
    </row>
    <row r="244" spans="1:33" hidden="1" x14ac:dyDescent="0.3">
      <c r="A244" t="s">
        <v>36</v>
      </c>
      <c r="B244">
        <v>2015</v>
      </c>
      <c r="C244" t="s">
        <v>41</v>
      </c>
      <c r="D244">
        <v>124</v>
      </c>
      <c r="E244">
        <v>125.5</v>
      </c>
      <c r="F244">
        <v>126.6</v>
      </c>
      <c r="G244">
        <v>125.2</v>
      </c>
      <c r="H244">
        <v>104.3</v>
      </c>
      <c r="I244">
        <v>121.3</v>
      </c>
      <c r="J244">
        <v>134.4</v>
      </c>
      <c r="K244">
        <v>122.9</v>
      </c>
      <c r="L244">
        <v>96.1</v>
      </c>
      <c r="M244">
        <v>126.6</v>
      </c>
      <c r="N244">
        <v>116.5</v>
      </c>
      <c r="O244">
        <v>128</v>
      </c>
      <c r="P244">
        <v>123.5</v>
      </c>
      <c r="Q244">
        <v>117.3</v>
      </c>
      <c r="R244">
        <v>113.4</v>
      </c>
      <c r="S244">
        <v>117.2</v>
      </c>
      <c r="T244">
        <v>113.7</v>
      </c>
      <c r="U244">
        <v>107.9</v>
      </c>
      <c r="V244">
        <v>114.6</v>
      </c>
      <c r="W244">
        <v>120.8</v>
      </c>
      <c r="X244">
        <v>111.4</v>
      </c>
      <c r="Y244">
        <v>113.4</v>
      </c>
      <c r="Z244">
        <v>118.5</v>
      </c>
      <c r="AA244" s="1">
        <f>SUM(Table14[[#This Row],[Cereals and products]:[Food and beverages]])/13</f>
        <v>121.14615384615384</v>
      </c>
      <c r="AB244" s="1">
        <f>SUM(Table14[[#This Row],[Fuel and light]])</f>
        <v>113.4</v>
      </c>
      <c r="AC244" s="1">
        <f>SUM(Table14[[#This Row],[Transport and communication]])</f>
        <v>107.9</v>
      </c>
      <c r="AD244" s="1">
        <f>SUM(Table14[[#This Row],[Housing]],Table14[[#This Row],[Household goods and services]])/2</f>
        <v>117.25</v>
      </c>
      <c r="AE244" s="1">
        <f>SUM(Table14[[#This Row],[Health]])</f>
        <v>113.7</v>
      </c>
      <c r="AF244" s="1">
        <f>SUM(Table14[[#This Row],[Recreation and amusement]],Table14[[#This Row],[Education]])/2</f>
        <v>117.69999999999999</v>
      </c>
      <c r="AG244" s="1">
        <f>SUM(Table14[[#This Row],[Miscellaneous]],Table14[[#This Row],[Personal care and effects]])/2</f>
        <v>112.4</v>
      </c>
    </row>
    <row r="245" spans="1:33" hidden="1" x14ac:dyDescent="0.3">
      <c r="A245" t="s">
        <v>33</v>
      </c>
      <c r="B245">
        <v>2014</v>
      </c>
      <c r="C245" t="s">
        <v>41</v>
      </c>
      <c r="D245">
        <v>118.9</v>
      </c>
      <c r="E245">
        <v>117.1</v>
      </c>
      <c r="F245">
        <v>120.5</v>
      </c>
      <c r="G245">
        <v>114.4</v>
      </c>
      <c r="H245">
        <v>109</v>
      </c>
      <c r="I245">
        <v>115.5</v>
      </c>
      <c r="J245">
        <v>123.9</v>
      </c>
      <c r="K245">
        <v>109.6</v>
      </c>
      <c r="L245">
        <v>101.8</v>
      </c>
      <c r="M245">
        <v>110.2</v>
      </c>
      <c r="N245">
        <v>112.4</v>
      </c>
      <c r="O245">
        <v>117.3</v>
      </c>
      <c r="P245">
        <v>116</v>
      </c>
      <c r="Q245">
        <f>AVERAGE(Q247)</f>
        <v>111.6</v>
      </c>
      <c r="R245">
        <v>113</v>
      </c>
      <c r="S245">
        <v>112.6</v>
      </c>
      <c r="T245">
        <v>110.6</v>
      </c>
      <c r="U245">
        <v>110.5</v>
      </c>
      <c r="V245">
        <v>109.6</v>
      </c>
      <c r="W245">
        <v>111.8</v>
      </c>
      <c r="X245">
        <v>108.3</v>
      </c>
      <c r="Y245">
        <v>110.6</v>
      </c>
      <c r="Z245">
        <v>114.2</v>
      </c>
      <c r="AA245" s="1">
        <f>SUM(Table14[[#This Row],[Cereals and products]:[Food and beverages]])/13</f>
        <v>114.35384615384616</v>
      </c>
      <c r="AB245" s="1">
        <f>SUM(Table14[[#This Row],[Fuel and light]])</f>
        <v>113</v>
      </c>
      <c r="AC245" s="1">
        <f>SUM(Table14[[#This Row],[Transport and communication]])</f>
        <v>110.5</v>
      </c>
      <c r="AD245" s="1">
        <f>SUM(Table14[[#This Row],[Housing]],Table14[[#This Row],[Household goods and services]])/2</f>
        <v>112.1</v>
      </c>
      <c r="AE245" s="1">
        <f>SUM(Table14[[#This Row],[Health]])</f>
        <v>110.6</v>
      </c>
      <c r="AF245" s="1">
        <f>SUM(Table14[[#This Row],[Recreation and amusement]],Table14[[#This Row],[Education]])/2</f>
        <v>110.69999999999999</v>
      </c>
      <c r="AG245" s="1">
        <f>SUM(Table14[[#This Row],[Miscellaneous]],Table14[[#This Row],[Personal care and effects]])/2</f>
        <v>109.44999999999999</v>
      </c>
    </row>
    <row r="246" spans="1:33" hidden="1" x14ac:dyDescent="0.3">
      <c r="A246" t="s">
        <v>35</v>
      </c>
      <c r="B246">
        <v>2014</v>
      </c>
      <c r="C246" t="s">
        <v>41</v>
      </c>
      <c r="D246">
        <v>119.6</v>
      </c>
      <c r="E246">
        <v>118.8</v>
      </c>
      <c r="F246">
        <v>124.1</v>
      </c>
      <c r="G246">
        <v>114.1</v>
      </c>
      <c r="H246">
        <v>106.8</v>
      </c>
      <c r="I246">
        <v>113.9</v>
      </c>
      <c r="J246">
        <v>122.2</v>
      </c>
      <c r="K246">
        <v>108.9</v>
      </c>
      <c r="L246">
        <v>100.2</v>
      </c>
      <c r="M246">
        <v>111</v>
      </c>
      <c r="N246">
        <v>112.3</v>
      </c>
      <c r="O246">
        <v>118.1</v>
      </c>
      <c r="P246">
        <v>115.8</v>
      </c>
      <c r="Q246">
        <v>111.6</v>
      </c>
      <c r="R246">
        <v>112.2</v>
      </c>
      <c r="S246">
        <v>112.3</v>
      </c>
      <c r="T246">
        <v>110.3</v>
      </c>
      <c r="U246">
        <v>110.7</v>
      </c>
      <c r="V246">
        <v>109.7</v>
      </c>
      <c r="W246">
        <v>111.6</v>
      </c>
      <c r="X246">
        <v>108.2</v>
      </c>
      <c r="Y246">
        <v>110.6</v>
      </c>
      <c r="Z246">
        <v>113.6</v>
      </c>
      <c r="AA246" s="1">
        <f>SUM(Table14[[#This Row],[Cereals and products]:[Food and beverages]])/13</f>
        <v>114.29230769230767</v>
      </c>
      <c r="AB246" s="1">
        <f>SUM(Table14[[#This Row],[Fuel and light]])</f>
        <v>112.2</v>
      </c>
      <c r="AC246" s="1">
        <f>SUM(Table14[[#This Row],[Transport and communication]])</f>
        <v>110.7</v>
      </c>
      <c r="AD246" s="1">
        <f>SUM(Table14[[#This Row],[Housing]],Table14[[#This Row],[Household goods and services]])/2</f>
        <v>111.94999999999999</v>
      </c>
      <c r="AE246" s="1">
        <f>SUM(Table14[[#This Row],[Health]])</f>
        <v>110.3</v>
      </c>
      <c r="AF246" s="1">
        <f>SUM(Table14[[#This Row],[Recreation and amusement]],Table14[[#This Row],[Education]])/2</f>
        <v>110.65</v>
      </c>
      <c r="AG246" s="1">
        <f>SUM(Table14[[#This Row],[Miscellaneous]],Table14[[#This Row],[Personal care and effects]])/2</f>
        <v>109.4</v>
      </c>
    </row>
    <row r="247" spans="1:33" hidden="1" x14ac:dyDescent="0.3">
      <c r="A247" t="s">
        <v>36</v>
      </c>
      <c r="B247">
        <v>2014</v>
      </c>
      <c r="C247" t="s">
        <v>41</v>
      </c>
      <c r="D247">
        <v>121.2</v>
      </c>
      <c r="E247">
        <v>122</v>
      </c>
      <c r="F247">
        <v>129.9</v>
      </c>
      <c r="G247">
        <v>113.6</v>
      </c>
      <c r="H247">
        <v>102.9</v>
      </c>
      <c r="I247">
        <v>112.1</v>
      </c>
      <c r="J247">
        <v>118.9</v>
      </c>
      <c r="K247">
        <v>107.5</v>
      </c>
      <c r="L247">
        <v>96.9</v>
      </c>
      <c r="M247">
        <v>112.7</v>
      </c>
      <c r="N247">
        <v>112.1</v>
      </c>
      <c r="O247">
        <v>119</v>
      </c>
      <c r="P247">
        <v>115.5</v>
      </c>
      <c r="Q247">
        <v>111.6</v>
      </c>
      <c r="R247">
        <v>111</v>
      </c>
      <c r="S247">
        <v>111.9</v>
      </c>
      <c r="T247">
        <v>109.7</v>
      </c>
      <c r="U247">
        <v>110.8</v>
      </c>
      <c r="V247">
        <v>109.8</v>
      </c>
      <c r="W247">
        <v>111.5</v>
      </c>
      <c r="X247">
        <v>108</v>
      </c>
      <c r="Y247">
        <v>110.5</v>
      </c>
      <c r="Z247">
        <v>112.9</v>
      </c>
      <c r="AA247" s="1">
        <f>SUM(Table14[[#This Row],[Cereals and products]:[Food and beverages]])/13</f>
        <v>114.17692307692307</v>
      </c>
      <c r="AB247" s="1">
        <f>SUM(Table14[[#This Row],[Fuel and light]])</f>
        <v>111</v>
      </c>
      <c r="AC247" s="1">
        <f>SUM(Table14[[#This Row],[Transport and communication]])</f>
        <v>110.8</v>
      </c>
      <c r="AD247" s="1">
        <f>SUM(Table14[[#This Row],[Housing]],Table14[[#This Row],[Household goods and services]])/2</f>
        <v>111.75</v>
      </c>
      <c r="AE247" s="1">
        <f>SUM(Table14[[#This Row],[Health]])</f>
        <v>109.7</v>
      </c>
      <c r="AF247" s="1">
        <f>SUM(Table14[[#This Row],[Recreation and amusement]],Table14[[#This Row],[Education]])/2</f>
        <v>110.65</v>
      </c>
      <c r="AG247" s="1">
        <f>SUM(Table14[[#This Row],[Miscellaneous]],Table14[[#This Row],[Personal care and effects]])/2</f>
        <v>109.25</v>
      </c>
    </row>
    <row r="248" spans="1:33" hidden="1" x14ac:dyDescent="0.3">
      <c r="A248" t="s">
        <v>33</v>
      </c>
      <c r="B248">
        <v>2013</v>
      </c>
      <c r="C248" t="s">
        <v>41</v>
      </c>
      <c r="D248">
        <v>107.5</v>
      </c>
      <c r="E248">
        <v>106.3</v>
      </c>
      <c r="F248">
        <v>108.1</v>
      </c>
      <c r="G248">
        <v>104.9</v>
      </c>
      <c r="H248">
        <v>106.1</v>
      </c>
      <c r="I248">
        <v>103.9</v>
      </c>
      <c r="J248">
        <v>101.9</v>
      </c>
      <c r="K248">
        <v>106.1</v>
      </c>
      <c r="L248">
        <v>106.8</v>
      </c>
      <c r="M248">
        <v>103.1</v>
      </c>
      <c r="N248">
        <v>104.8</v>
      </c>
      <c r="O248">
        <v>106.7</v>
      </c>
      <c r="P248">
        <v>105.5</v>
      </c>
      <c r="Q248">
        <f>AVERAGE(Q249:Q250)</f>
        <v>100.3</v>
      </c>
      <c r="R248">
        <v>105.5</v>
      </c>
      <c r="S248">
        <v>104.8</v>
      </c>
      <c r="T248">
        <v>104</v>
      </c>
      <c r="U248">
        <v>103.3</v>
      </c>
      <c r="V248">
        <v>103.4</v>
      </c>
      <c r="W248">
        <v>103.8</v>
      </c>
      <c r="X248">
        <v>104.7</v>
      </c>
      <c r="Y248">
        <v>104</v>
      </c>
      <c r="Z248">
        <v>105.1</v>
      </c>
      <c r="AA248" s="1">
        <f>SUM(Table14[[#This Row],[Cereals and products]:[Food and beverages]])/13</f>
        <v>105.5153846153846</v>
      </c>
      <c r="AB248" s="1">
        <f>SUM(Table14[[#This Row],[Fuel and light]])</f>
        <v>105.5</v>
      </c>
      <c r="AC248" s="1">
        <f>SUM(Table14[[#This Row],[Transport and communication]])</f>
        <v>103.3</v>
      </c>
      <c r="AD248" s="1">
        <f>SUM(Table14[[#This Row],[Housing]],Table14[[#This Row],[Household goods and services]])/2</f>
        <v>102.55</v>
      </c>
      <c r="AE248" s="1">
        <f>SUM(Table14[[#This Row],[Health]])</f>
        <v>104</v>
      </c>
      <c r="AF248" s="1">
        <f>SUM(Table14[[#This Row],[Recreation and amusement]],Table14[[#This Row],[Education]])/2</f>
        <v>103.6</v>
      </c>
      <c r="AG248" s="1">
        <f>SUM(Table14[[#This Row],[Miscellaneous]],Table14[[#This Row],[Personal care and effects]])/2</f>
        <v>104.35</v>
      </c>
    </row>
    <row r="249" spans="1:33" hidden="1" x14ac:dyDescent="0.3">
      <c r="A249" t="s">
        <v>35</v>
      </c>
      <c r="B249">
        <v>2013</v>
      </c>
      <c r="C249" t="s">
        <v>41</v>
      </c>
      <c r="D249">
        <v>108.4</v>
      </c>
      <c r="E249">
        <v>107.3</v>
      </c>
      <c r="F249">
        <v>110</v>
      </c>
      <c r="G249">
        <v>104.4</v>
      </c>
      <c r="H249">
        <v>105.1</v>
      </c>
      <c r="I249">
        <v>103.2</v>
      </c>
      <c r="J249">
        <v>102.2</v>
      </c>
      <c r="K249">
        <v>106</v>
      </c>
      <c r="L249">
        <v>106.2</v>
      </c>
      <c r="M249">
        <v>102.7</v>
      </c>
      <c r="N249">
        <v>104.9</v>
      </c>
      <c r="O249">
        <v>107.3</v>
      </c>
      <c r="P249">
        <v>105.6</v>
      </c>
      <c r="Q249">
        <v>100.3</v>
      </c>
      <c r="R249">
        <v>105.5</v>
      </c>
      <c r="S249">
        <v>104.8</v>
      </c>
      <c r="T249">
        <v>104</v>
      </c>
      <c r="U249">
        <v>103.2</v>
      </c>
      <c r="V249">
        <v>103.1</v>
      </c>
      <c r="W249">
        <v>103.6</v>
      </c>
      <c r="X249">
        <v>104.5</v>
      </c>
      <c r="Y249">
        <v>103.9</v>
      </c>
      <c r="Z249">
        <v>104.6</v>
      </c>
      <c r="AA249" s="1">
        <f>SUM(Table14[[#This Row],[Cereals and products]:[Food and beverages]])/13</f>
        <v>105.63846153846156</v>
      </c>
      <c r="AB249" s="1">
        <f>SUM(Table14[[#This Row],[Fuel and light]])</f>
        <v>105.5</v>
      </c>
      <c r="AC249" s="1">
        <f>SUM(Table14[[#This Row],[Transport and communication]])</f>
        <v>103.2</v>
      </c>
      <c r="AD249" s="1">
        <f>SUM(Table14[[#This Row],[Housing]],Table14[[#This Row],[Household goods and services]])/2</f>
        <v>102.55</v>
      </c>
      <c r="AE249" s="1">
        <f>SUM(Table14[[#This Row],[Health]])</f>
        <v>104</v>
      </c>
      <c r="AF249" s="1">
        <f>SUM(Table14[[#This Row],[Recreation and amusement]],Table14[[#This Row],[Education]])/2</f>
        <v>103.35</v>
      </c>
      <c r="AG249" s="1">
        <f>SUM(Table14[[#This Row],[Miscellaneous]],Table14[[#This Row],[Personal care and effects]])/2</f>
        <v>104.2</v>
      </c>
    </row>
    <row r="250" spans="1:33" hidden="1" x14ac:dyDescent="0.3">
      <c r="A250" t="s">
        <v>36</v>
      </c>
      <c r="B250">
        <v>2013</v>
      </c>
      <c r="C250" t="s">
        <v>41</v>
      </c>
      <c r="D250">
        <v>110.5</v>
      </c>
      <c r="E250">
        <v>109.1</v>
      </c>
      <c r="F250">
        <v>113</v>
      </c>
      <c r="G250">
        <v>103.6</v>
      </c>
      <c r="H250">
        <v>103.4</v>
      </c>
      <c r="I250">
        <v>102.3</v>
      </c>
      <c r="J250">
        <v>102.9</v>
      </c>
      <c r="K250">
        <v>105.8</v>
      </c>
      <c r="L250">
        <v>105.1</v>
      </c>
      <c r="M250">
        <v>101.8</v>
      </c>
      <c r="N250">
        <v>105.1</v>
      </c>
      <c r="O250">
        <v>107.9</v>
      </c>
      <c r="P250">
        <v>105.9</v>
      </c>
      <c r="Q250">
        <v>100.3</v>
      </c>
      <c r="R250">
        <v>105.4</v>
      </c>
      <c r="S250">
        <v>104.8</v>
      </c>
      <c r="T250">
        <v>104.1</v>
      </c>
      <c r="U250">
        <v>103.2</v>
      </c>
      <c r="V250">
        <v>102.9</v>
      </c>
      <c r="W250">
        <v>103.5</v>
      </c>
      <c r="X250">
        <v>104.3</v>
      </c>
      <c r="Y250">
        <v>103.7</v>
      </c>
      <c r="Z250">
        <v>104</v>
      </c>
      <c r="AA250" s="1">
        <f>SUM(Table14[[#This Row],[Cereals and products]:[Food and beverages]])/13</f>
        <v>105.87692307692308</v>
      </c>
      <c r="AB250" s="1">
        <f>SUM(Table14[[#This Row],[Fuel and light]])</f>
        <v>105.4</v>
      </c>
      <c r="AC250" s="1">
        <f>SUM(Table14[[#This Row],[Transport and communication]])</f>
        <v>103.2</v>
      </c>
      <c r="AD250" s="1">
        <f>SUM(Table14[[#This Row],[Housing]],Table14[[#This Row],[Household goods and services]])/2</f>
        <v>102.55</v>
      </c>
      <c r="AE250" s="1">
        <f>SUM(Table14[[#This Row],[Health]])</f>
        <v>104.1</v>
      </c>
      <c r="AF250" s="1">
        <f>SUM(Table14[[#This Row],[Recreation and amusement]],Table14[[#This Row],[Education]])/2</f>
        <v>103.2</v>
      </c>
      <c r="AG250" s="1">
        <f>SUM(Table14[[#This Row],[Miscellaneous]],Table14[[#This Row],[Personal care and effects]])/2</f>
        <v>104</v>
      </c>
    </row>
    <row r="251" spans="1:33" hidden="1" x14ac:dyDescent="0.3">
      <c r="A251" t="s">
        <v>33</v>
      </c>
      <c r="B251">
        <v>2023</v>
      </c>
      <c r="C251" t="s">
        <v>39</v>
      </c>
      <c r="D251">
        <v>174.2</v>
      </c>
      <c r="E251">
        <v>205.2</v>
      </c>
      <c r="F251">
        <v>173.9</v>
      </c>
      <c r="G251">
        <v>177</v>
      </c>
      <c r="H251">
        <v>183.4</v>
      </c>
      <c r="I251">
        <v>167.2</v>
      </c>
      <c r="J251">
        <v>140.9</v>
      </c>
      <c r="K251">
        <v>170.4</v>
      </c>
      <c r="L251">
        <v>119.1</v>
      </c>
      <c r="M251">
        <v>212.1</v>
      </c>
      <c r="N251">
        <v>177.6</v>
      </c>
      <c r="O251">
        <v>189.9</v>
      </c>
      <c r="P251">
        <v>174.8</v>
      </c>
      <c r="Q251">
        <f>AVERAGE(Q253)</f>
        <v>173.5</v>
      </c>
      <c r="R251">
        <v>181.6</v>
      </c>
      <c r="S251">
        <v>178.6</v>
      </c>
      <c r="T251">
        <v>186.6</v>
      </c>
      <c r="U251">
        <v>169</v>
      </c>
      <c r="V251">
        <v>172.8</v>
      </c>
      <c r="W251">
        <v>178.5</v>
      </c>
      <c r="X251">
        <v>180.7</v>
      </c>
      <c r="Y251">
        <v>177.9</v>
      </c>
      <c r="Z251">
        <v>178</v>
      </c>
      <c r="AA251" s="1">
        <f>SUM(Table14[[#This Row],[Cereals and products]:[Food and beverages]])/13</f>
        <v>174.28461538461536</v>
      </c>
      <c r="AB251" s="1">
        <f>SUM(Table14[[#This Row],[Fuel and light]])</f>
        <v>181.6</v>
      </c>
      <c r="AC251" s="1">
        <f>SUM(Table14[[#This Row],[Transport and communication]])</f>
        <v>169</v>
      </c>
      <c r="AD251" s="1">
        <f>SUM(Table14[[#This Row],[Housing]],Table14[[#This Row],[Household goods and services]])/2</f>
        <v>176.05</v>
      </c>
      <c r="AE251" s="1">
        <f>SUM(Table14[[#This Row],[Health]])</f>
        <v>186.6</v>
      </c>
      <c r="AF251" s="1">
        <f>SUM(Table14[[#This Row],[Recreation and amusement]],Table14[[#This Row],[Education]])/2</f>
        <v>175.65</v>
      </c>
      <c r="AG251" s="1">
        <f>SUM(Table14[[#This Row],[Miscellaneous]],Table14[[#This Row],[Personal care and effects]])/2</f>
        <v>179.3</v>
      </c>
    </row>
    <row r="252" spans="1:33" hidden="1" x14ac:dyDescent="0.3">
      <c r="A252" t="s">
        <v>35</v>
      </c>
      <c r="B252">
        <v>2023</v>
      </c>
      <c r="C252" t="s">
        <v>39</v>
      </c>
      <c r="D252">
        <v>174.4</v>
      </c>
      <c r="E252">
        <v>207.7</v>
      </c>
      <c r="F252">
        <v>175.2</v>
      </c>
      <c r="G252">
        <v>177.3</v>
      </c>
      <c r="H252">
        <v>179.3</v>
      </c>
      <c r="I252">
        <v>169.5</v>
      </c>
      <c r="J252">
        <v>152.69999999999999</v>
      </c>
      <c r="K252">
        <v>171</v>
      </c>
      <c r="L252">
        <v>120</v>
      </c>
      <c r="M252">
        <v>209.7</v>
      </c>
      <c r="N252">
        <v>172.3</v>
      </c>
      <c r="O252">
        <v>193</v>
      </c>
      <c r="P252">
        <v>177</v>
      </c>
      <c r="Q252">
        <v>173.5</v>
      </c>
      <c r="R252">
        <v>182.1</v>
      </c>
      <c r="S252">
        <v>174.2</v>
      </c>
      <c r="T252">
        <v>184.4</v>
      </c>
      <c r="U252">
        <v>164.2</v>
      </c>
      <c r="V252">
        <v>170.3</v>
      </c>
      <c r="W252">
        <v>175</v>
      </c>
      <c r="X252">
        <v>181</v>
      </c>
      <c r="Y252">
        <v>174.1</v>
      </c>
      <c r="Z252">
        <v>177.2</v>
      </c>
      <c r="AA252" s="1">
        <f>SUM(Table14[[#This Row],[Cereals and products]:[Food and beverages]])/13</f>
        <v>175.3153846153846</v>
      </c>
      <c r="AB252" s="1">
        <f>SUM(Table14[[#This Row],[Fuel and light]])</f>
        <v>182.1</v>
      </c>
      <c r="AC252" s="1">
        <f>SUM(Table14[[#This Row],[Transport and communication]])</f>
        <v>164.2</v>
      </c>
      <c r="AD252" s="1">
        <f>SUM(Table14[[#This Row],[Housing]],Table14[[#This Row],[Household goods and services]])/2</f>
        <v>173.85</v>
      </c>
      <c r="AE252" s="1">
        <f>SUM(Table14[[#This Row],[Health]])</f>
        <v>184.4</v>
      </c>
      <c r="AF252" s="1">
        <f>SUM(Table14[[#This Row],[Recreation and amusement]],Table14[[#This Row],[Education]])/2</f>
        <v>172.65</v>
      </c>
      <c r="AG252" s="1">
        <f>SUM(Table14[[#This Row],[Miscellaneous]],Table14[[#This Row],[Personal care and effects]])/2</f>
        <v>177.55</v>
      </c>
    </row>
    <row r="253" spans="1:33" hidden="1" x14ac:dyDescent="0.3">
      <c r="A253" t="s">
        <v>36</v>
      </c>
      <c r="B253">
        <v>2023</v>
      </c>
      <c r="C253" t="s">
        <v>39</v>
      </c>
      <c r="D253">
        <v>174.7</v>
      </c>
      <c r="E253">
        <v>212.2</v>
      </c>
      <c r="F253">
        <v>177.2</v>
      </c>
      <c r="G253">
        <v>177.9</v>
      </c>
      <c r="H253">
        <v>172.2</v>
      </c>
      <c r="I253">
        <v>172.1</v>
      </c>
      <c r="J253">
        <v>175.8</v>
      </c>
      <c r="K253">
        <v>172.2</v>
      </c>
      <c r="L253">
        <v>121.9</v>
      </c>
      <c r="M253">
        <v>204.8</v>
      </c>
      <c r="N253">
        <v>164.9</v>
      </c>
      <c r="O253">
        <v>196.6</v>
      </c>
      <c r="P253">
        <v>180.7</v>
      </c>
      <c r="Q253">
        <v>173.5</v>
      </c>
      <c r="R253">
        <v>182.8</v>
      </c>
      <c r="S253">
        <v>169.2</v>
      </c>
      <c r="T253">
        <v>180.8</v>
      </c>
      <c r="U253">
        <v>159.80000000000001</v>
      </c>
      <c r="V253">
        <v>168.4</v>
      </c>
      <c r="W253">
        <v>172.5</v>
      </c>
      <c r="X253">
        <v>181.4</v>
      </c>
      <c r="Y253">
        <v>170</v>
      </c>
      <c r="Z253">
        <v>176.3</v>
      </c>
      <c r="AA253" s="1">
        <f>SUM(Table14[[#This Row],[Cereals and products]:[Food and beverages]])/13</f>
        <v>177.16923076923075</v>
      </c>
      <c r="AB253" s="1">
        <f>SUM(Table14[[#This Row],[Fuel and light]])</f>
        <v>182.8</v>
      </c>
      <c r="AC253" s="1">
        <f>SUM(Table14[[#This Row],[Transport and communication]])</f>
        <v>159.80000000000001</v>
      </c>
      <c r="AD253" s="1">
        <f>SUM(Table14[[#This Row],[Housing]],Table14[[#This Row],[Household goods and services]])/2</f>
        <v>171.35</v>
      </c>
      <c r="AE253" s="1">
        <f>SUM(Table14[[#This Row],[Health]])</f>
        <v>180.8</v>
      </c>
      <c r="AF253" s="1">
        <f>SUM(Table14[[#This Row],[Recreation and amusement]],Table14[[#This Row],[Education]])/2</f>
        <v>170.45</v>
      </c>
      <c r="AG253" s="1">
        <f>SUM(Table14[[#This Row],[Miscellaneous]],Table14[[#This Row],[Personal care and effects]])/2</f>
        <v>175.7</v>
      </c>
    </row>
    <row r="254" spans="1:33" hidden="1" x14ac:dyDescent="0.3">
      <c r="A254" t="s">
        <v>33</v>
      </c>
      <c r="B254">
        <v>2022</v>
      </c>
      <c r="C254" t="s">
        <v>39</v>
      </c>
      <c r="D254">
        <v>148.80000000000001</v>
      </c>
      <c r="E254">
        <v>198.1</v>
      </c>
      <c r="F254">
        <v>175.5</v>
      </c>
      <c r="G254">
        <v>160.69999999999999</v>
      </c>
      <c r="H254">
        <v>192.6</v>
      </c>
      <c r="I254">
        <v>151.4</v>
      </c>
      <c r="J254">
        <v>155.19999999999999</v>
      </c>
      <c r="K254">
        <v>163.9</v>
      </c>
      <c r="L254">
        <v>118.1</v>
      </c>
      <c r="M254">
        <v>175.4</v>
      </c>
      <c r="N254">
        <v>170.5</v>
      </c>
      <c r="O254">
        <v>176.3</v>
      </c>
      <c r="P254">
        <v>163.9</v>
      </c>
      <c r="Q254">
        <f>AVERAGE(Q255:Q256)</f>
        <v>165.5</v>
      </c>
      <c r="R254">
        <v>167.4</v>
      </c>
      <c r="S254">
        <v>165.7</v>
      </c>
      <c r="T254">
        <v>175.3</v>
      </c>
      <c r="U254">
        <v>161.19999999999999</v>
      </c>
      <c r="V254">
        <v>165.5</v>
      </c>
      <c r="W254">
        <v>170.3</v>
      </c>
      <c r="X254">
        <v>164.5</v>
      </c>
      <c r="Y254">
        <v>167.3</v>
      </c>
      <c r="Z254">
        <v>166.7</v>
      </c>
      <c r="AA254" s="1">
        <f>SUM(Table14[[#This Row],[Cereals and products]:[Food and beverages]])/13</f>
        <v>165.41538461538462</v>
      </c>
      <c r="AB254" s="1">
        <f>SUM(Table14[[#This Row],[Fuel and light]])</f>
        <v>167.4</v>
      </c>
      <c r="AC254" s="1">
        <f>SUM(Table14[[#This Row],[Transport and communication]])</f>
        <v>161.19999999999999</v>
      </c>
      <c r="AD254" s="1">
        <f>SUM(Table14[[#This Row],[Housing]],Table14[[#This Row],[Household goods and services]])/2</f>
        <v>165.6</v>
      </c>
      <c r="AE254" s="1">
        <f>SUM(Table14[[#This Row],[Health]])</f>
        <v>175.3</v>
      </c>
      <c r="AF254" s="1">
        <f>SUM(Table14[[#This Row],[Recreation and amusement]],Table14[[#This Row],[Education]])/2</f>
        <v>167.9</v>
      </c>
      <c r="AG254" s="1">
        <f>SUM(Table14[[#This Row],[Miscellaneous]],Table14[[#This Row],[Personal care and effects]])/2</f>
        <v>165.9</v>
      </c>
    </row>
    <row r="255" spans="1:33" hidden="1" x14ac:dyDescent="0.3">
      <c r="A255" t="s">
        <v>35</v>
      </c>
      <c r="B255">
        <v>2022</v>
      </c>
      <c r="C255" t="s">
        <v>39</v>
      </c>
      <c r="D255">
        <v>150</v>
      </c>
      <c r="E255">
        <v>200.6</v>
      </c>
      <c r="F255">
        <v>175.8</v>
      </c>
      <c r="G255">
        <v>160.69999999999999</v>
      </c>
      <c r="H255">
        <v>184.9</v>
      </c>
      <c r="I255">
        <v>153.69999999999999</v>
      </c>
      <c r="J255">
        <v>169.7</v>
      </c>
      <c r="K255">
        <v>163.69999999999999</v>
      </c>
      <c r="L255">
        <v>118.9</v>
      </c>
      <c r="M255">
        <v>174.3</v>
      </c>
      <c r="N255">
        <v>164.7</v>
      </c>
      <c r="O255">
        <v>178</v>
      </c>
      <c r="P255">
        <v>166.2</v>
      </c>
      <c r="Q255">
        <v>165.5</v>
      </c>
      <c r="R255">
        <v>165.7</v>
      </c>
      <c r="S255">
        <v>161.80000000000001</v>
      </c>
      <c r="T255">
        <v>172.2</v>
      </c>
      <c r="U255">
        <v>156.9</v>
      </c>
      <c r="V255">
        <v>162.1</v>
      </c>
      <c r="W255">
        <v>165.4</v>
      </c>
      <c r="X255">
        <v>164.4</v>
      </c>
      <c r="Y255">
        <v>163.5</v>
      </c>
      <c r="Z255">
        <v>166.1</v>
      </c>
      <c r="AA255" s="1">
        <f>SUM(Table14[[#This Row],[Cereals and products]:[Food and beverages]])/13</f>
        <v>166.24615384615387</v>
      </c>
      <c r="AB255" s="1">
        <f>SUM(Table14[[#This Row],[Fuel and light]])</f>
        <v>165.7</v>
      </c>
      <c r="AC255" s="1">
        <f>SUM(Table14[[#This Row],[Transport and communication]])</f>
        <v>156.9</v>
      </c>
      <c r="AD255" s="1">
        <f>SUM(Table14[[#This Row],[Housing]],Table14[[#This Row],[Household goods and services]])/2</f>
        <v>163.65</v>
      </c>
      <c r="AE255" s="1">
        <f>SUM(Table14[[#This Row],[Health]])</f>
        <v>172.2</v>
      </c>
      <c r="AF255" s="1">
        <f>SUM(Table14[[#This Row],[Recreation and amusement]],Table14[[#This Row],[Education]])/2</f>
        <v>163.75</v>
      </c>
      <c r="AG255" s="1">
        <f>SUM(Table14[[#This Row],[Miscellaneous]],Table14[[#This Row],[Personal care and effects]])/2</f>
        <v>163.95</v>
      </c>
    </row>
    <row r="256" spans="1:33" hidden="1" x14ac:dyDescent="0.3">
      <c r="A256" t="s">
        <v>36</v>
      </c>
      <c r="B256">
        <v>2022</v>
      </c>
      <c r="C256" t="s">
        <v>39</v>
      </c>
      <c r="D256">
        <v>152.5</v>
      </c>
      <c r="E256">
        <v>205.2</v>
      </c>
      <c r="F256">
        <v>176.4</v>
      </c>
      <c r="G256">
        <v>160.6</v>
      </c>
      <c r="H256">
        <v>171.5</v>
      </c>
      <c r="I256">
        <v>156.4</v>
      </c>
      <c r="J256">
        <v>198</v>
      </c>
      <c r="K256">
        <v>163.19999999999999</v>
      </c>
      <c r="L256">
        <v>120.6</v>
      </c>
      <c r="M256">
        <v>172.2</v>
      </c>
      <c r="N256">
        <v>156.69999999999999</v>
      </c>
      <c r="O256">
        <v>180</v>
      </c>
      <c r="P256">
        <v>170.2</v>
      </c>
      <c r="Q256">
        <v>165.5</v>
      </c>
      <c r="R256">
        <v>163</v>
      </c>
      <c r="S256">
        <v>157.4</v>
      </c>
      <c r="T256">
        <v>167.2</v>
      </c>
      <c r="U256">
        <v>153.1</v>
      </c>
      <c r="V256">
        <v>159.5</v>
      </c>
      <c r="W256">
        <v>162</v>
      </c>
      <c r="X256">
        <v>164.2</v>
      </c>
      <c r="Y256">
        <v>159.4</v>
      </c>
      <c r="Z256">
        <v>165.5</v>
      </c>
      <c r="AA256" s="1">
        <f>SUM(Table14[[#This Row],[Cereals and products]:[Food and beverages]])/13</f>
        <v>167.96153846153845</v>
      </c>
      <c r="AB256" s="1">
        <f>SUM(Table14[[#This Row],[Fuel and light]])</f>
        <v>163</v>
      </c>
      <c r="AC256" s="1">
        <f>SUM(Table14[[#This Row],[Transport and communication]])</f>
        <v>153.1</v>
      </c>
      <c r="AD256" s="1">
        <f>SUM(Table14[[#This Row],[Housing]],Table14[[#This Row],[Household goods and services]])/2</f>
        <v>161.44999999999999</v>
      </c>
      <c r="AE256" s="1">
        <f>SUM(Table14[[#This Row],[Health]])</f>
        <v>167.2</v>
      </c>
      <c r="AF256" s="1">
        <f>SUM(Table14[[#This Row],[Recreation and amusement]],Table14[[#This Row],[Education]])/2</f>
        <v>160.75</v>
      </c>
      <c r="AG256" s="1">
        <f>SUM(Table14[[#This Row],[Miscellaneous]],Table14[[#This Row],[Personal care and effects]])/2</f>
        <v>161.80000000000001</v>
      </c>
    </row>
    <row r="257" spans="1:33" hidden="1" x14ac:dyDescent="0.3">
      <c r="A257" t="s">
        <v>33</v>
      </c>
      <c r="B257">
        <v>2021</v>
      </c>
      <c r="C257" t="s">
        <v>37</v>
      </c>
      <c r="D257">
        <v>144.9</v>
      </c>
      <c r="E257">
        <v>202.3</v>
      </c>
      <c r="F257">
        <v>176.5</v>
      </c>
      <c r="G257">
        <v>157.5</v>
      </c>
      <c r="H257">
        <v>190.9</v>
      </c>
      <c r="I257">
        <v>155.69999999999999</v>
      </c>
      <c r="J257">
        <v>153.9</v>
      </c>
      <c r="K257">
        <v>162.80000000000001</v>
      </c>
      <c r="L257">
        <v>115.2</v>
      </c>
      <c r="M257">
        <v>169.8</v>
      </c>
      <c r="N257">
        <v>167.6</v>
      </c>
      <c r="O257">
        <v>171.9</v>
      </c>
      <c r="P257">
        <v>161.80000000000001</v>
      </c>
      <c r="Q257">
        <f>AVERAGE(Q258:Q259)</f>
        <v>162.1</v>
      </c>
      <c r="R257">
        <v>163.1</v>
      </c>
      <c r="S257">
        <v>160.9</v>
      </c>
      <c r="T257">
        <v>171.1</v>
      </c>
      <c r="U257">
        <v>157.69999999999999</v>
      </c>
      <c r="V257">
        <v>161.1</v>
      </c>
      <c r="W257">
        <v>167.5</v>
      </c>
      <c r="X257">
        <v>160.30000000000001</v>
      </c>
      <c r="Y257">
        <v>163.30000000000001</v>
      </c>
      <c r="Z257">
        <v>163.6</v>
      </c>
      <c r="AA257" s="1">
        <f>SUM(Table14[[#This Row],[Cereals and products]:[Food and beverages]])/13</f>
        <v>163.90769230769232</v>
      </c>
      <c r="AB257" s="1">
        <f>SUM(Table14[[#This Row],[Fuel and light]])</f>
        <v>163.1</v>
      </c>
      <c r="AC257" s="1">
        <f>SUM(Table14[[#This Row],[Transport and communication]])</f>
        <v>157.69999999999999</v>
      </c>
      <c r="AD257" s="1">
        <f>SUM(Table14[[#This Row],[Housing]],Table14[[#This Row],[Household goods and services]])/2</f>
        <v>161.5</v>
      </c>
      <c r="AE257" s="1">
        <f>SUM(Table14[[#This Row],[Health]])</f>
        <v>171.1</v>
      </c>
      <c r="AF257" s="1">
        <f>SUM(Table14[[#This Row],[Recreation and amusement]],Table14[[#This Row],[Education]])/2</f>
        <v>164.3</v>
      </c>
      <c r="AG257" s="1">
        <f>SUM(Table14[[#This Row],[Miscellaneous]],Table14[[#This Row],[Personal care and effects]])/2</f>
        <v>161.80000000000001</v>
      </c>
    </row>
    <row r="258" spans="1:33" hidden="1" x14ac:dyDescent="0.3">
      <c r="A258" t="s">
        <v>35</v>
      </c>
      <c r="B258">
        <v>2021</v>
      </c>
      <c r="C258" t="s">
        <v>37</v>
      </c>
      <c r="D258">
        <v>146.6</v>
      </c>
      <c r="E258">
        <v>204</v>
      </c>
      <c r="F258">
        <v>172.8</v>
      </c>
      <c r="G258">
        <v>158.4</v>
      </c>
      <c r="H258">
        <v>188</v>
      </c>
      <c r="I258">
        <v>156.80000000000001</v>
      </c>
      <c r="J258">
        <v>162.19999999999999</v>
      </c>
      <c r="K258">
        <v>164.1</v>
      </c>
      <c r="L258">
        <v>119.7</v>
      </c>
      <c r="M258">
        <v>168.8</v>
      </c>
      <c r="N258">
        <v>162.69999999999999</v>
      </c>
      <c r="O258">
        <v>173.9</v>
      </c>
      <c r="P258">
        <v>164</v>
      </c>
      <c r="Q258">
        <v>162.1</v>
      </c>
      <c r="R258">
        <v>162.6</v>
      </c>
      <c r="S258">
        <v>157.5</v>
      </c>
      <c r="T258">
        <v>168.4</v>
      </c>
      <c r="U258">
        <v>154</v>
      </c>
      <c r="V258">
        <v>157.6</v>
      </c>
      <c r="W258">
        <v>163.80000000000001</v>
      </c>
      <c r="X258">
        <v>160</v>
      </c>
      <c r="Y258">
        <v>160</v>
      </c>
      <c r="Z258">
        <v>163.19999999999999</v>
      </c>
      <c r="AA258" s="1">
        <f>SUM(Table14[[#This Row],[Cereals and products]:[Food and beverages]])/13</f>
        <v>164.76923076923077</v>
      </c>
      <c r="AB258" s="1">
        <f>SUM(Table14[[#This Row],[Fuel and light]])</f>
        <v>162.6</v>
      </c>
      <c r="AC258" s="1">
        <f>SUM(Table14[[#This Row],[Transport and communication]])</f>
        <v>154</v>
      </c>
      <c r="AD258" s="1">
        <f>SUM(Table14[[#This Row],[Housing]],Table14[[#This Row],[Household goods and services]])/2</f>
        <v>159.80000000000001</v>
      </c>
      <c r="AE258" s="1">
        <f>SUM(Table14[[#This Row],[Health]])</f>
        <v>168.4</v>
      </c>
      <c r="AF258" s="1">
        <f>SUM(Table14[[#This Row],[Recreation and amusement]],Table14[[#This Row],[Education]])/2</f>
        <v>160.69999999999999</v>
      </c>
      <c r="AG258" s="1">
        <f>SUM(Table14[[#This Row],[Miscellaneous]],Table14[[#This Row],[Personal care and effects]])/2</f>
        <v>160</v>
      </c>
    </row>
    <row r="259" spans="1:33" hidden="1" x14ac:dyDescent="0.3">
      <c r="A259" t="s">
        <v>36</v>
      </c>
      <c r="B259">
        <v>2021</v>
      </c>
      <c r="C259" t="s">
        <v>37</v>
      </c>
      <c r="D259">
        <v>149.30000000000001</v>
      </c>
      <c r="E259">
        <v>207.4</v>
      </c>
      <c r="F259">
        <v>174.1</v>
      </c>
      <c r="G259">
        <v>159.19999999999999</v>
      </c>
      <c r="H259">
        <v>175</v>
      </c>
      <c r="I259">
        <v>161.30000000000001</v>
      </c>
      <c r="J259">
        <v>183.3</v>
      </c>
      <c r="K259">
        <v>164.5</v>
      </c>
      <c r="L259">
        <v>120.4</v>
      </c>
      <c r="M259">
        <v>166.2</v>
      </c>
      <c r="N259">
        <v>154.80000000000001</v>
      </c>
      <c r="O259">
        <v>175.1</v>
      </c>
      <c r="P259">
        <v>167.3</v>
      </c>
      <c r="Q259">
        <v>162.1</v>
      </c>
      <c r="R259">
        <v>160.69999999999999</v>
      </c>
      <c r="S259">
        <v>153.19999999999999</v>
      </c>
      <c r="T259">
        <v>162.80000000000001</v>
      </c>
      <c r="U259">
        <v>150.4</v>
      </c>
      <c r="V259">
        <v>153.69999999999999</v>
      </c>
      <c r="W259">
        <v>160.4</v>
      </c>
      <c r="X259">
        <v>159.6</v>
      </c>
      <c r="Y259">
        <v>156</v>
      </c>
      <c r="Z259">
        <v>162.30000000000001</v>
      </c>
      <c r="AA259" s="1">
        <f>SUM(Table14[[#This Row],[Cereals and products]:[Food and beverages]])/13</f>
        <v>165.99230769230769</v>
      </c>
      <c r="AB259" s="1">
        <f>SUM(Table14[[#This Row],[Fuel and light]])</f>
        <v>160.69999999999999</v>
      </c>
      <c r="AC259" s="1">
        <f>SUM(Table14[[#This Row],[Transport and communication]])</f>
        <v>150.4</v>
      </c>
      <c r="AD259" s="1">
        <f>SUM(Table14[[#This Row],[Housing]],Table14[[#This Row],[Household goods and services]])/2</f>
        <v>157.64999999999998</v>
      </c>
      <c r="AE259" s="1">
        <f>SUM(Table14[[#This Row],[Health]])</f>
        <v>162.80000000000001</v>
      </c>
      <c r="AF259" s="1">
        <f>SUM(Table14[[#This Row],[Recreation and amusement]],Table14[[#This Row],[Education]])/2</f>
        <v>157.05000000000001</v>
      </c>
      <c r="AG259" s="1">
        <f>SUM(Table14[[#This Row],[Miscellaneous]],Table14[[#This Row],[Personal care and effects]])/2</f>
        <v>157.80000000000001</v>
      </c>
    </row>
    <row r="260" spans="1:33" hidden="1" x14ac:dyDescent="0.3">
      <c r="A260" t="s">
        <v>33</v>
      </c>
      <c r="B260">
        <v>2021</v>
      </c>
      <c r="C260" t="s">
        <v>38</v>
      </c>
      <c r="D260">
        <v>147.4</v>
      </c>
      <c r="E260">
        <v>197</v>
      </c>
      <c r="F260">
        <v>176.5</v>
      </c>
      <c r="G260">
        <v>159.80000000000001</v>
      </c>
      <c r="H260">
        <v>195.8</v>
      </c>
      <c r="I260">
        <v>152</v>
      </c>
      <c r="J260">
        <v>172.3</v>
      </c>
      <c r="K260">
        <v>164.5</v>
      </c>
      <c r="L260">
        <v>120.6</v>
      </c>
      <c r="M260">
        <v>171.7</v>
      </c>
      <c r="N260">
        <v>169.7</v>
      </c>
      <c r="O260">
        <v>175.1</v>
      </c>
      <c r="P260">
        <v>165.8</v>
      </c>
      <c r="Q260">
        <f>AVERAGE(Q261:Q262)</f>
        <v>163.4</v>
      </c>
      <c r="R260">
        <v>165.6</v>
      </c>
      <c r="S260">
        <v>163.9</v>
      </c>
      <c r="T260">
        <v>174</v>
      </c>
      <c r="U260">
        <v>160.1</v>
      </c>
      <c r="V260">
        <v>164.5</v>
      </c>
      <c r="W260">
        <v>169.7</v>
      </c>
      <c r="X260">
        <v>162.80000000000001</v>
      </c>
      <c r="Y260">
        <v>166</v>
      </c>
      <c r="Z260">
        <v>167</v>
      </c>
      <c r="AA260" s="1">
        <f>SUM(Table14[[#This Row],[Cereals and products]:[Food and beverages]])/13</f>
        <v>166.78461538461536</v>
      </c>
      <c r="AB260" s="1">
        <f>SUM(Table14[[#This Row],[Fuel and light]])</f>
        <v>165.6</v>
      </c>
      <c r="AC260" s="1">
        <f>SUM(Table14[[#This Row],[Transport and communication]])</f>
        <v>160.1</v>
      </c>
      <c r="AD260" s="1">
        <f>SUM(Table14[[#This Row],[Housing]],Table14[[#This Row],[Household goods and services]])/2</f>
        <v>163.65</v>
      </c>
      <c r="AE260" s="1">
        <f>SUM(Table14[[#This Row],[Health]])</f>
        <v>174</v>
      </c>
      <c r="AF260" s="1">
        <f>SUM(Table14[[#This Row],[Recreation and amusement]],Table14[[#This Row],[Education]])/2</f>
        <v>167.1</v>
      </c>
      <c r="AG260" s="1">
        <f>SUM(Table14[[#This Row],[Miscellaneous]],Table14[[#This Row],[Personal care and effects]])/2</f>
        <v>164.4</v>
      </c>
    </row>
    <row r="261" spans="1:33" hidden="1" x14ac:dyDescent="0.3">
      <c r="A261" t="s">
        <v>35</v>
      </c>
      <c r="B261">
        <v>2021</v>
      </c>
      <c r="C261" t="s">
        <v>38</v>
      </c>
      <c r="D261">
        <v>148.69999999999999</v>
      </c>
      <c r="E261">
        <v>198.8</v>
      </c>
      <c r="F261">
        <v>177.9</v>
      </c>
      <c r="G261">
        <v>159.9</v>
      </c>
      <c r="H261">
        <v>187.6</v>
      </c>
      <c r="I261">
        <v>154.9</v>
      </c>
      <c r="J261">
        <v>188.3</v>
      </c>
      <c r="K261">
        <v>164.4</v>
      </c>
      <c r="L261">
        <v>121</v>
      </c>
      <c r="M261">
        <v>170.5</v>
      </c>
      <c r="N261">
        <v>164.2</v>
      </c>
      <c r="O261">
        <v>176.5</v>
      </c>
      <c r="P261">
        <v>168.2</v>
      </c>
      <c r="Q261">
        <v>163.4</v>
      </c>
      <c r="R261">
        <v>164.1</v>
      </c>
      <c r="S261">
        <v>160.19999999999999</v>
      </c>
      <c r="T261">
        <v>170.6</v>
      </c>
      <c r="U261">
        <v>155.69999999999999</v>
      </c>
      <c r="V261">
        <v>160.6</v>
      </c>
      <c r="W261">
        <v>164.4</v>
      </c>
      <c r="X261">
        <v>162.6</v>
      </c>
      <c r="Y261">
        <v>162</v>
      </c>
      <c r="Z261">
        <v>166.2</v>
      </c>
      <c r="AA261" s="1">
        <f>SUM(Table14[[#This Row],[Cereals and products]:[Food and beverages]])/13</f>
        <v>167.76153846153846</v>
      </c>
      <c r="AB261" s="1">
        <f>SUM(Table14[[#This Row],[Fuel and light]])</f>
        <v>164.1</v>
      </c>
      <c r="AC261" s="1">
        <f>SUM(Table14[[#This Row],[Transport and communication]])</f>
        <v>155.69999999999999</v>
      </c>
      <c r="AD261" s="1">
        <f>SUM(Table14[[#This Row],[Housing]],Table14[[#This Row],[Household goods and services]])/2</f>
        <v>161.80000000000001</v>
      </c>
      <c r="AE261" s="1">
        <f>SUM(Table14[[#This Row],[Health]])</f>
        <v>170.6</v>
      </c>
      <c r="AF261" s="1">
        <f>SUM(Table14[[#This Row],[Recreation and amusement]],Table14[[#This Row],[Education]])/2</f>
        <v>162.5</v>
      </c>
      <c r="AG261" s="1">
        <f>SUM(Table14[[#This Row],[Miscellaneous]],Table14[[#This Row],[Personal care and effects]])/2</f>
        <v>162.30000000000001</v>
      </c>
    </row>
    <row r="262" spans="1:33" hidden="1" x14ac:dyDescent="0.3">
      <c r="A262" t="s">
        <v>36</v>
      </c>
      <c r="B262">
        <v>2021</v>
      </c>
      <c r="C262" t="s">
        <v>38</v>
      </c>
      <c r="D262">
        <v>151.6</v>
      </c>
      <c r="E262">
        <v>202.2</v>
      </c>
      <c r="F262">
        <v>180</v>
      </c>
      <c r="G262">
        <v>160</v>
      </c>
      <c r="H262">
        <v>173.5</v>
      </c>
      <c r="I262">
        <v>158.30000000000001</v>
      </c>
      <c r="J262">
        <v>219.5</v>
      </c>
      <c r="K262">
        <v>164.2</v>
      </c>
      <c r="L262">
        <v>121.9</v>
      </c>
      <c r="M262">
        <v>168.2</v>
      </c>
      <c r="N262">
        <v>156.5</v>
      </c>
      <c r="O262">
        <v>178.2</v>
      </c>
      <c r="P262">
        <v>172.2</v>
      </c>
      <c r="Q262">
        <v>163.4</v>
      </c>
      <c r="R262">
        <v>161.69999999999999</v>
      </c>
      <c r="S262">
        <v>156</v>
      </c>
      <c r="T262">
        <v>165.1</v>
      </c>
      <c r="U262">
        <v>151.80000000000001</v>
      </c>
      <c r="V262">
        <v>157.6</v>
      </c>
      <c r="W262">
        <v>160.6</v>
      </c>
      <c r="X262">
        <v>162.4</v>
      </c>
      <c r="Y262">
        <v>157.80000000000001</v>
      </c>
      <c r="Z262">
        <v>165.2</v>
      </c>
      <c r="AA262" s="1">
        <f>SUM(Table14[[#This Row],[Cereals and products]:[Food and beverages]])/13</f>
        <v>169.71538461538464</v>
      </c>
      <c r="AB262" s="1">
        <f>SUM(Table14[[#This Row],[Fuel and light]])</f>
        <v>161.69999999999999</v>
      </c>
      <c r="AC262" s="1">
        <f>SUM(Table14[[#This Row],[Transport and communication]])</f>
        <v>151.80000000000001</v>
      </c>
      <c r="AD262" s="1">
        <f>SUM(Table14[[#This Row],[Housing]],Table14[[#This Row],[Household goods and services]])/2</f>
        <v>159.69999999999999</v>
      </c>
      <c r="AE262" s="1">
        <f>SUM(Table14[[#This Row],[Health]])</f>
        <v>165.1</v>
      </c>
      <c r="AF262" s="1">
        <f>SUM(Table14[[#This Row],[Recreation and amusement]],Table14[[#This Row],[Education]])/2</f>
        <v>159.1</v>
      </c>
      <c r="AG262" s="1">
        <f>SUM(Table14[[#This Row],[Miscellaneous]],Table14[[#This Row],[Personal care and effects]])/2</f>
        <v>160.10000000000002</v>
      </c>
    </row>
    <row r="263" spans="1:33" hidden="1" x14ac:dyDescent="0.3">
      <c r="A263" t="s">
        <v>33</v>
      </c>
      <c r="B263">
        <v>2021</v>
      </c>
      <c r="C263" t="s">
        <v>39</v>
      </c>
      <c r="D263">
        <v>142.80000000000001</v>
      </c>
      <c r="E263">
        <v>184</v>
      </c>
      <c r="F263">
        <v>168</v>
      </c>
      <c r="G263">
        <v>154.4</v>
      </c>
      <c r="H263">
        <v>163</v>
      </c>
      <c r="I263">
        <v>147.80000000000001</v>
      </c>
      <c r="J263">
        <v>149.69999999999999</v>
      </c>
      <c r="K263">
        <v>158.30000000000001</v>
      </c>
      <c r="L263">
        <v>111.8</v>
      </c>
      <c r="M263">
        <v>165</v>
      </c>
      <c r="N263">
        <v>160</v>
      </c>
      <c r="O263">
        <v>165.8</v>
      </c>
      <c r="P263">
        <v>154.69999999999999</v>
      </c>
      <c r="Q263">
        <f>AVERAGE(Q264:Q265)</f>
        <v>159.80000000000001</v>
      </c>
      <c r="R263">
        <v>154.4</v>
      </c>
      <c r="S263">
        <v>154.80000000000001</v>
      </c>
      <c r="T263">
        <v>164.3</v>
      </c>
      <c r="U263">
        <v>150.19999999999999</v>
      </c>
      <c r="V263">
        <v>157</v>
      </c>
      <c r="W263">
        <v>163.6</v>
      </c>
      <c r="X263">
        <v>155.19999999999999</v>
      </c>
      <c r="Y263">
        <v>157.19999999999999</v>
      </c>
      <c r="Z263">
        <v>156.69999999999999</v>
      </c>
      <c r="AA263" s="1">
        <f>SUM(Table14[[#This Row],[Cereals and products]:[Food and beverages]])/13</f>
        <v>155.7923076923077</v>
      </c>
      <c r="AB263" s="1">
        <f>SUM(Table14[[#This Row],[Fuel and light]])</f>
        <v>154.4</v>
      </c>
      <c r="AC263" s="1">
        <f>SUM(Table14[[#This Row],[Transport and communication]])</f>
        <v>150.19999999999999</v>
      </c>
      <c r="AD263" s="1">
        <f>SUM(Table14[[#This Row],[Housing]],Table14[[#This Row],[Household goods and services]])/2</f>
        <v>157.30000000000001</v>
      </c>
      <c r="AE263" s="1">
        <f>SUM(Table14[[#This Row],[Health]])</f>
        <v>164.3</v>
      </c>
      <c r="AF263" s="1">
        <f>SUM(Table14[[#This Row],[Recreation and amusement]],Table14[[#This Row],[Education]])/2</f>
        <v>160.30000000000001</v>
      </c>
      <c r="AG263" s="1">
        <f>SUM(Table14[[#This Row],[Miscellaneous]],Table14[[#This Row],[Personal care and effects]])/2</f>
        <v>156.19999999999999</v>
      </c>
    </row>
    <row r="264" spans="1:33" hidden="1" x14ac:dyDescent="0.3">
      <c r="A264" t="s">
        <v>35</v>
      </c>
      <c r="B264">
        <v>2021</v>
      </c>
      <c r="C264" t="s">
        <v>39</v>
      </c>
      <c r="D264">
        <v>144.30000000000001</v>
      </c>
      <c r="E264">
        <v>186.5</v>
      </c>
      <c r="F264">
        <v>168.7</v>
      </c>
      <c r="G264">
        <v>154.69999999999999</v>
      </c>
      <c r="H264">
        <v>158.69999999999999</v>
      </c>
      <c r="I264">
        <v>150.69999999999999</v>
      </c>
      <c r="J264">
        <v>160</v>
      </c>
      <c r="K264">
        <v>158.80000000000001</v>
      </c>
      <c r="L264">
        <v>112.8</v>
      </c>
      <c r="M264">
        <v>164.2</v>
      </c>
      <c r="N264">
        <v>155.5</v>
      </c>
      <c r="O264">
        <v>167.5</v>
      </c>
      <c r="P264">
        <v>156.9</v>
      </c>
      <c r="Q264">
        <v>159.80000000000001</v>
      </c>
      <c r="R264">
        <v>152.4</v>
      </c>
      <c r="S264">
        <v>150.9</v>
      </c>
      <c r="T264">
        <v>161.30000000000001</v>
      </c>
      <c r="U264">
        <v>145.1</v>
      </c>
      <c r="V264">
        <v>151.5</v>
      </c>
      <c r="W264">
        <v>159.5</v>
      </c>
      <c r="X264">
        <v>155.80000000000001</v>
      </c>
      <c r="Y264">
        <v>153.4</v>
      </c>
      <c r="Z264">
        <v>156.6</v>
      </c>
      <c r="AA264" s="1">
        <f>SUM(Table14[[#This Row],[Cereals and products]:[Food and beverages]])/13</f>
        <v>156.8692307692308</v>
      </c>
      <c r="AB264" s="1">
        <f>SUM(Table14[[#This Row],[Fuel and light]])</f>
        <v>152.4</v>
      </c>
      <c r="AC264" s="1">
        <f>SUM(Table14[[#This Row],[Transport and communication]])</f>
        <v>145.1</v>
      </c>
      <c r="AD264" s="1">
        <f>SUM(Table14[[#This Row],[Housing]],Table14[[#This Row],[Household goods and services]])/2</f>
        <v>155.35000000000002</v>
      </c>
      <c r="AE264" s="1">
        <f>SUM(Table14[[#This Row],[Health]])</f>
        <v>161.30000000000001</v>
      </c>
      <c r="AF264" s="1">
        <f>SUM(Table14[[#This Row],[Recreation and amusement]],Table14[[#This Row],[Education]])/2</f>
        <v>155.5</v>
      </c>
      <c r="AG264" s="1">
        <f>SUM(Table14[[#This Row],[Miscellaneous]],Table14[[#This Row],[Personal care and effects]])/2</f>
        <v>154.60000000000002</v>
      </c>
    </row>
    <row r="265" spans="1:33" hidden="1" x14ac:dyDescent="0.3">
      <c r="A265" t="s">
        <v>36</v>
      </c>
      <c r="B265">
        <v>2021</v>
      </c>
      <c r="C265" t="s">
        <v>39</v>
      </c>
      <c r="D265">
        <v>147.6</v>
      </c>
      <c r="E265">
        <v>191.2</v>
      </c>
      <c r="F265">
        <v>169.9</v>
      </c>
      <c r="G265">
        <v>155.1</v>
      </c>
      <c r="H265">
        <v>151.4</v>
      </c>
      <c r="I265">
        <v>154</v>
      </c>
      <c r="J265">
        <v>180.2</v>
      </c>
      <c r="K265">
        <v>159.80000000000001</v>
      </c>
      <c r="L265">
        <v>114.9</v>
      </c>
      <c r="M265">
        <v>162.5</v>
      </c>
      <c r="N265">
        <v>149.19999999999999</v>
      </c>
      <c r="O265">
        <v>169.4</v>
      </c>
      <c r="P265">
        <v>160.80000000000001</v>
      </c>
      <c r="Q265">
        <v>159.80000000000001</v>
      </c>
      <c r="R265">
        <v>149.1</v>
      </c>
      <c r="S265">
        <v>146.5</v>
      </c>
      <c r="T265">
        <v>156.30000000000001</v>
      </c>
      <c r="U265">
        <v>140.5</v>
      </c>
      <c r="V265">
        <v>147.30000000000001</v>
      </c>
      <c r="W265">
        <v>156.6</v>
      </c>
      <c r="X265">
        <v>156.69999999999999</v>
      </c>
      <c r="Y265">
        <v>149.30000000000001</v>
      </c>
      <c r="Z265">
        <v>156.5</v>
      </c>
      <c r="AA265" s="1">
        <f>SUM(Table14[[#This Row],[Cereals and products]:[Food and beverages]])/13</f>
        <v>158.92307692307693</v>
      </c>
      <c r="AB265" s="1">
        <f>SUM(Table14[[#This Row],[Fuel and light]])</f>
        <v>149.1</v>
      </c>
      <c r="AC265" s="1">
        <f>SUM(Table14[[#This Row],[Transport and communication]])</f>
        <v>140.5</v>
      </c>
      <c r="AD265" s="1">
        <f>SUM(Table14[[#This Row],[Housing]],Table14[[#This Row],[Household goods and services]])/2</f>
        <v>153.15</v>
      </c>
      <c r="AE265" s="1">
        <f>SUM(Table14[[#This Row],[Health]])</f>
        <v>156.30000000000001</v>
      </c>
      <c r="AF265" s="1">
        <f>SUM(Table14[[#This Row],[Recreation and amusement]],Table14[[#This Row],[Education]])/2</f>
        <v>151.94999999999999</v>
      </c>
      <c r="AG265" s="1">
        <f>SUM(Table14[[#This Row],[Miscellaneous]],Table14[[#This Row],[Personal care and effects]])/2</f>
        <v>153</v>
      </c>
    </row>
    <row r="266" spans="1:33" hidden="1" x14ac:dyDescent="0.3">
      <c r="A266" t="s">
        <v>36</v>
      </c>
      <c r="B266">
        <v>2018</v>
      </c>
      <c r="C266" t="s">
        <v>39</v>
      </c>
      <c r="D266">
        <v>134.80000000000001</v>
      </c>
      <c r="E266">
        <v>143</v>
      </c>
      <c r="F266">
        <v>139.9</v>
      </c>
      <c r="G266">
        <v>139.9</v>
      </c>
      <c r="H266">
        <v>116.2</v>
      </c>
      <c r="I266">
        <v>135.5</v>
      </c>
      <c r="J266">
        <v>136.9</v>
      </c>
      <c r="K266">
        <v>117</v>
      </c>
      <c r="L266">
        <v>115.4</v>
      </c>
      <c r="M266">
        <v>140.69999999999999</v>
      </c>
      <c r="N266">
        <v>125.9</v>
      </c>
      <c r="O266">
        <v>147.1</v>
      </c>
      <c r="P266">
        <v>135.6</v>
      </c>
      <c r="Q266">
        <v>141.30000000000001</v>
      </c>
      <c r="R266">
        <v>127.3</v>
      </c>
      <c r="S266">
        <v>129.9</v>
      </c>
      <c r="T266">
        <v>129.80000000000001</v>
      </c>
      <c r="U266">
        <v>117.4</v>
      </c>
      <c r="V266">
        <v>126.5</v>
      </c>
      <c r="W266">
        <v>137.19999999999999</v>
      </c>
      <c r="X266">
        <v>126.2</v>
      </c>
      <c r="Y266">
        <v>126.5</v>
      </c>
      <c r="Z266">
        <v>134</v>
      </c>
      <c r="AA266" s="1">
        <f>SUM(Table14[[#This Row],[Cereals and products]:[Food and beverages]])/13</f>
        <v>132.91538461538462</v>
      </c>
      <c r="AB266" s="1">
        <f>SUM(Table14[[#This Row],[Fuel and light]])</f>
        <v>127.3</v>
      </c>
      <c r="AC266" s="1">
        <f>SUM(Table14[[#This Row],[Transport and communication]])</f>
        <v>117.4</v>
      </c>
      <c r="AD266" s="1">
        <f>SUM(Table14[[#This Row],[Housing]],Table14[[#This Row],[Household goods and services]])/2</f>
        <v>135.60000000000002</v>
      </c>
      <c r="AE266" s="1">
        <f>SUM(Table14[[#This Row],[Health]])</f>
        <v>129.80000000000001</v>
      </c>
      <c r="AF266" s="1">
        <f>SUM(Table14[[#This Row],[Recreation and amusement]],Table14[[#This Row],[Education]])/2</f>
        <v>131.85</v>
      </c>
      <c r="AG266" s="1">
        <f>SUM(Table14[[#This Row],[Miscellaneous]],Table14[[#This Row],[Personal care and effects]])/2</f>
        <v>126.35</v>
      </c>
    </row>
    <row r="267" spans="1:33" hidden="1" x14ac:dyDescent="0.3">
      <c r="A267" t="s">
        <v>35</v>
      </c>
      <c r="B267">
        <v>2018</v>
      </c>
      <c r="C267" t="s">
        <v>39</v>
      </c>
      <c r="D267">
        <v>135.9</v>
      </c>
      <c r="E267">
        <v>143.5</v>
      </c>
      <c r="F267">
        <v>140.30000000000001</v>
      </c>
      <c r="G267">
        <v>140.9</v>
      </c>
      <c r="H267">
        <v>120.4</v>
      </c>
      <c r="I267">
        <v>142.9</v>
      </c>
      <c r="J267">
        <v>140.5</v>
      </c>
      <c r="K267">
        <v>125.8</v>
      </c>
      <c r="L267">
        <v>117.1</v>
      </c>
      <c r="M267">
        <v>137.30000000000001</v>
      </c>
      <c r="N267">
        <v>128.6</v>
      </c>
      <c r="O267">
        <v>149.6</v>
      </c>
      <c r="P267">
        <v>137.6</v>
      </c>
      <c r="Q267">
        <v>141.30000000000001</v>
      </c>
      <c r="R267">
        <v>136.69999999999999</v>
      </c>
      <c r="S267">
        <v>135.19999999999999</v>
      </c>
      <c r="T267">
        <v>133.80000000000001</v>
      </c>
      <c r="U267">
        <v>120.2</v>
      </c>
      <c r="V267">
        <v>129.9</v>
      </c>
      <c r="W267">
        <v>139</v>
      </c>
      <c r="X267">
        <v>127.7</v>
      </c>
      <c r="Y267">
        <v>129.6</v>
      </c>
      <c r="Z267">
        <v>136.4</v>
      </c>
      <c r="AA267" s="1">
        <f>SUM(Table14[[#This Row],[Cereals and products]:[Food and beverages]])/13</f>
        <v>135.4153846153846</v>
      </c>
      <c r="AB267" s="1">
        <f>SUM(Table14[[#This Row],[Fuel and light]])</f>
        <v>136.69999999999999</v>
      </c>
      <c r="AC267" s="1">
        <f>SUM(Table14[[#This Row],[Transport and communication]])</f>
        <v>120.2</v>
      </c>
      <c r="AD267" s="1">
        <f>SUM(Table14[[#This Row],[Housing]],Table14[[#This Row],[Household goods and services]])/2</f>
        <v>138.25</v>
      </c>
      <c r="AE267" s="1">
        <f>SUM(Table14[[#This Row],[Health]])</f>
        <v>133.80000000000001</v>
      </c>
      <c r="AF267" s="1">
        <f>SUM(Table14[[#This Row],[Recreation and amusement]],Table14[[#This Row],[Education]])/2</f>
        <v>134.44999999999999</v>
      </c>
      <c r="AG267" s="1">
        <f>SUM(Table14[[#This Row],[Miscellaneous]],Table14[[#This Row],[Personal care and effects]])/2</f>
        <v>128.65</v>
      </c>
    </row>
    <row r="268" spans="1:33" hidden="1" x14ac:dyDescent="0.3">
      <c r="A268" t="s">
        <v>33</v>
      </c>
      <c r="B268">
        <v>2018</v>
      </c>
      <c r="C268" t="s">
        <v>39</v>
      </c>
      <c r="D268">
        <v>136.4</v>
      </c>
      <c r="E268">
        <v>143.69999999999999</v>
      </c>
      <c r="F268">
        <v>140.6</v>
      </c>
      <c r="G268">
        <v>141.5</v>
      </c>
      <c r="H268">
        <v>122.9</v>
      </c>
      <c r="I268">
        <v>149.4</v>
      </c>
      <c r="J268">
        <v>142.4</v>
      </c>
      <c r="K268">
        <v>130.19999999999999</v>
      </c>
      <c r="L268">
        <v>117.9</v>
      </c>
      <c r="M268">
        <v>135.6</v>
      </c>
      <c r="N268">
        <v>130.5</v>
      </c>
      <c r="O268">
        <v>151.69999999999999</v>
      </c>
      <c r="P268">
        <v>138.69999999999999</v>
      </c>
      <c r="Q268">
        <f>AVERAGE(Q266:Q267)</f>
        <v>141.30000000000001</v>
      </c>
      <c r="R268">
        <v>142.4</v>
      </c>
      <c r="S268">
        <v>139.9</v>
      </c>
      <c r="T268">
        <v>136.19999999999999</v>
      </c>
      <c r="U268">
        <v>123.3</v>
      </c>
      <c r="V268">
        <v>134.30000000000001</v>
      </c>
      <c r="W268">
        <v>141.5</v>
      </c>
      <c r="X268">
        <v>128.80000000000001</v>
      </c>
      <c r="Y268">
        <v>132.5</v>
      </c>
      <c r="Z268">
        <v>138.5</v>
      </c>
      <c r="AA268" s="1">
        <f>SUM(Table14[[#This Row],[Cereals and products]:[Food and beverages]])/13</f>
        <v>137.03846153846155</v>
      </c>
      <c r="AB268" s="1">
        <f>SUM(Table14[[#This Row],[Fuel and light]])</f>
        <v>142.4</v>
      </c>
      <c r="AC268" s="1">
        <f>SUM(Table14[[#This Row],[Transport and communication]])</f>
        <v>123.3</v>
      </c>
      <c r="AD268" s="1">
        <f>SUM(Table14[[#This Row],[Housing]],Table14[[#This Row],[Household goods and services]])/2</f>
        <v>140.60000000000002</v>
      </c>
      <c r="AE268" s="1">
        <f>SUM(Table14[[#This Row],[Health]])</f>
        <v>136.19999999999999</v>
      </c>
      <c r="AF268" s="1">
        <f>SUM(Table14[[#This Row],[Recreation and amusement]],Table14[[#This Row],[Education]])/2</f>
        <v>137.9</v>
      </c>
      <c r="AG268" s="1">
        <f>SUM(Table14[[#This Row],[Miscellaneous]],Table14[[#This Row],[Personal care and effects]])/2</f>
        <v>130.65</v>
      </c>
    </row>
    <row r="269" spans="1:33" hidden="1" x14ac:dyDescent="0.3">
      <c r="A269" t="s">
        <v>36</v>
      </c>
      <c r="B269">
        <v>2017</v>
      </c>
      <c r="C269" t="s">
        <v>39</v>
      </c>
      <c r="D269">
        <v>132.80000000000001</v>
      </c>
      <c r="E269">
        <v>139.80000000000001</v>
      </c>
      <c r="F269">
        <v>129.30000000000001</v>
      </c>
      <c r="G269">
        <v>133.5</v>
      </c>
      <c r="H269">
        <v>114.3</v>
      </c>
      <c r="I269">
        <v>131.4</v>
      </c>
      <c r="J269">
        <v>120.2</v>
      </c>
      <c r="K269">
        <v>143.1</v>
      </c>
      <c r="L269">
        <v>119.5</v>
      </c>
      <c r="M269">
        <v>144</v>
      </c>
      <c r="N269">
        <v>123.4</v>
      </c>
      <c r="O269">
        <v>141.9</v>
      </c>
      <c r="P269">
        <v>132.1</v>
      </c>
      <c r="Q269">
        <v>130.5</v>
      </c>
      <c r="R269">
        <v>119.2</v>
      </c>
      <c r="S269">
        <v>125.3</v>
      </c>
      <c r="T269">
        <v>122.9</v>
      </c>
      <c r="U269">
        <v>115.5</v>
      </c>
      <c r="V269">
        <v>122.2</v>
      </c>
      <c r="W269">
        <v>132.4</v>
      </c>
      <c r="X269">
        <v>121.7</v>
      </c>
      <c r="Y269">
        <v>122.4</v>
      </c>
      <c r="Z269">
        <v>128.19999999999999</v>
      </c>
      <c r="AA269" s="1">
        <f>SUM(Table14[[#This Row],[Cereals and products]:[Food and beverages]])/13</f>
        <v>131.17692307692309</v>
      </c>
      <c r="AB269" s="1">
        <f>SUM(Table14[[#This Row],[Fuel and light]])</f>
        <v>119.2</v>
      </c>
      <c r="AC269" s="1">
        <f>SUM(Table14[[#This Row],[Transport and communication]])</f>
        <v>115.5</v>
      </c>
      <c r="AD269" s="1">
        <f>SUM(Table14[[#This Row],[Housing]],Table14[[#This Row],[Household goods and services]])/2</f>
        <v>127.9</v>
      </c>
      <c r="AE269" s="1">
        <f>SUM(Table14[[#This Row],[Health]])</f>
        <v>122.9</v>
      </c>
      <c r="AF269" s="1">
        <f>SUM(Table14[[#This Row],[Recreation and amusement]],Table14[[#This Row],[Education]])/2</f>
        <v>127.30000000000001</v>
      </c>
      <c r="AG269" s="1">
        <f>SUM(Table14[[#This Row],[Miscellaneous]],Table14[[#This Row],[Personal care and effects]])/2</f>
        <v>122.05000000000001</v>
      </c>
    </row>
    <row r="270" spans="1:33" hidden="1" x14ac:dyDescent="0.3">
      <c r="A270" t="s">
        <v>35</v>
      </c>
      <c r="B270">
        <v>2017</v>
      </c>
      <c r="C270" t="s">
        <v>39</v>
      </c>
      <c r="D270">
        <v>133.1</v>
      </c>
      <c r="E270">
        <v>138.80000000000001</v>
      </c>
      <c r="F270">
        <v>129.30000000000001</v>
      </c>
      <c r="G270">
        <v>135.80000000000001</v>
      </c>
      <c r="H270">
        <v>119.2</v>
      </c>
      <c r="I270">
        <v>135.30000000000001</v>
      </c>
      <c r="J270">
        <v>119.5</v>
      </c>
      <c r="K270">
        <v>152.19999999999999</v>
      </c>
      <c r="L270">
        <v>117.3</v>
      </c>
      <c r="M270">
        <v>138.69999999999999</v>
      </c>
      <c r="N270">
        <v>126.9</v>
      </c>
      <c r="O270">
        <v>143.19999999999999</v>
      </c>
      <c r="P270">
        <v>133</v>
      </c>
      <c r="Q270">
        <v>130.5</v>
      </c>
      <c r="R270">
        <v>127.9</v>
      </c>
      <c r="S270">
        <v>129.69999999999999</v>
      </c>
      <c r="T270">
        <v>127.4</v>
      </c>
      <c r="U270">
        <v>117.4</v>
      </c>
      <c r="V270">
        <v>124.6</v>
      </c>
      <c r="W270">
        <v>133.4</v>
      </c>
      <c r="X270">
        <v>122.6</v>
      </c>
      <c r="Y270">
        <v>124.8</v>
      </c>
      <c r="Z270">
        <v>130.6</v>
      </c>
      <c r="AA270" s="1">
        <f>SUM(Table14[[#This Row],[Cereals and products]:[Food and beverages]])/13</f>
        <v>132.48461538461541</v>
      </c>
      <c r="AB270" s="1">
        <f>SUM(Table14[[#This Row],[Fuel and light]])</f>
        <v>127.9</v>
      </c>
      <c r="AC270" s="1">
        <f>SUM(Table14[[#This Row],[Transport and communication]])</f>
        <v>117.4</v>
      </c>
      <c r="AD270" s="1">
        <f>SUM(Table14[[#This Row],[Housing]],Table14[[#This Row],[Household goods and services]])/2</f>
        <v>130.1</v>
      </c>
      <c r="AE270" s="1">
        <f>SUM(Table14[[#This Row],[Health]])</f>
        <v>127.4</v>
      </c>
      <c r="AF270" s="1">
        <f>SUM(Table14[[#This Row],[Recreation and amusement]],Table14[[#This Row],[Education]])/2</f>
        <v>129</v>
      </c>
      <c r="AG270" s="1">
        <f>SUM(Table14[[#This Row],[Miscellaneous]],Table14[[#This Row],[Personal care and effects]])/2</f>
        <v>123.69999999999999</v>
      </c>
    </row>
    <row r="271" spans="1:33" hidden="1" x14ac:dyDescent="0.3">
      <c r="A271" t="s">
        <v>33</v>
      </c>
      <c r="B271">
        <v>2017</v>
      </c>
      <c r="C271" t="s">
        <v>39</v>
      </c>
      <c r="D271">
        <v>133.30000000000001</v>
      </c>
      <c r="E271">
        <v>138.30000000000001</v>
      </c>
      <c r="F271">
        <v>129.30000000000001</v>
      </c>
      <c r="G271">
        <v>137.19999999999999</v>
      </c>
      <c r="H271">
        <v>122.1</v>
      </c>
      <c r="I271">
        <v>138.69999999999999</v>
      </c>
      <c r="J271">
        <v>119.1</v>
      </c>
      <c r="K271">
        <v>156.9</v>
      </c>
      <c r="L271">
        <v>116.2</v>
      </c>
      <c r="M271">
        <v>136</v>
      </c>
      <c r="N271">
        <v>129.4</v>
      </c>
      <c r="O271">
        <v>144.4</v>
      </c>
      <c r="P271">
        <v>133.6</v>
      </c>
      <c r="Q271">
        <f>AVERAGE(Q269:Q270)</f>
        <v>130.5</v>
      </c>
      <c r="R271">
        <v>133.19999999999999</v>
      </c>
      <c r="S271">
        <v>133.6</v>
      </c>
      <c r="T271">
        <v>130.1</v>
      </c>
      <c r="U271">
        <v>119.5</v>
      </c>
      <c r="V271">
        <v>127.7</v>
      </c>
      <c r="W271">
        <v>134.9</v>
      </c>
      <c r="X271">
        <v>123.2</v>
      </c>
      <c r="Y271">
        <v>127</v>
      </c>
      <c r="Z271">
        <v>132.6</v>
      </c>
      <c r="AA271" s="1">
        <f>SUM(Table14[[#This Row],[Cereals and products]:[Food and beverages]])/13</f>
        <v>133.42307692307693</v>
      </c>
      <c r="AB271" s="1">
        <f>SUM(Table14[[#This Row],[Fuel and light]])</f>
        <v>133.19999999999999</v>
      </c>
      <c r="AC271" s="1">
        <f>SUM(Table14[[#This Row],[Transport and communication]])</f>
        <v>119.5</v>
      </c>
      <c r="AD271" s="1">
        <f>SUM(Table14[[#This Row],[Housing]],Table14[[#This Row],[Household goods and services]])/2</f>
        <v>132.05000000000001</v>
      </c>
      <c r="AE271" s="1">
        <f>SUM(Table14[[#This Row],[Health]])</f>
        <v>130.1</v>
      </c>
      <c r="AF271" s="1">
        <f>SUM(Table14[[#This Row],[Recreation and amusement]],Table14[[#This Row],[Education]])/2</f>
        <v>131.30000000000001</v>
      </c>
      <c r="AG271" s="1">
        <f>SUM(Table14[[#This Row],[Miscellaneous]],Table14[[#This Row],[Personal care and effects]])/2</f>
        <v>125.1</v>
      </c>
    </row>
    <row r="272" spans="1:33" hidden="1" x14ac:dyDescent="0.3">
      <c r="A272" t="s">
        <v>36</v>
      </c>
      <c r="B272">
        <v>2016</v>
      </c>
      <c r="C272" t="s">
        <v>39</v>
      </c>
      <c r="D272">
        <v>124.8</v>
      </c>
      <c r="E272">
        <v>135.1</v>
      </c>
      <c r="F272">
        <v>130.30000000000001</v>
      </c>
      <c r="G272">
        <v>129.6</v>
      </c>
      <c r="H272">
        <v>108.4</v>
      </c>
      <c r="I272">
        <v>118.6</v>
      </c>
      <c r="J272">
        <v>129.19999999999999</v>
      </c>
      <c r="K272">
        <v>176.4</v>
      </c>
      <c r="L272">
        <v>99.1</v>
      </c>
      <c r="M272">
        <v>139.69999999999999</v>
      </c>
      <c r="N272">
        <v>120.6</v>
      </c>
      <c r="O272">
        <v>135.19999999999999</v>
      </c>
      <c r="P272">
        <v>129.1</v>
      </c>
      <c r="Q272">
        <v>124.4</v>
      </c>
      <c r="R272">
        <v>116</v>
      </c>
      <c r="S272">
        <v>121.8</v>
      </c>
      <c r="T272">
        <v>119.5</v>
      </c>
      <c r="U272">
        <v>109.1</v>
      </c>
      <c r="V272">
        <v>118.8</v>
      </c>
      <c r="W272">
        <v>126.3</v>
      </c>
      <c r="X272">
        <v>116.2</v>
      </c>
      <c r="Y272">
        <v>117.2</v>
      </c>
      <c r="Z272">
        <v>123.8</v>
      </c>
      <c r="AA272" s="1">
        <f>SUM(Table14[[#This Row],[Cereals and products]:[Food and beverages]])/13</f>
        <v>128.93076923076922</v>
      </c>
      <c r="AB272" s="1">
        <f>SUM(Table14[[#This Row],[Fuel and light]])</f>
        <v>116</v>
      </c>
      <c r="AC272" s="1">
        <f>SUM(Table14[[#This Row],[Transport and communication]])</f>
        <v>109.1</v>
      </c>
      <c r="AD272" s="1">
        <f>SUM(Table14[[#This Row],[Housing]],Table14[[#This Row],[Household goods and services]])/2</f>
        <v>123.1</v>
      </c>
      <c r="AE272" s="1">
        <f>SUM(Table14[[#This Row],[Health]])</f>
        <v>119.5</v>
      </c>
      <c r="AF272" s="1">
        <f>SUM(Table14[[#This Row],[Recreation and amusement]],Table14[[#This Row],[Education]])/2</f>
        <v>122.55</v>
      </c>
      <c r="AG272" s="1">
        <f>SUM(Table14[[#This Row],[Miscellaneous]],Table14[[#This Row],[Personal care and effects]])/2</f>
        <v>116.7</v>
      </c>
    </row>
    <row r="273" spans="1:33" hidden="1" x14ac:dyDescent="0.3">
      <c r="A273" t="s">
        <v>35</v>
      </c>
      <c r="B273">
        <v>2016</v>
      </c>
      <c r="C273" t="s">
        <v>39</v>
      </c>
      <c r="D273">
        <v>126.4</v>
      </c>
      <c r="E273">
        <v>134.19999999999999</v>
      </c>
      <c r="F273">
        <v>128.69999999999999</v>
      </c>
      <c r="G273">
        <v>130.30000000000001</v>
      </c>
      <c r="H273">
        <v>114.8</v>
      </c>
      <c r="I273">
        <v>124.9</v>
      </c>
      <c r="J273">
        <v>130.30000000000001</v>
      </c>
      <c r="K273">
        <v>167.4</v>
      </c>
      <c r="L273">
        <v>98.8</v>
      </c>
      <c r="M273">
        <v>133.6</v>
      </c>
      <c r="N273">
        <v>123</v>
      </c>
      <c r="O273">
        <v>135.80000000000001</v>
      </c>
      <c r="P273">
        <v>129.9</v>
      </c>
      <c r="Q273">
        <v>124.4</v>
      </c>
      <c r="R273">
        <v>123.1</v>
      </c>
      <c r="S273">
        <v>124.6</v>
      </c>
      <c r="T273">
        <v>122.5</v>
      </c>
      <c r="U273">
        <v>111.4</v>
      </c>
      <c r="V273">
        <v>120.3</v>
      </c>
      <c r="W273">
        <v>126.6</v>
      </c>
      <c r="X273">
        <v>116.6</v>
      </c>
      <c r="Y273">
        <v>119.1</v>
      </c>
      <c r="Z273">
        <v>126</v>
      </c>
      <c r="AA273" s="1">
        <f>SUM(Table14[[#This Row],[Cereals and products]:[Food and beverages]])/13</f>
        <v>129.08461538461538</v>
      </c>
      <c r="AB273" s="1">
        <f>SUM(Table14[[#This Row],[Fuel and light]])</f>
        <v>123.1</v>
      </c>
      <c r="AC273" s="1">
        <f>SUM(Table14[[#This Row],[Transport and communication]])</f>
        <v>111.4</v>
      </c>
      <c r="AD273" s="1">
        <f>SUM(Table14[[#This Row],[Housing]],Table14[[#This Row],[Household goods and services]])/2</f>
        <v>124.5</v>
      </c>
      <c r="AE273" s="1">
        <f>SUM(Table14[[#This Row],[Health]])</f>
        <v>122.5</v>
      </c>
      <c r="AF273" s="1">
        <f>SUM(Table14[[#This Row],[Recreation and amusement]],Table14[[#This Row],[Education]])/2</f>
        <v>123.44999999999999</v>
      </c>
      <c r="AG273" s="1">
        <f>SUM(Table14[[#This Row],[Miscellaneous]],Table14[[#This Row],[Personal care and effects]])/2</f>
        <v>117.85</v>
      </c>
    </row>
    <row r="274" spans="1:33" hidden="1" x14ac:dyDescent="0.3">
      <c r="A274" t="s">
        <v>33</v>
      </c>
      <c r="B274">
        <v>2016</v>
      </c>
      <c r="C274" t="s">
        <v>39</v>
      </c>
      <c r="D274">
        <v>127.1</v>
      </c>
      <c r="E274">
        <v>133.69999999999999</v>
      </c>
      <c r="F274">
        <v>127.7</v>
      </c>
      <c r="G274">
        <v>130.69999999999999</v>
      </c>
      <c r="H274">
        <v>118.5</v>
      </c>
      <c r="I274">
        <v>130.4</v>
      </c>
      <c r="J274">
        <v>130.9</v>
      </c>
      <c r="K274">
        <v>162.80000000000001</v>
      </c>
      <c r="L274">
        <v>98.7</v>
      </c>
      <c r="M274">
        <v>130.6</v>
      </c>
      <c r="N274">
        <v>124.8</v>
      </c>
      <c r="O274">
        <v>136.4</v>
      </c>
      <c r="P274">
        <v>130.30000000000001</v>
      </c>
      <c r="Q274">
        <f>AVERAGE(Q272:Q273)</f>
        <v>124.4</v>
      </c>
      <c r="R274">
        <v>127.5</v>
      </c>
      <c r="S274">
        <v>127.1</v>
      </c>
      <c r="T274">
        <v>124.3</v>
      </c>
      <c r="U274">
        <v>113.9</v>
      </c>
      <c r="V274">
        <v>122.3</v>
      </c>
      <c r="W274">
        <v>127.1</v>
      </c>
      <c r="X274">
        <v>116.8</v>
      </c>
      <c r="Y274">
        <v>120.9</v>
      </c>
      <c r="Z274">
        <v>127.9</v>
      </c>
      <c r="AA274" s="1">
        <f>SUM(Table14[[#This Row],[Cereals and products]:[Food and beverages]])/13</f>
        <v>129.43076923076922</v>
      </c>
      <c r="AB274" s="1">
        <f>SUM(Table14[[#This Row],[Fuel and light]])</f>
        <v>127.5</v>
      </c>
      <c r="AC274" s="1">
        <f>SUM(Table14[[#This Row],[Transport and communication]])</f>
        <v>113.9</v>
      </c>
      <c r="AD274" s="1">
        <f>SUM(Table14[[#This Row],[Housing]],Table14[[#This Row],[Household goods and services]])/2</f>
        <v>125.75</v>
      </c>
      <c r="AE274" s="1">
        <f>SUM(Table14[[#This Row],[Health]])</f>
        <v>124.3</v>
      </c>
      <c r="AF274" s="1">
        <f>SUM(Table14[[#This Row],[Recreation and amusement]],Table14[[#This Row],[Education]])/2</f>
        <v>124.69999999999999</v>
      </c>
      <c r="AG274" s="1">
        <f>SUM(Table14[[#This Row],[Miscellaneous]],Table14[[#This Row],[Personal care and effects]])/2</f>
        <v>118.85</v>
      </c>
    </row>
    <row r="275" spans="1:33" hidden="1" x14ac:dyDescent="0.3">
      <c r="A275" t="s">
        <v>33</v>
      </c>
      <c r="B275">
        <v>2015</v>
      </c>
      <c r="C275" t="s">
        <v>39</v>
      </c>
      <c r="D275">
        <v>123.4</v>
      </c>
      <c r="E275">
        <v>124.4</v>
      </c>
      <c r="F275">
        <v>122.1</v>
      </c>
      <c r="G275">
        <v>125.8</v>
      </c>
      <c r="H275">
        <v>111.5</v>
      </c>
      <c r="I275">
        <v>129.4</v>
      </c>
      <c r="J275">
        <v>128.19999999999999</v>
      </c>
      <c r="K275">
        <v>118.8</v>
      </c>
      <c r="L275">
        <v>100</v>
      </c>
      <c r="M275">
        <v>118.6</v>
      </c>
      <c r="N275">
        <v>118.8</v>
      </c>
      <c r="O275">
        <v>126.8</v>
      </c>
      <c r="P275">
        <v>122.8</v>
      </c>
      <c r="Q275">
        <f>AVERAGE(Q276:Q277)</f>
        <v>118.1</v>
      </c>
      <c r="R275">
        <v>120</v>
      </c>
      <c r="S275">
        <v>119.6</v>
      </c>
      <c r="T275">
        <v>117.7</v>
      </c>
      <c r="U275">
        <v>110.9</v>
      </c>
      <c r="V275">
        <v>114.8</v>
      </c>
      <c r="W275">
        <v>118.7</v>
      </c>
      <c r="X275">
        <v>110.8</v>
      </c>
      <c r="Y275">
        <v>115</v>
      </c>
      <c r="Z275">
        <v>120.6</v>
      </c>
      <c r="AA275" s="1">
        <f>SUM(Table14[[#This Row],[Cereals and products]:[Food and beverages]])/13</f>
        <v>120.81538461538459</v>
      </c>
      <c r="AB275" s="1">
        <f>SUM(Table14[[#This Row],[Fuel and light]])</f>
        <v>120</v>
      </c>
      <c r="AC275" s="1">
        <f>SUM(Table14[[#This Row],[Transport and communication]])</f>
        <v>110.9</v>
      </c>
      <c r="AD275" s="1">
        <f>SUM(Table14[[#This Row],[Housing]],Table14[[#This Row],[Household goods and services]])/2</f>
        <v>118.85</v>
      </c>
      <c r="AE275" s="1">
        <f>SUM(Table14[[#This Row],[Health]])</f>
        <v>117.7</v>
      </c>
      <c r="AF275" s="1">
        <f>SUM(Table14[[#This Row],[Recreation and amusement]],Table14[[#This Row],[Education]])/2</f>
        <v>116.75</v>
      </c>
      <c r="AG275" s="1">
        <f>SUM(Table14[[#This Row],[Miscellaneous]],Table14[[#This Row],[Personal care and effects]])/2</f>
        <v>112.9</v>
      </c>
    </row>
    <row r="276" spans="1:33" hidden="1" x14ac:dyDescent="0.3">
      <c r="A276" t="s">
        <v>35</v>
      </c>
      <c r="B276">
        <v>2015</v>
      </c>
      <c r="C276" t="s">
        <v>39</v>
      </c>
      <c r="D276">
        <v>123.7</v>
      </c>
      <c r="E276">
        <v>125.1</v>
      </c>
      <c r="F276">
        <v>121.1</v>
      </c>
      <c r="G276">
        <v>125.7</v>
      </c>
      <c r="H276">
        <v>109.1</v>
      </c>
      <c r="I276">
        <v>125.8</v>
      </c>
      <c r="J276">
        <v>129.4</v>
      </c>
      <c r="K276">
        <v>120.9</v>
      </c>
      <c r="L276">
        <v>98.3</v>
      </c>
      <c r="M276">
        <v>121.6</v>
      </c>
      <c r="N276">
        <v>118</v>
      </c>
      <c r="O276">
        <v>127.6</v>
      </c>
      <c r="P276">
        <v>123.1</v>
      </c>
      <c r="Q276">
        <v>118.1</v>
      </c>
      <c r="R276">
        <v>117.7</v>
      </c>
      <c r="S276">
        <v>118.7</v>
      </c>
      <c r="T276">
        <v>116.3</v>
      </c>
      <c r="U276">
        <v>108.7</v>
      </c>
      <c r="V276">
        <v>114.9</v>
      </c>
      <c r="W276">
        <v>119.7</v>
      </c>
      <c r="X276">
        <v>111.2</v>
      </c>
      <c r="Y276">
        <v>114.1</v>
      </c>
      <c r="Z276">
        <v>119.7</v>
      </c>
      <c r="AA276" s="1">
        <f>SUM(Table14[[#This Row],[Cereals and products]:[Food and beverages]])/13</f>
        <v>120.72307692307689</v>
      </c>
      <c r="AB276" s="1">
        <f>SUM(Table14[[#This Row],[Fuel and light]])</f>
        <v>117.7</v>
      </c>
      <c r="AC276" s="1">
        <f>SUM(Table14[[#This Row],[Transport and communication]])</f>
        <v>108.7</v>
      </c>
      <c r="AD276" s="1">
        <f>SUM(Table14[[#This Row],[Housing]],Table14[[#This Row],[Household goods and services]])/2</f>
        <v>118.4</v>
      </c>
      <c r="AE276" s="1">
        <f>SUM(Table14[[#This Row],[Health]])</f>
        <v>116.3</v>
      </c>
      <c r="AF276" s="1">
        <f>SUM(Table14[[#This Row],[Recreation and amusement]],Table14[[#This Row],[Education]])/2</f>
        <v>117.30000000000001</v>
      </c>
      <c r="AG276" s="1">
        <f>SUM(Table14[[#This Row],[Miscellaneous]],Table14[[#This Row],[Personal care and effects]])/2</f>
        <v>112.65</v>
      </c>
    </row>
    <row r="277" spans="1:33" hidden="1" x14ac:dyDescent="0.3">
      <c r="A277" t="s">
        <v>36</v>
      </c>
      <c r="B277">
        <v>2015</v>
      </c>
      <c r="C277" t="s">
        <v>39</v>
      </c>
      <c r="D277">
        <v>124.3</v>
      </c>
      <c r="E277">
        <v>126.5</v>
      </c>
      <c r="F277">
        <v>119.5</v>
      </c>
      <c r="G277">
        <v>125.6</v>
      </c>
      <c r="H277">
        <v>104.9</v>
      </c>
      <c r="I277">
        <v>121.6</v>
      </c>
      <c r="J277">
        <v>131.80000000000001</v>
      </c>
      <c r="K277">
        <v>125.1</v>
      </c>
      <c r="L277">
        <v>95</v>
      </c>
      <c r="M277">
        <v>127.7</v>
      </c>
      <c r="N277">
        <v>116.8</v>
      </c>
      <c r="O277">
        <v>128.6</v>
      </c>
      <c r="P277">
        <v>123.7</v>
      </c>
      <c r="Q277">
        <v>118.1</v>
      </c>
      <c r="R277">
        <v>114</v>
      </c>
      <c r="S277">
        <v>117.7</v>
      </c>
      <c r="T277">
        <v>114.1</v>
      </c>
      <c r="U277">
        <v>106.8</v>
      </c>
      <c r="V277">
        <v>114.9</v>
      </c>
      <c r="W277">
        <v>120.4</v>
      </c>
      <c r="X277">
        <v>111.7</v>
      </c>
      <c r="Y277">
        <v>113.2</v>
      </c>
      <c r="Z277">
        <v>118.7</v>
      </c>
      <c r="AA277" s="1">
        <f>SUM(Table14[[#This Row],[Cereals and products]:[Food and beverages]])/13</f>
        <v>120.85384615384616</v>
      </c>
      <c r="AB277" s="1">
        <f>SUM(Table14[[#This Row],[Fuel and light]])</f>
        <v>114</v>
      </c>
      <c r="AC277" s="1">
        <f>SUM(Table14[[#This Row],[Transport and communication]])</f>
        <v>106.8</v>
      </c>
      <c r="AD277" s="1">
        <f>SUM(Table14[[#This Row],[Housing]],Table14[[#This Row],[Household goods and services]])/2</f>
        <v>117.9</v>
      </c>
      <c r="AE277" s="1">
        <f>SUM(Table14[[#This Row],[Health]])</f>
        <v>114.1</v>
      </c>
      <c r="AF277" s="1">
        <f>SUM(Table14[[#This Row],[Recreation and amusement]],Table14[[#This Row],[Education]])/2</f>
        <v>117.65</v>
      </c>
      <c r="AG277" s="1">
        <f>SUM(Table14[[#This Row],[Miscellaneous]],Table14[[#This Row],[Personal care and effects]])/2</f>
        <v>112.45</v>
      </c>
    </row>
    <row r="278" spans="1:33" hidden="1" x14ac:dyDescent="0.3">
      <c r="A278" t="s">
        <v>33</v>
      </c>
      <c r="B278">
        <v>2014</v>
      </c>
      <c r="C278" t="s">
        <v>39</v>
      </c>
      <c r="D278">
        <v>119.4</v>
      </c>
      <c r="E278">
        <v>117.7</v>
      </c>
      <c r="F278">
        <v>121.2</v>
      </c>
      <c r="G278">
        <v>115</v>
      </c>
      <c r="H278">
        <v>109</v>
      </c>
      <c r="I278">
        <v>116.6</v>
      </c>
      <c r="J278">
        <v>116</v>
      </c>
      <c r="K278">
        <v>109.8</v>
      </c>
      <c r="L278">
        <v>101.1</v>
      </c>
      <c r="M278">
        <v>110.4</v>
      </c>
      <c r="N278">
        <v>112.9</v>
      </c>
      <c r="O278">
        <v>117.8</v>
      </c>
      <c r="P278">
        <v>115.3</v>
      </c>
      <c r="Q278">
        <f>AVERAGE(Q279:Q280)</f>
        <v>112.5</v>
      </c>
      <c r="R278">
        <v>113.2</v>
      </c>
      <c r="S278">
        <v>112.9</v>
      </c>
      <c r="T278">
        <v>110.9</v>
      </c>
      <c r="U278">
        <v>110.8</v>
      </c>
      <c r="V278">
        <v>109.9</v>
      </c>
      <c r="W278">
        <v>112</v>
      </c>
      <c r="X278">
        <v>108.7</v>
      </c>
      <c r="Y278">
        <v>110.9</v>
      </c>
      <c r="Z278">
        <v>114</v>
      </c>
      <c r="AA278" s="1">
        <f>SUM(Table14[[#This Row],[Cereals and products]:[Food and beverages]])/13</f>
        <v>114.01538461538462</v>
      </c>
      <c r="AB278" s="1">
        <f>SUM(Table14[[#This Row],[Fuel and light]])</f>
        <v>113.2</v>
      </c>
      <c r="AC278" s="1">
        <f>SUM(Table14[[#This Row],[Transport and communication]])</f>
        <v>110.8</v>
      </c>
      <c r="AD278" s="1">
        <f>SUM(Table14[[#This Row],[Housing]],Table14[[#This Row],[Household goods and services]])/2</f>
        <v>112.7</v>
      </c>
      <c r="AE278" s="1">
        <f>SUM(Table14[[#This Row],[Health]])</f>
        <v>110.9</v>
      </c>
      <c r="AF278" s="1">
        <f>SUM(Table14[[#This Row],[Recreation and amusement]],Table14[[#This Row],[Education]])/2</f>
        <v>110.95</v>
      </c>
      <c r="AG278" s="1">
        <f>SUM(Table14[[#This Row],[Miscellaneous]],Table14[[#This Row],[Personal care and effects]])/2</f>
        <v>109.80000000000001</v>
      </c>
    </row>
    <row r="279" spans="1:33" hidden="1" x14ac:dyDescent="0.3">
      <c r="A279" t="s">
        <v>35</v>
      </c>
      <c r="B279">
        <v>2014</v>
      </c>
      <c r="C279" t="s">
        <v>39</v>
      </c>
      <c r="D279">
        <v>120.2</v>
      </c>
      <c r="E279">
        <v>119.2</v>
      </c>
      <c r="F279">
        <v>122.5</v>
      </c>
      <c r="G279">
        <v>115.1</v>
      </c>
      <c r="H279">
        <v>106.6</v>
      </c>
      <c r="I279">
        <v>115.4</v>
      </c>
      <c r="J279">
        <v>114.5</v>
      </c>
      <c r="K279">
        <v>109.3</v>
      </c>
      <c r="L279">
        <v>99.2</v>
      </c>
      <c r="M279">
        <v>111.4</v>
      </c>
      <c r="N279">
        <v>112.6</v>
      </c>
      <c r="O279">
        <v>118.8</v>
      </c>
      <c r="P279">
        <v>115.3</v>
      </c>
      <c r="Q279">
        <v>112.5</v>
      </c>
      <c r="R279">
        <v>112.4</v>
      </c>
      <c r="S279">
        <v>112.8</v>
      </c>
      <c r="T279">
        <v>110.7</v>
      </c>
      <c r="U279">
        <v>111.1</v>
      </c>
      <c r="V279">
        <v>110.1</v>
      </c>
      <c r="W279">
        <v>111.8</v>
      </c>
      <c r="X279">
        <v>108.7</v>
      </c>
      <c r="Y279">
        <v>110.9</v>
      </c>
      <c r="Z279">
        <v>113.6</v>
      </c>
      <c r="AA279" s="1">
        <f>SUM(Table14[[#This Row],[Cereals and products]:[Food and beverages]])/13</f>
        <v>113.85384615384615</v>
      </c>
      <c r="AB279" s="1">
        <f>SUM(Table14[[#This Row],[Fuel and light]])</f>
        <v>112.4</v>
      </c>
      <c r="AC279" s="1">
        <f>SUM(Table14[[#This Row],[Transport and communication]])</f>
        <v>111.1</v>
      </c>
      <c r="AD279" s="1">
        <f>SUM(Table14[[#This Row],[Housing]],Table14[[#This Row],[Household goods and services]])/2</f>
        <v>112.65</v>
      </c>
      <c r="AE279" s="1">
        <f>SUM(Table14[[#This Row],[Health]])</f>
        <v>110.7</v>
      </c>
      <c r="AF279" s="1">
        <f>SUM(Table14[[#This Row],[Recreation and amusement]],Table14[[#This Row],[Education]])/2</f>
        <v>110.94999999999999</v>
      </c>
      <c r="AG279" s="1">
        <f>SUM(Table14[[#This Row],[Miscellaneous]],Table14[[#This Row],[Personal care and effects]])/2</f>
        <v>109.80000000000001</v>
      </c>
    </row>
    <row r="280" spans="1:33" hidden="1" x14ac:dyDescent="0.3">
      <c r="A280" t="s">
        <v>36</v>
      </c>
      <c r="B280">
        <v>2014</v>
      </c>
      <c r="C280" t="s">
        <v>39</v>
      </c>
      <c r="D280">
        <v>121.9</v>
      </c>
      <c r="E280">
        <v>122</v>
      </c>
      <c r="F280">
        <v>124.5</v>
      </c>
      <c r="G280">
        <v>115.2</v>
      </c>
      <c r="H280">
        <v>102.5</v>
      </c>
      <c r="I280">
        <v>114.1</v>
      </c>
      <c r="J280">
        <v>111.5</v>
      </c>
      <c r="K280">
        <v>108.2</v>
      </c>
      <c r="L280">
        <v>95.4</v>
      </c>
      <c r="M280">
        <v>113.5</v>
      </c>
      <c r="N280">
        <v>112.1</v>
      </c>
      <c r="O280">
        <v>119.9</v>
      </c>
      <c r="P280">
        <v>115.2</v>
      </c>
      <c r="Q280">
        <v>112.5</v>
      </c>
      <c r="R280">
        <v>111.1</v>
      </c>
      <c r="S280">
        <v>112.6</v>
      </c>
      <c r="T280">
        <v>110.4</v>
      </c>
      <c r="U280">
        <v>111.3</v>
      </c>
      <c r="V280">
        <v>110.3</v>
      </c>
      <c r="W280">
        <v>111.6</v>
      </c>
      <c r="X280">
        <v>108.7</v>
      </c>
      <c r="Y280">
        <v>111</v>
      </c>
      <c r="Z280">
        <v>113.1</v>
      </c>
      <c r="AA280" s="1">
        <f>SUM(Table14[[#This Row],[Cereals and products]:[Food and beverages]])/13</f>
        <v>113.53846153846153</v>
      </c>
      <c r="AB280" s="1">
        <f>SUM(Table14[[#This Row],[Fuel and light]])</f>
        <v>111.1</v>
      </c>
      <c r="AC280" s="1">
        <f>SUM(Table14[[#This Row],[Transport and communication]])</f>
        <v>111.3</v>
      </c>
      <c r="AD280" s="1">
        <f>SUM(Table14[[#This Row],[Housing]],Table14[[#This Row],[Household goods and services]])/2</f>
        <v>112.55</v>
      </c>
      <c r="AE280" s="1">
        <f>SUM(Table14[[#This Row],[Health]])</f>
        <v>110.4</v>
      </c>
      <c r="AF280" s="1">
        <f>SUM(Table14[[#This Row],[Recreation and amusement]],Table14[[#This Row],[Education]])/2</f>
        <v>110.94999999999999</v>
      </c>
      <c r="AG280" s="1">
        <f>SUM(Table14[[#This Row],[Miscellaneous]],Table14[[#This Row],[Personal care and effects]])/2</f>
        <v>109.85</v>
      </c>
    </row>
    <row r="281" spans="1:33" hidden="1" x14ac:dyDescent="0.3">
      <c r="A281" t="s">
        <v>33</v>
      </c>
      <c r="B281">
        <v>2013</v>
      </c>
      <c r="C281" t="s">
        <v>39</v>
      </c>
      <c r="D281">
        <v>109.2</v>
      </c>
      <c r="E281">
        <v>108.7</v>
      </c>
      <c r="F281">
        <v>110.2</v>
      </c>
      <c r="G281">
        <v>105.4</v>
      </c>
      <c r="H281">
        <v>106.7</v>
      </c>
      <c r="I281">
        <v>104</v>
      </c>
      <c r="J281">
        <v>102.4</v>
      </c>
      <c r="K281">
        <v>105.9</v>
      </c>
      <c r="L281">
        <v>105.7</v>
      </c>
      <c r="M281">
        <v>103.1</v>
      </c>
      <c r="N281">
        <v>105.1</v>
      </c>
      <c r="O281">
        <v>107.7</v>
      </c>
      <c r="P281">
        <v>106.3</v>
      </c>
      <c r="Q281">
        <f>AVERAGE(Q282:Q283)</f>
        <v>100.4</v>
      </c>
      <c r="R281">
        <v>106.2</v>
      </c>
      <c r="S281">
        <v>105.2</v>
      </c>
      <c r="T281">
        <v>104.4</v>
      </c>
      <c r="U281">
        <v>103.9</v>
      </c>
      <c r="V281">
        <v>104</v>
      </c>
      <c r="W281">
        <v>104.1</v>
      </c>
      <c r="X281">
        <v>104.6</v>
      </c>
      <c r="Y281">
        <v>104.4</v>
      </c>
      <c r="Z281">
        <v>105.8</v>
      </c>
      <c r="AA281" s="1">
        <f>SUM(Table14[[#This Row],[Cereals and products]:[Food and beverages]])/13</f>
        <v>106.18461538461537</v>
      </c>
      <c r="AB281" s="1">
        <f>SUM(Table14[[#This Row],[Fuel and light]])</f>
        <v>106.2</v>
      </c>
      <c r="AC281" s="1">
        <f>SUM(Table14[[#This Row],[Transport and communication]])</f>
        <v>103.9</v>
      </c>
      <c r="AD281" s="1">
        <f>SUM(Table14[[#This Row],[Housing]],Table14[[#This Row],[Household goods and services]])/2</f>
        <v>102.80000000000001</v>
      </c>
      <c r="AE281" s="1">
        <f>SUM(Table14[[#This Row],[Health]])</f>
        <v>104.4</v>
      </c>
      <c r="AF281" s="1">
        <f>SUM(Table14[[#This Row],[Recreation and amusement]],Table14[[#This Row],[Education]])/2</f>
        <v>104.05</v>
      </c>
      <c r="AG281" s="1">
        <f>SUM(Table14[[#This Row],[Miscellaneous]],Table14[[#This Row],[Personal care and effects]])/2</f>
        <v>104.5</v>
      </c>
    </row>
    <row r="282" spans="1:33" hidden="1" x14ac:dyDescent="0.3">
      <c r="A282" t="s">
        <v>35</v>
      </c>
      <c r="B282">
        <v>2013</v>
      </c>
      <c r="C282" t="s">
        <v>39</v>
      </c>
      <c r="D282">
        <v>110.4</v>
      </c>
      <c r="E282">
        <v>110.2</v>
      </c>
      <c r="F282">
        <v>112.8</v>
      </c>
      <c r="G282">
        <v>104.9</v>
      </c>
      <c r="H282">
        <v>105.5</v>
      </c>
      <c r="I282">
        <v>103.6</v>
      </c>
      <c r="J282">
        <v>103.2</v>
      </c>
      <c r="K282">
        <v>105.3</v>
      </c>
      <c r="L282">
        <v>105.1</v>
      </c>
      <c r="M282">
        <v>102.8</v>
      </c>
      <c r="N282">
        <v>105.5</v>
      </c>
      <c r="O282">
        <v>108.3</v>
      </c>
      <c r="P282">
        <v>106.6</v>
      </c>
      <c r="Q282">
        <v>100.4</v>
      </c>
      <c r="R282">
        <v>106</v>
      </c>
      <c r="S282">
        <v>105.2</v>
      </c>
      <c r="T282">
        <v>104.5</v>
      </c>
      <c r="U282">
        <v>104.2</v>
      </c>
      <c r="V282">
        <v>103.6</v>
      </c>
      <c r="W282">
        <v>103.9</v>
      </c>
      <c r="X282">
        <v>104.5</v>
      </c>
      <c r="Y282">
        <v>104.4</v>
      </c>
      <c r="Z282">
        <v>105.3</v>
      </c>
      <c r="AA282" s="1">
        <f>SUM(Table14[[#This Row],[Cereals and products]:[Food and beverages]])/13</f>
        <v>106.47692307692309</v>
      </c>
      <c r="AB282" s="1">
        <f>SUM(Table14[[#This Row],[Fuel and light]])</f>
        <v>106</v>
      </c>
      <c r="AC282" s="1">
        <f>SUM(Table14[[#This Row],[Transport and communication]])</f>
        <v>104.2</v>
      </c>
      <c r="AD282" s="1">
        <f>SUM(Table14[[#This Row],[Housing]],Table14[[#This Row],[Household goods and services]])/2</f>
        <v>102.80000000000001</v>
      </c>
      <c r="AE282" s="1">
        <f>SUM(Table14[[#This Row],[Health]])</f>
        <v>104.5</v>
      </c>
      <c r="AF282" s="1">
        <f>SUM(Table14[[#This Row],[Recreation and amusement]],Table14[[#This Row],[Education]])/2</f>
        <v>103.75</v>
      </c>
      <c r="AG282" s="1">
        <f>SUM(Table14[[#This Row],[Miscellaneous]],Table14[[#This Row],[Personal care and effects]])/2</f>
        <v>104.45</v>
      </c>
    </row>
    <row r="283" spans="1:33" hidden="1" x14ac:dyDescent="0.3">
      <c r="A283" t="s">
        <v>36</v>
      </c>
      <c r="B283">
        <v>2013</v>
      </c>
      <c r="C283" t="s">
        <v>39</v>
      </c>
      <c r="D283">
        <v>112.9</v>
      </c>
      <c r="E283">
        <v>112.9</v>
      </c>
      <c r="F283">
        <v>116.9</v>
      </c>
      <c r="G283">
        <v>104</v>
      </c>
      <c r="H283">
        <v>103.5</v>
      </c>
      <c r="I283">
        <v>103.1</v>
      </c>
      <c r="J283">
        <v>104.9</v>
      </c>
      <c r="K283">
        <v>104.1</v>
      </c>
      <c r="L283">
        <v>103.8</v>
      </c>
      <c r="M283">
        <v>102.3</v>
      </c>
      <c r="N283">
        <v>106</v>
      </c>
      <c r="O283">
        <v>109</v>
      </c>
      <c r="P283">
        <v>107.2</v>
      </c>
      <c r="Q283">
        <v>100.4</v>
      </c>
      <c r="R283">
        <v>105.7</v>
      </c>
      <c r="S283">
        <v>105.2</v>
      </c>
      <c r="T283">
        <v>104.7</v>
      </c>
      <c r="U283">
        <v>104.4</v>
      </c>
      <c r="V283">
        <v>103.3</v>
      </c>
      <c r="W283">
        <v>103.7</v>
      </c>
      <c r="X283">
        <v>104.3</v>
      </c>
      <c r="Y283">
        <v>104.3</v>
      </c>
      <c r="Z283">
        <v>104.7</v>
      </c>
      <c r="AA283" s="1">
        <f>SUM(Table14[[#This Row],[Cereals and products]:[Food and beverages]])/13</f>
        <v>106.96923076923078</v>
      </c>
      <c r="AB283" s="1">
        <f>SUM(Table14[[#This Row],[Fuel and light]])</f>
        <v>105.7</v>
      </c>
      <c r="AC283" s="1">
        <f>SUM(Table14[[#This Row],[Transport and communication]])</f>
        <v>104.4</v>
      </c>
      <c r="AD283" s="1">
        <f>SUM(Table14[[#This Row],[Housing]],Table14[[#This Row],[Household goods and services]])/2</f>
        <v>102.80000000000001</v>
      </c>
      <c r="AE283" s="1">
        <f>SUM(Table14[[#This Row],[Health]])</f>
        <v>104.7</v>
      </c>
      <c r="AF283" s="1">
        <f>SUM(Table14[[#This Row],[Recreation and amusement]],Table14[[#This Row],[Education]])/2</f>
        <v>103.5</v>
      </c>
      <c r="AG283" s="1">
        <f>SUM(Table14[[#This Row],[Miscellaneous]],Table14[[#This Row],[Personal care and effects]])/2</f>
        <v>104.3</v>
      </c>
    </row>
    <row r="284" spans="1:33" x14ac:dyDescent="0.3">
      <c r="A284" t="s">
        <v>33</v>
      </c>
      <c r="B284">
        <v>2022</v>
      </c>
      <c r="C284" t="s">
        <v>38</v>
      </c>
      <c r="D284">
        <v>168.8</v>
      </c>
      <c r="E284">
        <v>206.9</v>
      </c>
      <c r="F284">
        <v>189.1</v>
      </c>
      <c r="G284">
        <v>173.4</v>
      </c>
      <c r="H284">
        <v>193.9</v>
      </c>
      <c r="I284">
        <v>156.69999999999999</v>
      </c>
      <c r="J284">
        <v>150.19999999999999</v>
      </c>
      <c r="K284">
        <v>170.5</v>
      </c>
      <c r="L284">
        <v>121.2</v>
      </c>
      <c r="M284">
        <v>207.5</v>
      </c>
      <c r="N284">
        <v>176.8</v>
      </c>
      <c r="O284">
        <v>187.7</v>
      </c>
      <c r="P284">
        <v>174.4</v>
      </c>
      <c r="Q284">
        <f>AVERAGE(Q285:Q286)</f>
        <v>170.7</v>
      </c>
      <c r="R284">
        <v>182.8</v>
      </c>
      <c r="S284">
        <v>176.4</v>
      </c>
      <c r="T284">
        <v>183.5</v>
      </c>
      <c r="U284">
        <v>167.8</v>
      </c>
      <c r="V284">
        <v>171.2</v>
      </c>
      <c r="W284">
        <v>177.3</v>
      </c>
      <c r="X284">
        <v>175.7</v>
      </c>
      <c r="Y284">
        <v>175.5</v>
      </c>
      <c r="Z284">
        <v>177.1</v>
      </c>
      <c r="AA284" s="1">
        <f>SUM(Table14[[#This Row],[Cereals and products]:[Food and beverages]])/13</f>
        <v>175.16153846153844</v>
      </c>
      <c r="AB284" s="1">
        <f>SUM(Table14[[#This Row],[Fuel and light]])</f>
        <v>182.8</v>
      </c>
      <c r="AC284" s="1">
        <f>SUM(Table14[[#This Row],[Transport and communication]])</f>
        <v>167.8</v>
      </c>
      <c r="AD284" s="1">
        <f>SUM(Table14[[#This Row],[Housing]],Table14[[#This Row],[Household goods and services]])/2</f>
        <v>173.55</v>
      </c>
      <c r="AE284" s="1">
        <f>SUM(Table14[[#This Row],[Health]])</f>
        <v>183.5</v>
      </c>
      <c r="AF284" s="1">
        <f>SUM(Table14[[#This Row],[Recreation and amusement]],Table14[[#This Row],[Education]])/2</f>
        <v>174.25</v>
      </c>
      <c r="AG284" s="1">
        <f>SUM(Table14[[#This Row],[Miscellaneous]],Table14[[#This Row],[Personal care and effects]])/2</f>
        <v>175.6</v>
      </c>
    </row>
    <row r="285" spans="1:33" hidden="1" x14ac:dyDescent="0.3">
      <c r="A285" t="s">
        <v>35</v>
      </c>
      <c r="B285">
        <v>2022</v>
      </c>
      <c r="C285" t="s">
        <v>38</v>
      </c>
      <c r="D285">
        <v>169.2</v>
      </c>
      <c r="E285">
        <v>209</v>
      </c>
      <c r="F285">
        <v>190.2</v>
      </c>
      <c r="G285">
        <v>173.6</v>
      </c>
      <c r="H285">
        <v>188.5</v>
      </c>
      <c r="I285">
        <v>158</v>
      </c>
      <c r="J285">
        <v>159.9</v>
      </c>
      <c r="K285">
        <v>170.8</v>
      </c>
      <c r="L285">
        <v>121.8</v>
      </c>
      <c r="M285">
        <v>205.2</v>
      </c>
      <c r="N285">
        <v>171</v>
      </c>
      <c r="O285">
        <v>190.3</v>
      </c>
      <c r="P285">
        <v>175.9</v>
      </c>
      <c r="Q285">
        <v>170.7</v>
      </c>
      <c r="R285">
        <v>182</v>
      </c>
      <c r="S285">
        <v>172.1</v>
      </c>
      <c r="T285">
        <v>181.1</v>
      </c>
      <c r="U285">
        <v>163.4</v>
      </c>
      <c r="V285">
        <v>168.9</v>
      </c>
      <c r="W285">
        <v>174.1</v>
      </c>
      <c r="X285">
        <v>175.8</v>
      </c>
      <c r="Y285">
        <v>172</v>
      </c>
      <c r="Z285">
        <v>175.7</v>
      </c>
      <c r="AA285" s="1">
        <f>SUM(Table14[[#This Row],[Cereals and products]:[Food and beverages]])/13</f>
        <v>175.64615384615385</v>
      </c>
      <c r="AB285" s="1">
        <f>SUM(Table14[[#This Row],[Fuel and light]])</f>
        <v>182</v>
      </c>
      <c r="AC285" s="1">
        <f>SUM(Table14[[#This Row],[Transport and communication]])</f>
        <v>163.4</v>
      </c>
      <c r="AD285" s="1">
        <f>SUM(Table14[[#This Row],[Housing]],Table14[[#This Row],[Household goods and services]])/2</f>
        <v>171.39999999999998</v>
      </c>
      <c r="AE285" s="1">
        <f>SUM(Table14[[#This Row],[Health]])</f>
        <v>181.1</v>
      </c>
      <c r="AF285" s="1">
        <f>SUM(Table14[[#This Row],[Recreation and amusement]],Table14[[#This Row],[Education]])/2</f>
        <v>171.5</v>
      </c>
      <c r="AG285" s="1">
        <f>SUM(Table14[[#This Row],[Miscellaneous]],Table14[[#This Row],[Personal care and effects]])/2</f>
        <v>173.9</v>
      </c>
    </row>
    <row r="286" spans="1:33" hidden="1" x14ac:dyDescent="0.3">
      <c r="A286" t="s">
        <v>36</v>
      </c>
      <c r="B286">
        <v>2022</v>
      </c>
      <c r="C286" t="s">
        <v>38</v>
      </c>
      <c r="D286">
        <v>170.2</v>
      </c>
      <c r="E286">
        <v>212.9</v>
      </c>
      <c r="F286">
        <v>191.9</v>
      </c>
      <c r="G286">
        <v>173.9</v>
      </c>
      <c r="H286">
        <v>179.1</v>
      </c>
      <c r="I286">
        <v>159.5</v>
      </c>
      <c r="J286">
        <v>178.7</v>
      </c>
      <c r="K286">
        <v>171.3</v>
      </c>
      <c r="L286">
        <v>123.1</v>
      </c>
      <c r="M286">
        <v>200.5</v>
      </c>
      <c r="N286">
        <v>162.80000000000001</v>
      </c>
      <c r="O286">
        <v>193.3</v>
      </c>
      <c r="P286">
        <v>178.6</v>
      </c>
      <c r="Q286">
        <v>170.7</v>
      </c>
      <c r="R286">
        <v>180.6</v>
      </c>
      <c r="S286">
        <v>167.3</v>
      </c>
      <c r="T286">
        <v>177.2</v>
      </c>
      <c r="U286">
        <v>159.4</v>
      </c>
      <c r="V286">
        <v>167.1</v>
      </c>
      <c r="W286">
        <v>171.8</v>
      </c>
      <c r="X286">
        <v>176</v>
      </c>
      <c r="Y286">
        <v>168.2</v>
      </c>
      <c r="Z286">
        <v>174.1</v>
      </c>
      <c r="AA286" s="1">
        <f>SUM(Table14[[#This Row],[Cereals and products]:[Food and beverages]])/13</f>
        <v>176.59999999999997</v>
      </c>
      <c r="AB286" s="1">
        <f>SUM(Table14[[#This Row],[Fuel and light]])</f>
        <v>180.6</v>
      </c>
      <c r="AC286" s="1">
        <f>SUM(Table14[[#This Row],[Transport and communication]])</f>
        <v>159.4</v>
      </c>
      <c r="AD286" s="1">
        <f>SUM(Table14[[#This Row],[Housing]],Table14[[#This Row],[Household goods and services]])/2</f>
        <v>169</v>
      </c>
      <c r="AE286" s="1">
        <f>SUM(Table14[[#This Row],[Health]])</f>
        <v>177.2</v>
      </c>
      <c r="AF286" s="1">
        <f>SUM(Table14[[#This Row],[Recreation and amusement]],Table14[[#This Row],[Education]])/2</f>
        <v>169.45</v>
      </c>
      <c r="AG286" s="1">
        <f>SUM(Table14[[#This Row],[Miscellaneous]],Table14[[#This Row],[Personal care and effects]])/2</f>
        <v>172.1</v>
      </c>
    </row>
    <row r="287" spans="1:33" hidden="1" x14ac:dyDescent="0.3">
      <c r="A287" t="s">
        <v>33</v>
      </c>
      <c r="B287">
        <v>2021</v>
      </c>
      <c r="C287" t="s">
        <v>41</v>
      </c>
      <c r="D287">
        <v>143.4</v>
      </c>
      <c r="E287">
        <v>187.5</v>
      </c>
      <c r="F287">
        <v>173.4</v>
      </c>
      <c r="G287">
        <v>154</v>
      </c>
      <c r="H287">
        <v>154.80000000000001</v>
      </c>
      <c r="I287">
        <v>147</v>
      </c>
      <c r="J287">
        <v>187.8</v>
      </c>
      <c r="K287">
        <v>159.5</v>
      </c>
      <c r="L287">
        <v>113.8</v>
      </c>
      <c r="M287">
        <v>164.5</v>
      </c>
      <c r="N287">
        <v>156.1</v>
      </c>
      <c r="O287">
        <v>164.3</v>
      </c>
      <c r="P287">
        <v>159.6</v>
      </c>
      <c r="Q287">
        <f>AVERAGE(Q288:Q289)</f>
        <v>157.69999999999999</v>
      </c>
      <c r="R287">
        <v>150.9</v>
      </c>
      <c r="S287">
        <v>153.9</v>
      </c>
      <c r="T287">
        <v>162.5</v>
      </c>
      <c r="U287">
        <v>147.5</v>
      </c>
      <c r="V287">
        <v>155.1</v>
      </c>
      <c r="W287">
        <v>163.5</v>
      </c>
      <c r="X287">
        <v>156.19999999999999</v>
      </c>
      <c r="Y287">
        <v>155.9</v>
      </c>
      <c r="Z287">
        <v>158.5</v>
      </c>
      <c r="AA287" s="1">
        <f>SUM(Table14[[#This Row],[Cereals and products]:[Food and beverages]])/13</f>
        <v>158.89999999999998</v>
      </c>
      <c r="AB287" s="1">
        <f>SUM(Table14[[#This Row],[Fuel and light]])</f>
        <v>150.9</v>
      </c>
      <c r="AC287" s="1">
        <f>SUM(Table14[[#This Row],[Transport and communication]])</f>
        <v>147.5</v>
      </c>
      <c r="AD287" s="1">
        <f>SUM(Table14[[#This Row],[Housing]],Table14[[#This Row],[Household goods and services]])/2</f>
        <v>155.80000000000001</v>
      </c>
      <c r="AE287" s="1">
        <f>SUM(Table14[[#This Row],[Health]])</f>
        <v>162.5</v>
      </c>
      <c r="AF287" s="1">
        <f>SUM(Table14[[#This Row],[Recreation and amusement]],Table14[[#This Row],[Education]])/2</f>
        <v>159.30000000000001</v>
      </c>
      <c r="AG287" s="1">
        <f>SUM(Table14[[#This Row],[Miscellaneous]],Table14[[#This Row],[Personal care and effects]])/2</f>
        <v>156.05000000000001</v>
      </c>
    </row>
    <row r="288" spans="1:33" hidden="1" x14ac:dyDescent="0.3">
      <c r="A288" t="s">
        <v>35</v>
      </c>
      <c r="B288">
        <v>2021</v>
      </c>
      <c r="C288" t="s">
        <v>41</v>
      </c>
      <c r="D288">
        <v>144.9</v>
      </c>
      <c r="E288">
        <v>190.1</v>
      </c>
      <c r="F288">
        <v>175.3</v>
      </c>
      <c r="G288">
        <v>154.1</v>
      </c>
      <c r="H288">
        <v>150.9</v>
      </c>
      <c r="I288">
        <v>149.6</v>
      </c>
      <c r="J288">
        <v>194.2</v>
      </c>
      <c r="K288">
        <v>160.4</v>
      </c>
      <c r="L288">
        <v>114.6</v>
      </c>
      <c r="M288">
        <v>164</v>
      </c>
      <c r="N288">
        <v>151.80000000000001</v>
      </c>
      <c r="O288">
        <v>165.6</v>
      </c>
      <c r="P288">
        <v>161</v>
      </c>
      <c r="Q288">
        <v>157.69999999999999</v>
      </c>
      <c r="R288">
        <v>147.9</v>
      </c>
      <c r="S288">
        <v>150</v>
      </c>
      <c r="T288">
        <v>159.30000000000001</v>
      </c>
      <c r="U288">
        <v>141.9</v>
      </c>
      <c r="V288">
        <v>149.6</v>
      </c>
      <c r="W288">
        <v>159.19999999999999</v>
      </c>
      <c r="X288">
        <v>156.80000000000001</v>
      </c>
      <c r="Y288">
        <v>151.9</v>
      </c>
      <c r="Z288">
        <v>157.30000000000001</v>
      </c>
      <c r="AA288" s="1">
        <f>SUM(Table14[[#This Row],[Cereals and products]:[Food and beverages]])/13</f>
        <v>159.73076923076923</v>
      </c>
      <c r="AB288" s="1">
        <f>SUM(Table14[[#This Row],[Fuel and light]])</f>
        <v>147.9</v>
      </c>
      <c r="AC288" s="1">
        <f>SUM(Table14[[#This Row],[Transport and communication]])</f>
        <v>141.9</v>
      </c>
      <c r="AD288" s="1">
        <f>SUM(Table14[[#This Row],[Housing]],Table14[[#This Row],[Household goods and services]])/2</f>
        <v>153.85</v>
      </c>
      <c r="AE288" s="1">
        <f>SUM(Table14[[#This Row],[Health]])</f>
        <v>159.30000000000001</v>
      </c>
      <c r="AF288" s="1">
        <f>SUM(Table14[[#This Row],[Recreation and amusement]],Table14[[#This Row],[Education]])/2</f>
        <v>154.39999999999998</v>
      </c>
      <c r="AG288" s="1">
        <f>SUM(Table14[[#This Row],[Miscellaneous]],Table14[[#This Row],[Personal care and effects]])/2</f>
        <v>154.35000000000002</v>
      </c>
    </row>
    <row r="289" spans="1:33" hidden="1" x14ac:dyDescent="0.3">
      <c r="A289" t="s">
        <v>36</v>
      </c>
      <c r="B289">
        <v>2021</v>
      </c>
      <c r="C289" t="s">
        <v>41</v>
      </c>
      <c r="D289">
        <v>148</v>
      </c>
      <c r="E289">
        <v>194.8</v>
      </c>
      <c r="F289">
        <v>178.4</v>
      </c>
      <c r="G289">
        <v>154.4</v>
      </c>
      <c r="H289">
        <v>144.1</v>
      </c>
      <c r="I289">
        <v>152.6</v>
      </c>
      <c r="J289">
        <v>206.8</v>
      </c>
      <c r="K289">
        <v>162.1</v>
      </c>
      <c r="L289">
        <v>116.3</v>
      </c>
      <c r="M289">
        <v>163</v>
      </c>
      <c r="N289">
        <v>145.9</v>
      </c>
      <c r="O289">
        <v>167.2</v>
      </c>
      <c r="P289">
        <v>163.4</v>
      </c>
      <c r="Q289">
        <v>157.69999999999999</v>
      </c>
      <c r="R289">
        <v>142.9</v>
      </c>
      <c r="S289">
        <v>145.69999999999999</v>
      </c>
      <c r="T289">
        <v>154.1</v>
      </c>
      <c r="U289">
        <v>136.9</v>
      </c>
      <c r="V289">
        <v>145.4</v>
      </c>
      <c r="W289">
        <v>156.1</v>
      </c>
      <c r="X289">
        <v>157.69999999999999</v>
      </c>
      <c r="Y289">
        <v>147.6</v>
      </c>
      <c r="Z289">
        <v>156</v>
      </c>
      <c r="AA289" s="1">
        <f>SUM(Table14[[#This Row],[Cereals and products]:[Food and beverages]])/13</f>
        <v>161.30769230769232</v>
      </c>
      <c r="AB289" s="1">
        <f>SUM(Table14[[#This Row],[Fuel and light]])</f>
        <v>142.9</v>
      </c>
      <c r="AC289" s="1">
        <f>SUM(Table14[[#This Row],[Transport and communication]])</f>
        <v>136.9</v>
      </c>
      <c r="AD289" s="1">
        <f>SUM(Table14[[#This Row],[Housing]],Table14[[#This Row],[Household goods and services]])/2</f>
        <v>151.69999999999999</v>
      </c>
      <c r="AE289" s="1">
        <f>SUM(Table14[[#This Row],[Health]])</f>
        <v>154.1</v>
      </c>
      <c r="AF289" s="1">
        <f>SUM(Table14[[#This Row],[Recreation and amusement]],Table14[[#This Row],[Education]])/2</f>
        <v>150.75</v>
      </c>
      <c r="AG289" s="1">
        <f>SUM(Table14[[#This Row],[Miscellaneous]],Table14[[#This Row],[Personal care and effects]])/2</f>
        <v>152.64999999999998</v>
      </c>
    </row>
    <row r="290" spans="1:33" hidden="1" x14ac:dyDescent="0.3">
      <c r="A290" t="s">
        <v>33</v>
      </c>
      <c r="B290">
        <v>2021</v>
      </c>
      <c r="C290" t="s">
        <v>42</v>
      </c>
      <c r="D290">
        <v>145.1</v>
      </c>
      <c r="E290">
        <v>204.5</v>
      </c>
      <c r="F290">
        <v>180.4</v>
      </c>
      <c r="G290">
        <v>157.1</v>
      </c>
      <c r="H290">
        <v>188.7</v>
      </c>
      <c r="I290">
        <v>157.69999999999999</v>
      </c>
      <c r="J290">
        <v>152.80000000000001</v>
      </c>
      <c r="K290">
        <v>163.6</v>
      </c>
      <c r="L290">
        <v>113.9</v>
      </c>
      <c r="M290">
        <v>169.7</v>
      </c>
      <c r="N290">
        <v>166.2</v>
      </c>
      <c r="O290">
        <v>171</v>
      </c>
      <c r="P290">
        <v>161.69999999999999</v>
      </c>
      <c r="Q290">
        <f>AVERAGE(Q291:Q292)</f>
        <v>161.5</v>
      </c>
      <c r="R290">
        <v>162.5</v>
      </c>
      <c r="S290">
        <v>160.30000000000001</v>
      </c>
      <c r="T290">
        <v>170.4</v>
      </c>
      <c r="U290">
        <v>157.1</v>
      </c>
      <c r="V290">
        <v>160.69999999999999</v>
      </c>
      <c r="W290">
        <v>167.2</v>
      </c>
      <c r="X290">
        <v>160.4</v>
      </c>
      <c r="Y290">
        <v>162.80000000000001</v>
      </c>
      <c r="Z290">
        <v>163.19999999999999</v>
      </c>
      <c r="AA290" s="1">
        <f>SUM(Table14[[#This Row],[Cereals and products]:[Food and beverages]])/13</f>
        <v>164.03076923076924</v>
      </c>
      <c r="AB290" s="1">
        <f>SUM(Table14[[#This Row],[Fuel and light]])</f>
        <v>162.5</v>
      </c>
      <c r="AC290" s="1">
        <f>SUM(Table14[[#This Row],[Transport and communication]])</f>
        <v>157.1</v>
      </c>
      <c r="AD290" s="1">
        <f>SUM(Table14[[#This Row],[Housing]],Table14[[#This Row],[Household goods and services]])/2</f>
        <v>160.9</v>
      </c>
      <c r="AE290" s="1">
        <f>SUM(Table14[[#This Row],[Health]])</f>
        <v>170.4</v>
      </c>
      <c r="AF290" s="1">
        <f>SUM(Table14[[#This Row],[Recreation and amusement]],Table14[[#This Row],[Education]])/2</f>
        <v>163.95</v>
      </c>
      <c r="AG290" s="1">
        <f>SUM(Table14[[#This Row],[Miscellaneous]],Table14[[#This Row],[Personal care and effects]])/2</f>
        <v>161.60000000000002</v>
      </c>
    </row>
    <row r="291" spans="1:33" hidden="1" x14ac:dyDescent="0.3">
      <c r="A291" t="s">
        <v>35</v>
      </c>
      <c r="B291">
        <v>2021</v>
      </c>
      <c r="C291" t="s">
        <v>42</v>
      </c>
      <c r="D291">
        <v>146.4</v>
      </c>
      <c r="E291">
        <v>206.8</v>
      </c>
      <c r="F291">
        <v>182.2</v>
      </c>
      <c r="G291">
        <v>157.5</v>
      </c>
      <c r="H291">
        <v>182.1</v>
      </c>
      <c r="I291">
        <v>163.9</v>
      </c>
      <c r="J291">
        <v>164.2</v>
      </c>
      <c r="K291">
        <v>164</v>
      </c>
      <c r="L291">
        <v>114.5</v>
      </c>
      <c r="M291">
        <v>168.3</v>
      </c>
      <c r="N291">
        <v>160.9</v>
      </c>
      <c r="O291">
        <v>172.2</v>
      </c>
      <c r="P291">
        <v>164</v>
      </c>
      <c r="Q291">
        <v>161.5</v>
      </c>
      <c r="R291">
        <v>160.69999999999999</v>
      </c>
      <c r="S291">
        <v>155.80000000000001</v>
      </c>
      <c r="T291">
        <v>167</v>
      </c>
      <c r="U291">
        <v>153.1</v>
      </c>
      <c r="V291">
        <v>155.30000000000001</v>
      </c>
      <c r="W291">
        <v>163.19999999999999</v>
      </c>
      <c r="X291">
        <v>160.1</v>
      </c>
      <c r="Y291">
        <v>159</v>
      </c>
      <c r="Z291">
        <v>162.5</v>
      </c>
      <c r="AA291" s="1">
        <f>SUM(Table14[[#This Row],[Cereals and products]:[Food and beverages]])/13</f>
        <v>165.15384615384616</v>
      </c>
      <c r="AB291" s="1">
        <f>SUM(Table14[[#This Row],[Fuel and light]])</f>
        <v>160.69999999999999</v>
      </c>
      <c r="AC291" s="1">
        <f>SUM(Table14[[#This Row],[Transport and communication]])</f>
        <v>153.1</v>
      </c>
      <c r="AD291" s="1">
        <f>SUM(Table14[[#This Row],[Housing]],Table14[[#This Row],[Household goods and services]])/2</f>
        <v>158.65</v>
      </c>
      <c r="AE291" s="1">
        <f>SUM(Table14[[#This Row],[Health]])</f>
        <v>167</v>
      </c>
      <c r="AF291" s="1">
        <f>SUM(Table14[[#This Row],[Recreation and amusement]],Table14[[#This Row],[Education]])/2</f>
        <v>159.25</v>
      </c>
      <c r="AG291" s="1">
        <f>SUM(Table14[[#This Row],[Miscellaneous]],Table14[[#This Row],[Personal care and effects]])/2</f>
        <v>159.55000000000001</v>
      </c>
    </row>
    <row r="292" spans="1:33" hidden="1" x14ac:dyDescent="0.3">
      <c r="A292" t="s">
        <v>36</v>
      </c>
      <c r="B292">
        <v>2021</v>
      </c>
      <c r="C292" t="s">
        <v>42</v>
      </c>
      <c r="D292">
        <v>149.1</v>
      </c>
      <c r="E292">
        <v>210.9</v>
      </c>
      <c r="F292">
        <v>185</v>
      </c>
      <c r="G292">
        <v>158.19999999999999</v>
      </c>
      <c r="H292">
        <v>170.6</v>
      </c>
      <c r="I292">
        <v>170.9</v>
      </c>
      <c r="J292">
        <v>186.4</v>
      </c>
      <c r="K292">
        <v>164.7</v>
      </c>
      <c r="L292">
        <v>115.7</v>
      </c>
      <c r="M292">
        <v>165.5</v>
      </c>
      <c r="N292">
        <v>153.4</v>
      </c>
      <c r="O292">
        <v>173.5</v>
      </c>
      <c r="P292">
        <v>167.9</v>
      </c>
      <c r="Q292">
        <v>161.5</v>
      </c>
      <c r="R292">
        <v>157.69999999999999</v>
      </c>
      <c r="S292">
        <v>150.69999999999999</v>
      </c>
      <c r="T292">
        <v>161.5</v>
      </c>
      <c r="U292">
        <v>149.5</v>
      </c>
      <c r="V292">
        <v>151.19999999999999</v>
      </c>
      <c r="W292">
        <v>160.30000000000001</v>
      </c>
      <c r="X292">
        <v>159.6</v>
      </c>
      <c r="Y292">
        <v>155</v>
      </c>
      <c r="Z292">
        <v>161.80000000000001</v>
      </c>
      <c r="AA292" s="1">
        <f>SUM(Table14[[#This Row],[Cereals and products]:[Food and beverages]])/13</f>
        <v>167.06153846153848</v>
      </c>
      <c r="AB292" s="1">
        <f>SUM(Table14[[#This Row],[Fuel and light]])</f>
        <v>157.69999999999999</v>
      </c>
      <c r="AC292" s="1">
        <f>SUM(Table14[[#This Row],[Transport and communication]])</f>
        <v>149.5</v>
      </c>
      <c r="AD292" s="1">
        <f>SUM(Table14[[#This Row],[Housing]],Table14[[#This Row],[Household goods and services]])/2</f>
        <v>156.1</v>
      </c>
      <c r="AE292" s="1">
        <f>SUM(Table14[[#This Row],[Health]])</f>
        <v>161.5</v>
      </c>
      <c r="AF292" s="1">
        <f>SUM(Table14[[#This Row],[Recreation and amusement]],Table14[[#This Row],[Education]])/2</f>
        <v>155.75</v>
      </c>
      <c r="AG292" s="1">
        <f>SUM(Table14[[#This Row],[Miscellaneous]],Table14[[#This Row],[Personal care and effects]])/2</f>
        <v>157.30000000000001</v>
      </c>
    </row>
    <row r="293" spans="1:33" hidden="1" x14ac:dyDescent="0.3">
      <c r="A293" t="s">
        <v>33</v>
      </c>
      <c r="B293">
        <v>2021</v>
      </c>
      <c r="C293" t="s">
        <v>43</v>
      </c>
      <c r="D293">
        <v>145.6</v>
      </c>
      <c r="E293">
        <v>200.1</v>
      </c>
      <c r="F293">
        <v>179.3</v>
      </c>
      <c r="G293">
        <v>156.1</v>
      </c>
      <c r="H293">
        <v>190.4</v>
      </c>
      <c r="I293">
        <v>158.6</v>
      </c>
      <c r="J293">
        <v>144.69999999999999</v>
      </c>
      <c r="K293">
        <v>165.5</v>
      </c>
      <c r="L293">
        <v>114.6</v>
      </c>
      <c r="M293">
        <v>170</v>
      </c>
      <c r="N293">
        <v>165.5</v>
      </c>
      <c r="O293">
        <v>171.7</v>
      </c>
      <c r="P293">
        <v>160.5</v>
      </c>
      <c r="Q293">
        <f>AVERAGE(Q294:Q295)</f>
        <v>160.5</v>
      </c>
      <c r="R293">
        <v>162.1</v>
      </c>
      <c r="S293">
        <v>159.19999999999999</v>
      </c>
      <c r="T293">
        <v>169.7</v>
      </c>
      <c r="U293">
        <v>154.19999999999999</v>
      </c>
      <c r="V293">
        <v>160.4</v>
      </c>
      <c r="W293">
        <v>166.8</v>
      </c>
      <c r="X293">
        <v>159.4</v>
      </c>
      <c r="Y293">
        <v>161.5</v>
      </c>
      <c r="Z293">
        <v>162.1</v>
      </c>
      <c r="AA293" s="1">
        <f>SUM(Table14[[#This Row],[Cereals and products]:[Food and beverages]])/13</f>
        <v>163.27692307692308</v>
      </c>
      <c r="AB293" s="1">
        <f>SUM(Table14[[#This Row],[Fuel and light]])</f>
        <v>162.1</v>
      </c>
      <c r="AC293" s="1">
        <f>SUM(Table14[[#This Row],[Transport and communication]])</f>
        <v>154.19999999999999</v>
      </c>
      <c r="AD293" s="1">
        <f>SUM(Table14[[#This Row],[Housing]],Table14[[#This Row],[Household goods and services]])/2</f>
        <v>159.85</v>
      </c>
      <c r="AE293" s="1">
        <f>SUM(Table14[[#This Row],[Health]])</f>
        <v>169.7</v>
      </c>
      <c r="AF293" s="1">
        <f>SUM(Table14[[#This Row],[Recreation and amusement]],Table14[[#This Row],[Education]])/2</f>
        <v>163.60000000000002</v>
      </c>
      <c r="AG293" s="1">
        <f>SUM(Table14[[#This Row],[Miscellaneous]],Table14[[#This Row],[Personal care and effects]])/2</f>
        <v>160.44999999999999</v>
      </c>
    </row>
    <row r="294" spans="1:33" hidden="1" x14ac:dyDescent="0.3">
      <c r="A294" t="s">
        <v>35</v>
      </c>
      <c r="B294">
        <v>2021</v>
      </c>
      <c r="C294" t="s">
        <v>43</v>
      </c>
      <c r="D294">
        <v>146.69999999999999</v>
      </c>
      <c r="E294">
        <v>202</v>
      </c>
      <c r="F294">
        <v>180.7</v>
      </c>
      <c r="G294">
        <v>156.19999999999999</v>
      </c>
      <c r="H294">
        <v>183.7</v>
      </c>
      <c r="I294">
        <v>164.6</v>
      </c>
      <c r="J294">
        <v>155.4</v>
      </c>
      <c r="K294">
        <v>166</v>
      </c>
      <c r="L294">
        <v>115.1</v>
      </c>
      <c r="M294">
        <v>168.5</v>
      </c>
      <c r="N294">
        <v>160</v>
      </c>
      <c r="O294">
        <v>172.4</v>
      </c>
      <c r="P294">
        <v>162.6</v>
      </c>
      <c r="Q294">
        <v>160.5</v>
      </c>
      <c r="R294">
        <v>159.80000000000001</v>
      </c>
      <c r="S294">
        <v>154.80000000000001</v>
      </c>
      <c r="T294">
        <v>166.3</v>
      </c>
      <c r="U294">
        <v>150.69999999999999</v>
      </c>
      <c r="V294">
        <v>154.9</v>
      </c>
      <c r="W294">
        <v>161.69999999999999</v>
      </c>
      <c r="X294">
        <v>158.80000000000001</v>
      </c>
      <c r="Y294">
        <v>157.6</v>
      </c>
      <c r="Z294">
        <v>161.30000000000001</v>
      </c>
      <c r="AA294" s="1">
        <f>SUM(Table14[[#This Row],[Cereals and products]:[Food and beverages]])/13</f>
        <v>164.14615384615385</v>
      </c>
      <c r="AB294" s="1">
        <f>SUM(Table14[[#This Row],[Fuel and light]])</f>
        <v>159.80000000000001</v>
      </c>
      <c r="AC294" s="1">
        <f>SUM(Table14[[#This Row],[Transport and communication]])</f>
        <v>150.69999999999999</v>
      </c>
      <c r="AD294" s="1">
        <f>SUM(Table14[[#This Row],[Housing]],Table14[[#This Row],[Household goods and services]])/2</f>
        <v>157.65</v>
      </c>
      <c r="AE294" s="1">
        <f>SUM(Table14[[#This Row],[Health]])</f>
        <v>166.3</v>
      </c>
      <c r="AF294" s="1">
        <f>SUM(Table14[[#This Row],[Recreation and amusement]],Table14[[#This Row],[Education]])/2</f>
        <v>158.30000000000001</v>
      </c>
      <c r="AG294" s="1">
        <f>SUM(Table14[[#This Row],[Miscellaneous]],Table14[[#This Row],[Personal care and effects]])/2</f>
        <v>158.19999999999999</v>
      </c>
    </row>
    <row r="295" spans="1:33" hidden="1" x14ac:dyDescent="0.3">
      <c r="A295" t="s">
        <v>36</v>
      </c>
      <c r="B295">
        <v>2021</v>
      </c>
      <c r="C295" t="s">
        <v>43</v>
      </c>
      <c r="D295">
        <v>149.19999999999999</v>
      </c>
      <c r="E295">
        <v>205.5</v>
      </c>
      <c r="F295">
        <v>182.8</v>
      </c>
      <c r="G295">
        <v>156.5</v>
      </c>
      <c r="H295">
        <v>172.2</v>
      </c>
      <c r="I295">
        <v>171.5</v>
      </c>
      <c r="J295">
        <v>176.2</v>
      </c>
      <c r="K295">
        <v>166.9</v>
      </c>
      <c r="L295">
        <v>116.1</v>
      </c>
      <c r="M295">
        <v>165.5</v>
      </c>
      <c r="N295">
        <v>152.30000000000001</v>
      </c>
      <c r="O295">
        <v>173.3</v>
      </c>
      <c r="P295">
        <v>166.2</v>
      </c>
      <c r="Q295">
        <v>160.5</v>
      </c>
      <c r="R295">
        <v>156.1</v>
      </c>
      <c r="S295">
        <v>149.80000000000001</v>
      </c>
      <c r="T295">
        <v>160.80000000000001</v>
      </c>
      <c r="U295">
        <v>147.5</v>
      </c>
      <c r="V295">
        <v>150.69999999999999</v>
      </c>
      <c r="W295">
        <v>158.1</v>
      </c>
      <c r="X295">
        <v>158</v>
      </c>
      <c r="Y295">
        <v>153.4</v>
      </c>
      <c r="Z295">
        <v>160.4</v>
      </c>
      <c r="AA295" s="1">
        <f>SUM(Table14[[#This Row],[Cereals and products]:[Food and beverages]])/13</f>
        <v>165.7076923076923</v>
      </c>
      <c r="AB295" s="1">
        <f>SUM(Table14[[#This Row],[Fuel and light]])</f>
        <v>156.1</v>
      </c>
      <c r="AC295" s="1">
        <f>SUM(Table14[[#This Row],[Transport and communication]])</f>
        <v>147.5</v>
      </c>
      <c r="AD295" s="1">
        <f>SUM(Table14[[#This Row],[Housing]],Table14[[#This Row],[Household goods and services]])/2</f>
        <v>155.15</v>
      </c>
      <c r="AE295" s="1">
        <f>SUM(Table14[[#This Row],[Health]])</f>
        <v>160.80000000000001</v>
      </c>
      <c r="AF295" s="1">
        <f>SUM(Table14[[#This Row],[Recreation and amusement]],Table14[[#This Row],[Education]])/2</f>
        <v>154.39999999999998</v>
      </c>
      <c r="AG295" s="1">
        <f>SUM(Table14[[#This Row],[Miscellaneous]],Table14[[#This Row],[Personal care and effects]])/2</f>
        <v>155.69999999999999</v>
      </c>
    </row>
    <row r="296" spans="1:33" hidden="1" x14ac:dyDescent="0.3">
      <c r="A296" t="s">
        <v>33</v>
      </c>
      <c r="B296">
        <v>2018</v>
      </c>
      <c r="C296" t="s">
        <v>38</v>
      </c>
      <c r="D296">
        <v>137.1</v>
      </c>
      <c r="E296">
        <v>151.9</v>
      </c>
      <c r="F296">
        <v>137.4</v>
      </c>
      <c r="G296">
        <v>142.4</v>
      </c>
      <c r="H296">
        <v>124.2</v>
      </c>
      <c r="I296">
        <v>140.19999999999999</v>
      </c>
      <c r="J296">
        <v>136.6</v>
      </c>
      <c r="K296">
        <v>120.9</v>
      </c>
      <c r="L296">
        <v>109.9</v>
      </c>
      <c r="M296">
        <v>140.19999999999999</v>
      </c>
      <c r="N296">
        <v>137.80000000000001</v>
      </c>
      <c r="O296">
        <v>156</v>
      </c>
      <c r="P296">
        <v>138.5</v>
      </c>
      <c r="Q296">
        <f>AVERAGE(Q297:Q298)</f>
        <v>146.5</v>
      </c>
      <c r="R296">
        <v>149</v>
      </c>
      <c r="S296">
        <v>149.5</v>
      </c>
      <c r="T296">
        <v>149.6</v>
      </c>
      <c r="U296">
        <v>128.9</v>
      </c>
      <c r="V296">
        <v>143.30000000000001</v>
      </c>
      <c r="W296">
        <v>155.1</v>
      </c>
      <c r="X296">
        <v>133.19999999999999</v>
      </c>
      <c r="Y296">
        <v>141.6</v>
      </c>
      <c r="Z296">
        <v>141.9</v>
      </c>
      <c r="AA296" s="1">
        <f>SUM(Table14[[#This Row],[Cereals and products]:[Food and beverages]])/13</f>
        <v>136.3923076923077</v>
      </c>
      <c r="AB296" s="1">
        <f>SUM(Table14[[#This Row],[Fuel and light]])</f>
        <v>149</v>
      </c>
      <c r="AC296" s="1">
        <f>SUM(Table14[[#This Row],[Transport and communication]])</f>
        <v>128.9</v>
      </c>
      <c r="AD296" s="1">
        <f>SUM(Table14[[#This Row],[Housing]],Table14[[#This Row],[Household goods and services]])/2</f>
        <v>148</v>
      </c>
      <c r="AE296" s="1">
        <f>SUM(Table14[[#This Row],[Health]])</f>
        <v>149.6</v>
      </c>
      <c r="AF296" s="1">
        <f>SUM(Table14[[#This Row],[Recreation and amusement]],Table14[[#This Row],[Education]])/2</f>
        <v>149.19999999999999</v>
      </c>
      <c r="AG296" s="1">
        <f>SUM(Table14[[#This Row],[Miscellaneous]],Table14[[#This Row],[Personal care and effects]])/2</f>
        <v>137.39999999999998</v>
      </c>
    </row>
    <row r="297" spans="1:33" hidden="1" x14ac:dyDescent="0.3">
      <c r="A297" t="s">
        <v>35</v>
      </c>
      <c r="B297">
        <v>2018</v>
      </c>
      <c r="C297" t="s">
        <v>38</v>
      </c>
      <c r="D297">
        <v>137.5</v>
      </c>
      <c r="E297">
        <v>150.5</v>
      </c>
      <c r="F297">
        <v>138.80000000000001</v>
      </c>
      <c r="G297">
        <v>142.1</v>
      </c>
      <c r="H297">
        <v>122</v>
      </c>
      <c r="I297">
        <v>139.4</v>
      </c>
      <c r="J297">
        <v>135.19999999999999</v>
      </c>
      <c r="K297">
        <v>119.8</v>
      </c>
      <c r="L297">
        <v>110.3</v>
      </c>
      <c r="M297">
        <v>140.6</v>
      </c>
      <c r="N297">
        <v>133.80000000000001</v>
      </c>
      <c r="O297">
        <v>154.6</v>
      </c>
      <c r="P297">
        <v>138.19999999999999</v>
      </c>
      <c r="Q297">
        <v>146.5</v>
      </c>
      <c r="R297">
        <v>142.69999999999999</v>
      </c>
      <c r="S297">
        <v>143.19999999999999</v>
      </c>
      <c r="T297">
        <v>144.9</v>
      </c>
      <c r="U297">
        <v>123.6</v>
      </c>
      <c r="V297">
        <v>136.80000000000001</v>
      </c>
      <c r="W297">
        <v>150.1</v>
      </c>
      <c r="X297">
        <v>132.19999999999999</v>
      </c>
      <c r="Y297">
        <v>136.80000000000001</v>
      </c>
      <c r="Z297">
        <v>140.1</v>
      </c>
      <c r="AA297" s="1">
        <f>SUM(Table14[[#This Row],[Cereals and products]:[Food and beverages]])/13</f>
        <v>135.59999999999997</v>
      </c>
      <c r="AB297" s="1">
        <f>SUM(Table14[[#This Row],[Fuel and light]])</f>
        <v>142.69999999999999</v>
      </c>
      <c r="AC297" s="1">
        <f>SUM(Table14[[#This Row],[Transport and communication]])</f>
        <v>123.6</v>
      </c>
      <c r="AD297" s="1">
        <f>SUM(Table14[[#This Row],[Housing]],Table14[[#This Row],[Household goods and services]])/2</f>
        <v>144.85</v>
      </c>
      <c r="AE297" s="1">
        <f>SUM(Table14[[#This Row],[Health]])</f>
        <v>144.9</v>
      </c>
      <c r="AF297" s="1">
        <f>SUM(Table14[[#This Row],[Recreation and amusement]],Table14[[#This Row],[Education]])/2</f>
        <v>143.44999999999999</v>
      </c>
      <c r="AG297" s="1">
        <f>SUM(Table14[[#This Row],[Miscellaneous]],Table14[[#This Row],[Personal care and effects]])/2</f>
        <v>134.5</v>
      </c>
    </row>
    <row r="298" spans="1:33" hidden="1" x14ac:dyDescent="0.3">
      <c r="A298" t="s">
        <v>36</v>
      </c>
      <c r="B298">
        <v>2018</v>
      </c>
      <c r="C298" t="s">
        <v>38</v>
      </c>
      <c r="D298">
        <v>138.5</v>
      </c>
      <c r="E298">
        <v>147.80000000000001</v>
      </c>
      <c r="F298">
        <v>141.1</v>
      </c>
      <c r="G298">
        <v>141.6</v>
      </c>
      <c r="H298">
        <v>118.1</v>
      </c>
      <c r="I298">
        <v>138.5</v>
      </c>
      <c r="J298">
        <v>132.4</v>
      </c>
      <c r="K298">
        <v>117.5</v>
      </c>
      <c r="L298">
        <v>111</v>
      </c>
      <c r="M298">
        <v>141.5</v>
      </c>
      <c r="N298">
        <v>128.1</v>
      </c>
      <c r="O298">
        <v>152.9</v>
      </c>
      <c r="P298">
        <v>137.6</v>
      </c>
      <c r="Q298">
        <v>146.5</v>
      </c>
      <c r="R298">
        <v>132.4</v>
      </c>
      <c r="S298">
        <v>136.19999999999999</v>
      </c>
      <c r="T298">
        <v>137.30000000000001</v>
      </c>
      <c r="U298">
        <v>118.8</v>
      </c>
      <c r="V298">
        <v>131.69999999999999</v>
      </c>
      <c r="W298">
        <v>146.5</v>
      </c>
      <c r="X298">
        <v>130.80000000000001</v>
      </c>
      <c r="Y298">
        <v>131.69999999999999</v>
      </c>
      <c r="Z298">
        <v>138</v>
      </c>
      <c r="AA298" s="1">
        <f>SUM(Table14[[#This Row],[Cereals and products]:[Food and beverages]])/13</f>
        <v>134.35384615384615</v>
      </c>
      <c r="AB298" s="1">
        <f>SUM(Table14[[#This Row],[Fuel and light]])</f>
        <v>132.4</v>
      </c>
      <c r="AC298" s="1">
        <f>SUM(Table14[[#This Row],[Transport and communication]])</f>
        <v>118.8</v>
      </c>
      <c r="AD298" s="1">
        <f>SUM(Table14[[#This Row],[Housing]],Table14[[#This Row],[Household goods and services]])/2</f>
        <v>141.35</v>
      </c>
      <c r="AE298" s="1">
        <f>SUM(Table14[[#This Row],[Health]])</f>
        <v>137.30000000000001</v>
      </c>
      <c r="AF298" s="1">
        <f>SUM(Table14[[#This Row],[Recreation and amusement]],Table14[[#This Row],[Education]])/2</f>
        <v>139.1</v>
      </c>
      <c r="AG298" s="1">
        <f>SUM(Table14[[#This Row],[Miscellaneous]],Table14[[#This Row],[Personal care and effects]])/2</f>
        <v>131.25</v>
      </c>
    </row>
    <row r="299" spans="1:33" hidden="1" x14ac:dyDescent="0.3">
      <c r="A299" t="s">
        <v>36</v>
      </c>
      <c r="B299">
        <v>2017</v>
      </c>
      <c r="C299" t="s">
        <v>38</v>
      </c>
      <c r="D299">
        <v>134.4</v>
      </c>
      <c r="E299">
        <v>142.6</v>
      </c>
      <c r="F299">
        <v>145.9</v>
      </c>
      <c r="G299">
        <v>139.5</v>
      </c>
      <c r="H299">
        <v>115.9</v>
      </c>
      <c r="I299">
        <v>135</v>
      </c>
      <c r="J299">
        <v>163.19999999999999</v>
      </c>
      <c r="K299">
        <v>119.8</v>
      </c>
      <c r="L299">
        <v>120.7</v>
      </c>
      <c r="M299">
        <v>139.69999999999999</v>
      </c>
      <c r="N299">
        <v>125.7</v>
      </c>
      <c r="O299">
        <v>146.30000000000001</v>
      </c>
      <c r="P299">
        <v>138.80000000000001</v>
      </c>
      <c r="Q299">
        <v>139.1</v>
      </c>
      <c r="R299">
        <v>126.8</v>
      </c>
      <c r="S299">
        <v>129.30000000000001</v>
      </c>
      <c r="T299">
        <v>128.19999999999999</v>
      </c>
      <c r="U299">
        <v>115.3</v>
      </c>
      <c r="V299">
        <v>125.6</v>
      </c>
      <c r="W299">
        <v>136.69999999999999</v>
      </c>
      <c r="X299">
        <v>124.6</v>
      </c>
      <c r="Y299">
        <v>125.1</v>
      </c>
      <c r="Z299">
        <v>134.1</v>
      </c>
      <c r="AA299" s="1">
        <f>SUM(Table14[[#This Row],[Cereals and products]:[Food and beverages]])/13</f>
        <v>135.96153846153845</v>
      </c>
      <c r="AB299" s="1">
        <f>SUM(Table14[[#This Row],[Fuel and light]])</f>
        <v>126.8</v>
      </c>
      <c r="AC299" s="1">
        <f>SUM(Table14[[#This Row],[Transport and communication]])</f>
        <v>115.3</v>
      </c>
      <c r="AD299" s="1">
        <f>SUM(Table14[[#This Row],[Housing]],Table14[[#This Row],[Household goods and services]])/2</f>
        <v>134.19999999999999</v>
      </c>
      <c r="AE299" s="1">
        <f>SUM(Table14[[#This Row],[Health]])</f>
        <v>128.19999999999999</v>
      </c>
      <c r="AF299" s="1">
        <f>SUM(Table14[[#This Row],[Recreation and amusement]],Table14[[#This Row],[Education]])/2</f>
        <v>131.14999999999998</v>
      </c>
      <c r="AG299" s="1">
        <f>SUM(Table14[[#This Row],[Miscellaneous]],Table14[[#This Row],[Personal care and effects]])/2</f>
        <v>124.85</v>
      </c>
    </row>
    <row r="300" spans="1:33" hidden="1" x14ac:dyDescent="0.3">
      <c r="A300" t="s">
        <v>35</v>
      </c>
      <c r="B300">
        <v>2017</v>
      </c>
      <c r="C300" t="s">
        <v>38</v>
      </c>
      <c r="D300">
        <v>135.80000000000001</v>
      </c>
      <c r="E300">
        <v>143.30000000000001</v>
      </c>
      <c r="F300">
        <v>145.19999999999999</v>
      </c>
      <c r="G300">
        <v>141</v>
      </c>
      <c r="H300">
        <v>120.5</v>
      </c>
      <c r="I300">
        <v>141.5</v>
      </c>
      <c r="J300">
        <v>161.69999999999999</v>
      </c>
      <c r="K300">
        <v>129.1</v>
      </c>
      <c r="L300">
        <v>121.5</v>
      </c>
      <c r="M300">
        <v>137.1</v>
      </c>
      <c r="N300">
        <v>128.80000000000001</v>
      </c>
      <c r="O300">
        <v>149</v>
      </c>
      <c r="P300">
        <v>140.5</v>
      </c>
      <c r="Q300">
        <v>139.1</v>
      </c>
      <c r="R300">
        <v>136.6</v>
      </c>
      <c r="S300">
        <v>134.69999999999999</v>
      </c>
      <c r="T300">
        <v>133.1</v>
      </c>
      <c r="U300">
        <v>118.5</v>
      </c>
      <c r="V300">
        <v>129</v>
      </c>
      <c r="W300">
        <v>138.5</v>
      </c>
      <c r="X300">
        <v>126.5</v>
      </c>
      <c r="Y300">
        <v>128.6</v>
      </c>
      <c r="Z300">
        <v>137.19999999999999</v>
      </c>
      <c r="AA300" s="1">
        <f>SUM(Table14[[#This Row],[Cereals and products]:[Food and beverages]])/13</f>
        <v>138.07692307692307</v>
      </c>
      <c r="AB300" s="1">
        <f>SUM(Table14[[#This Row],[Fuel and light]])</f>
        <v>136.6</v>
      </c>
      <c r="AC300" s="1">
        <f>SUM(Table14[[#This Row],[Transport and communication]])</f>
        <v>118.5</v>
      </c>
      <c r="AD300" s="1">
        <f>SUM(Table14[[#This Row],[Housing]],Table14[[#This Row],[Household goods and services]])/2</f>
        <v>136.89999999999998</v>
      </c>
      <c r="AE300" s="1">
        <f>SUM(Table14[[#This Row],[Health]])</f>
        <v>133.1</v>
      </c>
      <c r="AF300" s="1">
        <f>SUM(Table14[[#This Row],[Recreation and amusement]],Table14[[#This Row],[Education]])/2</f>
        <v>133.75</v>
      </c>
      <c r="AG300" s="1">
        <f>SUM(Table14[[#This Row],[Miscellaneous]],Table14[[#This Row],[Personal care and effects]])/2</f>
        <v>127.55</v>
      </c>
    </row>
    <row r="301" spans="1:33" hidden="1" x14ac:dyDescent="0.3">
      <c r="A301" t="s">
        <v>33</v>
      </c>
      <c r="B301">
        <v>2017</v>
      </c>
      <c r="C301" t="s">
        <v>38</v>
      </c>
      <c r="D301">
        <v>136.4</v>
      </c>
      <c r="E301">
        <v>143.69999999999999</v>
      </c>
      <c r="F301">
        <v>144.80000000000001</v>
      </c>
      <c r="G301">
        <v>141.9</v>
      </c>
      <c r="H301">
        <v>123.1</v>
      </c>
      <c r="I301">
        <v>147.19999999999999</v>
      </c>
      <c r="J301">
        <v>161</v>
      </c>
      <c r="K301">
        <v>133.80000000000001</v>
      </c>
      <c r="L301">
        <v>121.9</v>
      </c>
      <c r="M301">
        <v>135.80000000000001</v>
      </c>
      <c r="N301">
        <v>131.1</v>
      </c>
      <c r="O301">
        <v>151.4</v>
      </c>
      <c r="P301">
        <v>141.5</v>
      </c>
      <c r="Q301">
        <f>AVERAGE(Q299:Q300)</f>
        <v>139.1</v>
      </c>
      <c r="R301">
        <v>142.6</v>
      </c>
      <c r="S301">
        <v>139.5</v>
      </c>
      <c r="T301">
        <v>136.1</v>
      </c>
      <c r="U301">
        <v>122</v>
      </c>
      <c r="V301">
        <v>133.4</v>
      </c>
      <c r="W301">
        <v>141.1</v>
      </c>
      <c r="X301">
        <v>127.8</v>
      </c>
      <c r="Y301">
        <v>131.9</v>
      </c>
      <c r="Z301">
        <v>139.80000000000001</v>
      </c>
      <c r="AA301" s="1">
        <f>SUM(Table14[[#This Row],[Cereals and products]:[Food and beverages]])/13</f>
        <v>139.50769230769231</v>
      </c>
      <c r="AB301" s="1">
        <f>SUM(Table14[[#This Row],[Fuel and light]])</f>
        <v>142.6</v>
      </c>
      <c r="AC301" s="1">
        <f>SUM(Table14[[#This Row],[Transport and communication]])</f>
        <v>122</v>
      </c>
      <c r="AD301" s="1">
        <f>SUM(Table14[[#This Row],[Housing]],Table14[[#This Row],[Household goods and services]])/2</f>
        <v>139.30000000000001</v>
      </c>
      <c r="AE301" s="1">
        <f>SUM(Table14[[#This Row],[Health]])</f>
        <v>136.1</v>
      </c>
      <c r="AF301" s="1">
        <f>SUM(Table14[[#This Row],[Recreation and amusement]],Table14[[#This Row],[Education]])/2</f>
        <v>137.25</v>
      </c>
      <c r="AG301" s="1">
        <f>SUM(Table14[[#This Row],[Miscellaneous]],Table14[[#This Row],[Personal care and effects]])/2</f>
        <v>129.85</v>
      </c>
    </row>
    <row r="302" spans="1:33" hidden="1" x14ac:dyDescent="0.3">
      <c r="A302" t="s">
        <v>36</v>
      </c>
      <c r="B302">
        <v>2016</v>
      </c>
      <c r="C302" t="s">
        <v>38</v>
      </c>
      <c r="D302">
        <v>131.6</v>
      </c>
      <c r="E302">
        <v>138.19999999999999</v>
      </c>
      <c r="F302">
        <v>134.9</v>
      </c>
      <c r="G302">
        <v>133.1</v>
      </c>
      <c r="H302">
        <v>113.5</v>
      </c>
      <c r="I302">
        <v>129.30000000000001</v>
      </c>
      <c r="J302">
        <v>121.1</v>
      </c>
      <c r="K302">
        <v>170.3</v>
      </c>
      <c r="L302">
        <v>115.5</v>
      </c>
      <c r="M302">
        <v>145.5</v>
      </c>
      <c r="N302">
        <v>123.1</v>
      </c>
      <c r="O302">
        <v>140.9</v>
      </c>
      <c r="P302">
        <v>132.80000000000001</v>
      </c>
      <c r="Q302">
        <v>128.5</v>
      </c>
      <c r="R302">
        <v>117.8</v>
      </c>
      <c r="S302">
        <v>125</v>
      </c>
      <c r="T302">
        <v>122.3</v>
      </c>
      <c r="U302">
        <v>113.7</v>
      </c>
      <c r="V302">
        <v>121.8</v>
      </c>
      <c r="W302">
        <v>132.30000000000001</v>
      </c>
      <c r="X302">
        <v>119.9</v>
      </c>
      <c r="Y302">
        <v>121.4</v>
      </c>
      <c r="Z302">
        <v>127.6</v>
      </c>
      <c r="AA302" s="1">
        <f>SUM(Table14[[#This Row],[Cereals and products]:[Food and beverages]])/13</f>
        <v>133.06153846153845</v>
      </c>
      <c r="AB302" s="1">
        <f>SUM(Table14[[#This Row],[Fuel and light]])</f>
        <v>117.8</v>
      </c>
      <c r="AC302" s="1">
        <f>SUM(Table14[[#This Row],[Transport and communication]])</f>
        <v>113.7</v>
      </c>
      <c r="AD302" s="1">
        <f>SUM(Table14[[#This Row],[Housing]],Table14[[#This Row],[Household goods and services]])/2</f>
        <v>126.75</v>
      </c>
      <c r="AE302" s="1">
        <f>SUM(Table14[[#This Row],[Health]])</f>
        <v>122.3</v>
      </c>
      <c r="AF302" s="1">
        <f>SUM(Table14[[#This Row],[Recreation and amusement]],Table14[[#This Row],[Education]])/2</f>
        <v>127.05000000000001</v>
      </c>
      <c r="AG302" s="1">
        <f>SUM(Table14[[#This Row],[Miscellaneous]],Table14[[#This Row],[Personal care and effects]])/2</f>
        <v>120.65</v>
      </c>
    </row>
    <row r="303" spans="1:33" hidden="1" x14ac:dyDescent="0.3">
      <c r="A303" t="s">
        <v>35</v>
      </c>
      <c r="B303">
        <v>2016</v>
      </c>
      <c r="C303" t="s">
        <v>38</v>
      </c>
      <c r="D303">
        <v>132.30000000000001</v>
      </c>
      <c r="E303">
        <v>137.6</v>
      </c>
      <c r="F303">
        <v>132.9</v>
      </c>
      <c r="G303">
        <v>135.1</v>
      </c>
      <c r="H303">
        <v>118.6</v>
      </c>
      <c r="I303">
        <v>132.69999999999999</v>
      </c>
      <c r="J303">
        <v>125.3</v>
      </c>
      <c r="K303">
        <v>168.7</v>
      </c>
      <c r="L303">
        <v>114.4</v>
      </c>
      <c r="M303">
        <v>140.19999999999999</v>
      </c>
      <c r="N303">
        <v>126.6</v>
      </c>
      <c r="O303">
        <v>142.30000000000001</v>
      </c>
      <c r="P303">
        <v>134</v>
      </c>
      <c r="Q303">
        <v>128.5</v>
      </c>
      <c r="R303">
        <v>126.6</v>
      </c>
      <c r="S303">
        <v>129.19999999999999</v>
      </c>
      <c r="T303">
        <v>126.9</v>
      </c>
      <c r="U303">
        <v>116</v>
      </c>
      <c r="V303">
        <v>124.2</v>
      </c>
      <c r="W303">
        <v>133.1</v>
      </c>
      <c r="X303">
        <v>121.1</v>
      </c>
      <c r="Y303">
        <v>123.9</v>
      </c>
      <c r="Z303">
        <v>130.4</v>
      </c>
      <c r="AA303" s="1">
        <f>SUM(Table14[[#This Row],[Cereals and products]:[Food and beverages]])/13</f>
        <v>133.9</v>
      </c>
      <c r="AB303" s="1">
        <f>SUM(Table14[[#This Row],[Fuel and light]])</f>
        <v>126.6</v>
      </c>
      <c r="AC303" s="1">
        <f>SUM(Table14[[#This Row],[Transport and communication]])</f>
        <v>116</v>
      </c>
      <c r="AD303" s="1">
        <f>SUM(Table14[[#This Row],[Housing]],Table14[[#This Row],[Household goods and services]])/2</f>
        <v>128.85</v>
      </c>
      <c r="AE303" s="1">
        <f>SUM(Table14[[#This Row],[Health]])</f>
        <v>126.9</v>
      </c>
      <c r="AF303" s="1">
        <f>SUM(Table14[[#This Row],[Recreation and amusement]],Table14[[#This Row],[Education]])/2</f>
        <v>128.65</v>
      </c>
      <c r="AG303" s="1">
        <f>SUM(Table14[[#This Row],[Miscellaneous]],Table14[[#This Row],[Personal care and effects]])/2</f>
        <v>122.5</v>
      </c>
    </row>
    <row r="304" spans="1:33" hidden="1" x14ac:dyDescent="0.3">
      <c r="A304" t="s">
        <v>33</v>
      </c>
      <c r="B304">
        <v>2016</v>
      </c>
      <c r="C304" t="s">
        <v>38</v>
      </c>
      <c r="D304">
        <v>132.6</v>
      </c>
      <c r="E304">
        <v>137.30000000000001</v>
      </c>
      <c r="F304">
        <v>131.6</v>
      </c>
      <c r="G304">
        <v>136.30000000000001</v>
      </c>
      <c r="H304">
        <v>121.6</v>
      </c>
      <c r="I304">
        <v>135.6</v>
      </c>
      <c r="J304">
        <v>127.5</v>
      </c>
      <c r="K304">
        <v>167.9</v>
      </c>
      <c r="L304">
        <v>113.8</v>
      </c>
      <c r="M304">
        <v>137.5</v>
      </c>
      <c r="N304">
        <v>129.1</v>
      </c>
      <c r="O304">
        <v>143.6</v>
      </c>
      <c r="P304">
        <v>134.69999999999999</v>
      </c>
      <c r="Q304">
        <f>AVERAGE(Q302:Q303)</f>
        <v>128.5</v>
      </c>
      <c r="R304">
        <v>132</v>
      </c>
      <c r="S304">
        <v>132.9</v>
      </c>
      <c r="T304">
        <v>129.69999999999999</v>
      </c>
      <c r="U304">
        <v>118.6</v>
      </c>
      <c r="V304">
        <v>127.3</v>
      </c>
      <c r="W304">
        <v>134.19999999999999</v>
      </c>
      <c r="X304">
        <v>121.9</v>
      </c>
      <c r="Y304">
        <v>126.3</v>
      </c>
      <c r="Z304">
        <v>132.80000000000001</v>
      </c>
      <c r="AA304" s="1">
        <f>SUM(Table14[[#This Row],[Cereals and products]:[Food and beverages]])/13</f>
        <v>134.54615384615383</v>
      </c>
      <c r="AB304" s="1">
        <f>SUM(Table14[[#This Row],[Fuel and light]])</f>
        <v>132</v>
      </c>
      <c r="AC304" s="1">
        <f>SUM(Table14[[#This Row],[Transport and communication]])</f>
        <v>118.6</v>
      </c>
      <c r="AD304" s="1">
        <f>SUM(Table14[[#This Row],[Housing]],Table14[[#This Row],[Household goods and services]])/2</f>
        <v>130.69999999999999</v>
      </c>
      <c r="AE304" s="1">
        <f>SUM(Table14[[#This Row],[Health]])</f>
        <v>129.69999999999999</v>
      </c>
      <c r="AF304" s="1">
        <f>SUM(Table14[[#This Row],[Recreation and amusement]],Table14[[#This Row],[Education]])/2</f>
        <v>130.75</v>
      </c>
      <c r="AG304" s="1">
        <f>SUM(Table14[[#This Row],[Miscellaneous]],Table14[[#This Row],[Personal care and effects]])/2</f>
        <v>124.1</v>
      </c>
    </row>
    <row r="305" spans="1:33" hidden="1" x14ac:dyDescent="0.3">
      <c r="A305" t="s">
        <v>36</v>
      </c>
      <c r="B305">
        <v>2015</v>
      </c>
      <c r="C305" t="s">
        <v>38</v>
      </c>
      <c r="D305">
        <v>124.3</v>
      </c>
      <c r="E305">
        <v>131.69999999999999</v>
      </c>
      <c r="F305">
        <v>127.1</v>
      </c>
      <c r="G305">
        <v>128.6</v>
      </c>
      <c r="H305">
        <v>110</v>
      </c>
      <c r="I305">
        <v>120.8</v>
      </c>
      <c r="J305">
        <v>149</v>
      </c>
      <c r="K305">
        <v>190.1</v>
      </c>
      <c r="L305">
        <v>92.7</v>
      </c>
      <c r="M305">
        <v>138.6</v>
      </c>
      <c r="N305">
        <v>120.2</v>
      </c>
      <c r="O305">
        <v>134.19999999999999</v>
      </c>
      <c r="P305">
        <v>131.5</v>
      </c>
      <c r="Q305">
        <v>122.4</v>
      </c>
      <c r="R305">
        <v>116</v>
      </c>
      <c r="S305">
        <v>121</v>
      </c>
      <c r="T305">
        <v>118.6</v>
      </c>
      <c r="U305">
        <v>109.3</v>
      </c>
      <c r="V305">
        <v>118.1</v>
      </c>
      <c r="W305">
        <v>126.6</v>
      </c>
      <c r="X305">
        <v>113.2</v>
      </c>
      <c r="Y305">
        <v>116.7</v>
      </c>
      <c r="Z305">
        <v>124</v>
      </c>
      <c r="AA305" s="1">
        <f>SUM(Table14[[#This Row],[Cereals and products]:[Food and beverages]])/13</f>
        <v>130.67692307692306</v>
      </c>
      <c r="AB305" s="1">
        <f>SUM(Table14[[#This Row],[Fuel and light]])</f>
        <v>116</v>
      </c>
      <c r="AC305" s="1">
        <f>SUM(Table14[[#This Row],[Transport and communication]])</f>
        <v>109.3</v>
      </c>
      <c r="AD305" s="1">
        <f>SUM(Table14[[#This Row],[Housing]],Table14[[#This Row],[Household goods and services]])/2</f>
        <v>121.7</v>
      </c>
      <c r="AE305" s="1">
        <f>SUM(Table14[[#This Row],[Health]])</f>
        <v>118.6</v>
      </c>
      <c r="AF305" s="1">
        <f>SUM(Table14[[#This Row],[Recreation and amusement]],Table14[[#This Row],[Education]])/2</f>
        <v>122.35</v>
      </c>
      <c r="AG305" s="1">
        <f>SUM(Table14[[#This Row],[Miscellaneous]],Table14[[#This Row],[Personal care and effects]])/2</f>
        <v>114.95</v>
      </c>
    </row>
    <row r="306" spans="1:33" hidden="1" x14ac:dyDescent="0.3">
      <c r="A306" t="s">
        <v>35</v>
      </c>
      <c r="B306">
        <v>2015</v>
      </c>
      <c r="C306" t="s">
        <v>38</v>
      </c>
      <c r="D306">
        <v>125.7</v>
      </c>
      <c r="E306">
        <v>131.4</v>
      </c>
      <c r="F306">
        <v>124.8</v>
      </c>
      <c r="G306">
        <v>129.4</v>
      </c>
      <c r="H306">
        <v>115.3</v>
      </c>
      <c r="I306">
        <v>126.6</v>
      </c>
      <c r="J306">
        <v>146.69999999999999</v>
      </c>
      <c r="K306">
        <v>171.5</v>
      </c>
      <c r="L306">
        <v>94.5</v>
      </c>
      <c r="M306">
        <v>132.1</v>
      </c>
      <c r="N306">
        <v>122</v>
      </c>
      <c r="O306">
        <v>134.69999999999999</v>
      </c>
      <c r="P306">
        <v>131.4</v>
      </c>
      <c r="Q306">
        <v>122.4</v>
      </c>
      <c r="R306">
        <v>122</v>
      </c>
      <c r="S306">
        <v>123.6</v>
      </c>
      <c r="T306">
        <v>121.4</v>
      </c>
      <c r="U306">
        <v>111.5</v>
      </c>
      <c r="V306">
        <v>119.6</v>
      </c>
      <c r="W306">
        <v>126.2</v>
      </c>
      <c r="X306">
        <v>113.7</v>
      </c>
      <c r="Y306">
        <v>118.3</v>
      </c>
      <c r="Z306">
        <v>126.1</v>
      </c>
      <c r="AA306" s="1">
        <f>SUM(Table14[[#This Row],[Cereals and products]:[Food and beverages]])/13</f>
        <v>129.70000000000002</v>
      </c>
      <c r="AB306" s="1">
        <f>SUM(Table14[[#This Row],[Fuel and light]])</f>
        <v>122</v>
      </c>
      <c r="AC306" s="1">
        <f>SUM(Table14[[#This Row],[Transport and communication]])</f>
        <v>111.5</v>
      </c>
      <c r="AD306" s="1">
        <f>SUM(Table14[[#This Row],[Housing]],Table14[[#This Row],[Household goods and services]])/2</f>
        <v>123</v>
      </c>
      <c r="AE306" s="1">
        <f>SUM(Table14[[#This Row],[Health]])</f>
        <v>121.4</v>
      </c>
      <c r="AF306" s="1">
        <f>SUM(Table14[[#This Row],[Recreation and amusement]],Table14[[#This Row],[Education]])/2</f>
        <v>122.9</v>
      </c>
      <c r="AG306" s="1">
        <f>SUM(Table14[[#This Row],[Miscellaneous]],Table14[[#This Row],[Personal care and effects]])/2</f>
        <v>116</v>
      </c>
    </row>
    <row r="307" spans="1:33" hidden="1" x14ac:dyDescent="0.3">
      <c r="A307" t="s">
        <v>33</v>
      </c>
      <c r="B307">
        <v>2015</v>
      </c>
      <c r="C307" t="s">
        <v>38</v>
      </c>
      <c r="D307">
        <v>126.3</v>
      </c>
      <c r="E307">
        <v>131.30000000000001</v>
      </c>
      <c r="F307">
        <v>123.3</v>
      </c>
      <c r="G307">
        <v>129.80000000000001</v>
      </c>
      <c r="H307">
        <v>118.3</v>
      </c>
      <c r="I307">
        <v>131.6</v>
      </c>
      <c r="J307">
        <v>145.5</v>
      </c>
      <c r="K307">
        <v>162.1</v>
      </c>
      <c r="L307">
        <v>95.4</v>
      </c>
      <c r="M307">
        <v>128.9</v>
      </c>
      <c r="N307">
        <v>123.3</v>
      </c>
      <c r="O307">
        <v>135.1</v>
      </c>
      <c r="P307">
        <v>131.4</v>
      </c>
      <c r="Q307">
        <f>AVERAGE(Q305:Q306)</f>
        <v>122.4</v>
      </c>
      <c r="R307">
        <v>125.7</v>
      </c>
      <c r="S307">
        <v>126</v>
      </c>
      <c r="T307">
        <v>123.1</v>
      </c>
      <c r="U307">
        <v>114</v>
      </c>
      <c r="V307">
        <v>121.6</v>
      </c>
      <c r="W307">
        <v>125.6</v>
      </c>
      <c r="X307">
        <v>114.1</v>
      </c>
      <c r="Y307">
        <v>119.8</v>
      </c>
      <c r="Z307">
        <v>127.9</v>
      </c>
      <c r="AA307" s="1">
        <f>SUM(Table14[[#This Row],[Cereals and products]:[Food and beverages]])/13</f>
        <v>129.40769230769232</v>
      </c>
      <c r="AB307" s="1">
        <f>SUM(Table14[[#This Row],[Fuel and light]])</f>
        <v>125.7</v>
      </c>
      <c r="AC307" s="1">
        <f>SUM(Table14[[#This Row],[Transport and communication]])</f>
        <v>114</v>
      </c>
      <c r="AD307" s="1">
        <f>SUM(Table14[[#This Row],[Housing]],Table14[[#This Row],[Household goods and services]])/2</f>
        <v>124.2</v>
      </c>
      <c r="AE307" s="1">
        <f>SUM(Table14[[#This Row],[Health]])</f>
        <v>123.1</v>
      </c>
      <c r="AF307" s="1">
        <f>SUM(Table14[[#This Row],[Recreation and amusement]],Table14[[#This Row],[Education]])/2</f>
        <v>123.6</v>
      </c>
      <c r="AG307" s="1">
        <f>SUM(Table14[[#This Row],[Miscellaneous]],Table14[[#This Row],[Personal care and effects]])/2</f>
        <v>116.94999999999999</v>
      </c>
    </row>
    <row r="308" spans="1:33" hidden="1" x14ac:dyDescent="0.3">
      <c r="A308" t="s">
        <v>33</v>
      </c>
      <c r="B308">
        <v>2014</v>
      </c>
      <c r="C308" t="s">
        <v>38</v>
      </c>
      <c r="D308">
        <v>122.4</v>
      </c>
      <c r="E308">
        <v>122.4</v>
      </c>
      <c r="F308">
        <v>121.8</v>
      </c>
      <c r="G308">
        <v>124.2</v>
      </c>
      <c r="H308">
        <v>110.2</v>
      </c>
      <c r="I308">
        <v>128.6</v>
      </c>
      <c r="J308">
        <v>140.30000000000001</v>
      </c>
      <c r="K308">
        <v>116.3</v>
      </c>
      <c r="L308">
        <v>102</v>
      </c>
      <c r="M308">
        <v>116</v>
      </c>
      <c r="N308">
        <v>117.3</v>
      </c>
      <c r="O308">
        <v>124.8</v>
      </c>
      <c r="P308">
        <v>123.3</v>
      </c>
      <c r="Q308">
        <f>AVERAGE(Q309:Q310)</f>
        <v>116.5</v>
      </c>
      <c r="R308">
        <v>117.4</v>
      </c>
      <c r="S308">
        <v>118.2</v>
      </c>
      <c r="T308">
        <v>116.2</v>
      </c>
      <c r="U308">
        <v>111.5</v>
      </c>
      <c r="V308">
        <v>113.3</v>
      </c>
      <c r="W308">
        <v>117.7</v>
      </c>
      <c r="X308">
        <v>109.4</v>
      </c>
      <c r="Y308">
        <v>114.2</v>
      </c>
      <c r="Z308">
        <v>120.3</v>
      </c>
      <c r="AA308" s="1">
        <f>SUM(Table14[[#This Row],[Cereals and products]:[Food and beverages]])/13</f>
        <v>120.73846153846154</v>
      </c>
      <c r="AB308" s="1">
        <f>SUM(Table14[[#This Row],[Fuel and light]])</f>
        <v>117.4</v>
      </c>
      <c r="AC308" s="1">
        <f>SUM(Table14[[#This Row],[Transport and communication]])</f>
        <v>111.5</v>
      </c>
      <c r="AD308" s="1">
        <f>SUM(Table14[[#This Row],[Housing]],Table14[[#This Row],[Household goods and services]])/2</f>
        <v>117.35</v>
      </c>
      <c r="AE308" s="1">
        <f>SUM(Table14[[#This Row],[Health]])</f>
        <v>116.2</v>
      </c>
      <c r="AF308" s="1">
        <f>SUM(Table14[[#This Row],[Recreation and amusement]],Table14[[#This Row],[Education]])/2</f>
        <v>115.5</v>
      </c>
      <c r="AG308" s="1">
        <f>SUM(Table14[[#This Row],[Miscellaneous]],Table14[[#This Row],[Personal care and effects]])/2</f>
        <v>111.80000000000001</v>
      </c>
    </row>
    <row r="309" spans="1:33" hidden="1" x14ac:dyDescent="0.3">
      <c r="A309" t="s">
        <v>35</v>
      </c>
      <c r="B309">
        <v>2014</v>
      </c>
      <c r="C309" t="s">
        <v>38</v>
      </c>
      <c r="D309">
        <v>122.9</v>
      </c>
      <c r="E309">
        <v>123.2</v>
      </c>
      <c r="F309">
        <v>123.5</v>
      </c>
      <c r="G309">
        <v>124.5</v>
      </c>
      <c r="H309">
        <v>107.6</v>
      </c>
      <c r="I309">
        <v>125.7</v>
      </c>
      <c r="J309">
        <v>140.5</v>
      </c>
      <c r="K309">
        <v>117.6</v>
      </c>
      <c r="L309">
        <v>100.6</v>
      </c>
      <c r="M309">
        <v>119.1</v>
      </c>
      <c r="N309">
        <v>116.8</v>
      </c>
      <c r="O309">
        <v>126.1</v>
      </c>
      <c r="P309">
        <v>123.6</v>
      </c>
      <c r="Q309">
        <v>116.5</v>
      </c>
      <c r="R309">
        <v>115.7</v>
      </c>
      <c r="S309">
        <v>117.5</v>
      </c>
      <c r="T309">
        <v>115.1</v>
      </c>
      <c r="U309">
        <v>110.1</v>
      </c>
      <c r="V309">
        <v>113.9</v>
      </c>
      <c r="W309">
        <v>119.5</v>
      </c>
      <c r="X309">
        <v>109.8</v>
      </c>
      <c r="Y309">
        <v>113.8</v>
      </c>
      <c r="Z309">
        <v>119.4</v>
      </c>
      <c r="AA309" s="1">
        <f>SUM(Table14[[#This Row],[Cereals and products]:[Food and beverages]])/13</f>
        <v>120.89999999999999</v>
      </c>
      <c r="AB309" s="1">
        <f>SUM(Table14[[#This Row],[Fuel and light]])</f>
        <v>115.7</v>
      </c>
      <c r="AC309" s="1">
        <f>SUM(Table14[[#This Row],[Transport and communication]])</f>
        <v>110.1</v>
      </c>
      <c r="AD309" s="1">
        <f>SUM(Table14[[#This Row],[Housing]],Table14[[#This Row],[Household goods and services]])/2</f>
        <v>117</v>
      </c>
      <c r="AE309" s="1">
        <f>SUM(Table14[[#This Row],[Health]])</f>
        <v>115.1</v>
      </c>
      <c r="AF309" s="1">
        <f>SUM(Table14[[#This Row],[Recreation and amusement]],Table14[[#This Row],[Education]])/2</f>
        <v>116.7</v>
      </c>
      <c r="AG309" s="1">
        <f>SUM(Table14[[#This Row],[Miscellaneous]],Table14[[#This Row],[Personal care and effects]])/2</f>
        <v>111.8</v>
      </c>
    </row>
    <row r="310" spans="1:33" hidden="1" x14ac:dyDescent="0.3">
      <c r="A310" t="s">
        <v>36</v>
      </c>
      <c r="B310">
        <v>2014</v>
      </c>
      <c r="C310" t="s">
        <v>38</v>
      </c>
      <c r="D310">
        <v>124</v>
      </c>
      <c r="E310">
        <v>124.7</v>
      </c>
      <c r="F310">
        <v>126.3</v>
      </c>
      <c r="G310">
        <v>124.9</v>
      </c>
      <c r="H310">
        <v>103</v>
      </c>
      <c r="I310">
        <v>122.3</v>
      </c>
      <c r="J310">
        <v>141</v>
      </c>
      <c r="K310">
        <v>120.1</v>
      </c>
      <c r="L310">
        <v>97.8</v>
      </c>
      <c r="M310">
        <v>125.4</v>
      </c>
      <c r="N310">
        <v>116.1</v>
      </c>
      <c r="O310">
        <v>127.6</v>
      </c>
      <c r="P310">
        <v>124</v>
      </c>
      <c r="Q310">
        <v>116.5</v>
      </c>
      <c r="R310">
        <v>113</v>
      </c>
      <c r="S310">
        <v>116.8</v>
      </c>
      <c r="T310">
        <v>113.2</v>
      </c>
      <c r="U310">
        <v>108.8</v>
      </c>
      <c r="V310">
        <v>114.3</v>
      </c>
      <c r="W310">
        <v>120.7</v>
      </c>
      <c r="X310">
        <v>110.4</v>
      </c>
      <c r="Y310">
        <v>113.4</v>
      </c>
      <c r="Z310">
        <v>118.4</v>
      </c>
      <c r="AA310" s="1">
        <f>SUM(Table14[[#This Row],[Cereals and products]:[Food and beverages]])/13</f>
        <v>121.32307692307691</v>
      </c>
      <c r="AB310" s="1">
        <f>SUM(Table14[[#This Row],[Fuel and light]])</f>
        <v>113</v>
      </c>
      <c r="AC310" s="1">
        <f>SUM(Table14[[#This Row],[Transport and communication]])</f>
        <v>108.8</v>
      </c>
      <c r="AD310" s="1">
        <f>SUM(Table14[[#This Row],[Housing]],Table14[[#This Row],[Household goods and services]])/2</f>
        <v>116.65</v>
      </c>
      <c r="AE310" s="1">
        <f>SUM(Table14[[#This Row],[Health]])</f>
        <v>113.2</v>
      </c>
      <c r="AF310" s="1">
        <f>SUM(Table14[[#This Row],[Recreation and amusement]],Table14[[#This Row],[Education]])/2</f>
        <v>117.5</v>
      </c>
      <c r="AG310" s="1">
        <f>SUM(Table14[[#This Row],[Miscellaneous]],Table14[[#This Row],[Personal care and effects]])/2</f>
        <v>111.9</v>
      </c>
    </row>
    <row r="311" spans="1:33" hidden="1" x14ac:dyDescent="0.3">
      <c r="A311" t="s">
        <v>33</v>
      </c>
      <c r="B311">
        <v>2013</v>
      </c>
      <c r="C311" t="s">
        <v>38</v>
      </c>
      <c r="D311">
        <v>118.4</v>
      </c>
      <c r="E311">
        <v>115.9</v>
      </c>
      <c r="F311">
        <v>120.4</v>
      </c>
      <c r="G311">
        <v>113.8</v>
      </c>
      <c r="H311">
        <v>109.5</v>
      </c>
      <c r="I311">
        <v>115.5</v>
      </c>
      <c r="J311">
        <v>145.69999999999999</v>
      </c>
      <c r="K311">
        <v>109.5</v>
      </c>
      <c r="L311">
        <v>102.9</v>
      </c>
      <c r="M311">
        <v>109.8</v>
      </c>
      <c r="N311">
        <v>112.1</v>
      </c>
      <c r="O311">
        <v>116.8</v>
      </c>
      <c r="P311">
        <v>118.7</v>
      </c>
      <c r="Q311">
        <f>AVERAGE(Q312:Q313)</f>
        <v>110.7</v>
      </c>
      <c r="R311">
        <v>112.8</v>
      </c>
      <c r="S311">
        <v>112.1</v>
      </c>
      <c r="T311">
        <v>110.1</v>
      </c>
      <c r="U311">
        <v>109.9</v>
      </c>
      <c r="V311">
        <v>109.2</v>
      </c>
      <c r="W311">
        <v>111.6</v>
      </c>
      <c r="X311">
        <v>108.1</v>
      </c>
      <c r="Y311">
        <v>110.1</v>
      </c>
      <c r="Z311">
        <v>115.5</v>
      </c>
      <c r="AA311" s="1">
        <f>SUM(Table14[[#This Row],[Cereals and products]:[Food and beverages]])/13</f>
        <v>116.07692307692308</v>
      </c>
      <c r="AB311" s="1">
        <f>SUM(Table14[[#This Row],[Fuel and light]])</f>
        <v>112.8</v>
      </c>
      <c r="AC311" s="1">
        <f>SUM(Table14[[#This Row],[Transport and communication]])</f>
        <v>109.9</v>
      </c>
      <c r="AD311" s="1">
        <f>SUM(Table14[[#This Row],[Housing]],Table14[[#This Row],[Household goods and services]])/2</f>
        <v>111.4</v>
      </c>
      <c r="AE311" s="1">
        <f>SUM(Table14[[#This Row],[Health]])</f>
        <v>110.1</v>
      </c>
      <c r="AF311" s="1">
        <f>SUM(Table14[[#This Row],[Recreation and amusement]],Table14[[#This Row],[Education]])/2</f>
        <v>110.4</v>
      </c>
      <c r="AG311" s="1">
        <f>SUM(Table14[[#This Row],[Miscellaneous]],Table14[[#This Row],[Personal care and effects]])/2</f>
        <v>109.1</v>
      </c>
    </row>
    <row r="312" spans="1:33" hidden="1" x14ac:dyDescent="0.3">
      <c r="A312" t="s">
        <v>35</v>
      </c>
      <c r="B312">
        <v>2013</v>
      </c>
      <c r="C312" t="s">
        <v>38</v>
      </c>
      <c r="D312">
        <v>119.1</v>
      </c>
      <c r="E312">
        <v>116.7</v>
      </c>
      <c r="F312">
        <v>123.5</v>
      </c>
      <c r="G312">
        <v>113.4</v>
      </c>
      <c r="H312">
        <v>107.3</v>
      </c>
      <c r="I312">
        <v>113.3</v>
      </c>
      <c r="J312">
        <v>145.4</v>
      </c>
      <c r="K312">
        <v>108.7</v>
      </c>
      <c r="L312">
        <v>101.5</v>
      </c>
      <c r="M312">
        <v>110.5</v>
      </c>
      <c r="N312">
        <v>112.1</v>
      </c>
      <c r="O312">
        <v>117.4</v>
      </c>
      <c r="P312">
        <v>118.4</v>
      </c>
      <c r="Q312">
        <v>110.7</v>
      </c>
      <c r="R312">
        <v>111.9</v>
      </c>
      <c r="S312">
        <v>111.7</v>
      </c>
      <c r="T312">
        <v>109.7</v>
      </c>
      <c r="U312">
        <v>109.8</v>
      </c>
      <c r="V312">
        <v>109</v>
      </c>
      <c r="W312">
        <v>111.5</v>
      </c>
      <c r="X312">
        <v>107.9</v>
      </c>
      <c r="Y312">
        <v>110</v>
      </c>
      <c r="Z312">
        <v>114.5</v>
      </c>
      <c r="AA312" s="1">
        <f>SUM(Table14[[#This Row],[Cereals and products]:[Food and beverages]])/13</f>
        <v>115.94615384615386</v>
      </c>
      <c r="AB312" s="1">
        <f>SUM(Table14[[#This Row],[Fuel and light]])</f>
        <v>111.9</v>
      </c>
      <c r="AC312" s="1">
        <f>SUM(Table14[[#This Row],[Transport and communication]])</f>
        <v>109.8</v>
      </c>
      <c r="AD312" s="1">
        <f>SUM(Table14[[#This Row],[Housing]],Table14[[#This Row],[Household goods and services]])/2</f>
        <v>111.2</v>
      </c>
      <c r="AE312" s="1">
        <f>SUM(Table14[[#This Row],[Health]])</f>
        <v>109.7</v>
      </c>
      <c r="AF312" s="1">
        <f>SUM(Table14[[#This Row],[Recreation and amusement]],Table14[[#This Row],[Education]])/2</f>
        <v>110.25</v>
      </c>
      <c r="AG312" s="1">
        <f>SUM(Table14[[#This Row],[Miscellaneous]],Table14[[#This Row],[Personal care and effects]])/2</f>
        <v>108.95</v>
      </c>
    </row>
    <row r="313" spans="1:33" hidden="1" x14ac:dyDescent="0.3">
      <c r="A313" t="s">
        <v>36</v>
      </c>
      <c r="B313">
        <v>2013</v>
      </c>
      <c r="C313" t="s">
        <v>38</v>
      </c>
      <c r="D313">
        <v>120.5</v>
      </c>
      <c r="E313">
        <v>118.1</v>
      </c>
      <c r="F313">
        <v>128.5</v>
      </c>
      <c r="G313">
        <v>112.8</v>
      </c>
      <c r="H313">
        <v>103.4</v>
      </c>
      <c r="I313">
        <v>110.7</v>
      </c>
      <c r="J313">
        <v>144.80000000000001</v>
      </c>
      <c r="K313">
        <v>107.1</v>
      </c>
      <c r="L313">
        <v>98.6</v>
      </c>
      <c r="M313">
        <v>111.9</v>
      </c>
      <c r="N313">
        <v>112.1</v>
      </c>
      <c r="O313">
        <v>118.1</v>
      </c>
      <c r="P313">
        <v>117.8</v>
      </c>
      <c r="Q313">
        <v>110.7</v>
      </c>
      <c r="R313">
        <v>110.4</v>
      </c>
      <c r="S313">
        <v>111.3</v>
      </c>
      <c r="T313">
        <v>109</v>
      </c>
      <c r="U313">
        <v>109.7</v>
      </c>
      <c r="V313">
        <v>108.9</v>
      </c>
      <c r="W313">
        <v>111.4</v>
      </c>
      <c r="X313">
        <v>107.7</v>
      </c>
      <c r="Y313">
        <v>109.8</v>
      </c>
      <c r="Z313">
        <v>113.3</v>
      </c>
      <c r="AA313" s="1">
        <f>SUM(Table14[[#This Row],[Cereals and products]:[Food and beverages]])/13</f>
        <v>115.72307692307693</v>
      </c>
      <c r="AB313" s="1">
        <f>SUM(Table14[[#This Row],[Fuel and light]])</f>
        <v>110.4</v>
      </c>
      <c r="AC313" s="1">
        <f>SUM(Table14[[#This Row],[Transport and communication]])</f>
        <v>109.7</v>
      </c>
      <c r="AD313" s="1">
        <f>SUM(Table14[[#This Row],[Housing]],Table14[[#This Row],[Household goods and services]])/2</f>
        <v>111</v>
      </c>
      <c r="AE313" s="1">
        <f>SUM(Table14[[#This Row],[Health]])</f>
        <v>109</v>
      </c>
      <c r="AF313" s="1">
        <f>SUM(Table14[[#This Row],[Recreation and amusement]],Table14[[#This Row],[Education]])/2</f>
        <v>110.15</v>
      </c>
      <c r="AG313" s="1">
        <f>SUM(Table14[[#This Row],[Miscellaneous]],Table14[[#This Row],[Personal care and effects]])/2</f>
        <v>108.75</v>
      </c>
    </row>
    <row r="314" spans="1:33" x14ac:dyDescent="0.3">
      <c r="A314" t="s">
        <v>33</v>
      </c>
      <c r="B314">
        <v>2022</v>
      </c>
      <c r="C314" t="s">
        <v>37</v>
      </c>
      <c r="D314">
        <v>159.5</v>
      </c>
      <c r="E314">
        <v>204.1</v>
      </c>
      <c r="F314">
        <v>168.3</v>
      </c>
      <c r="G314">
        <v>167.9</v>
      </c>
      <c r="H314">
        <v>198.1</v>
      </c>
      <c r="I314">
        <v>169.2</v>
      </c>
      <c r="J314">
        <v>173.1</v>
      </c>
      <c r="K314">
        <v>167.1</v>
      </c>
      <c r="L314">
        <v>120.2</v>
      </c>
      <c r="M314">
        <v>195.6</v>
      </c>
      <c r="N314">
        <v>174.8</v>
      </c>
      <c r="O314">
        <v>184</v>
      </c>
      <c r="P314">
        <v>173.9</v>
      </c>
      <c r="Q314">
        <f>AVERAGE(Q315:Q316)</f>
        <v>169</v>
      </c>
      <c r="R314">
        <v>179.1</v>
      </c>
      <c r="S314">
        <v>172.3</v>
      </c>
      <c r="T314">
        <v>179.4</v>
      </c>
      <c r="U314">
        <v>166.6</v>
      </c>
      <c r="V314">
        <v>169.3</v>
      </c>
      <c r="W314">
        <v>175.7</v>
      </c>
      <c r="X314">
        <v>171.1</v>
      </c>
      <c r="Y314">
        <v>172.6</v>
      </c>
      <c r="Z314">
        <v>175.3</v>
      </c>
      <c r="AA314" s="1">
        <f>SUM(Table14[[#This Row],[Cereals and products]:[Food and beverages]])/13</f>
        <v>173.5230769230769</v>
      </c>
      <c r="AB314" s="1">
        <f>SUM(Table14[[#This Row],[Fuel and light]])</f>
        <v>179.1</v>
      </c>
      <c r="AC314" s="1">
        <f>SUM(Table14[[#This Row],[Transport and communication]])</f>
        <v>166.6</v>
      </c>
      <c r="AD314" s="1">
        <f>SUM(Table14[[#This Row],[Housing]],Table14[[#This Row],[Household goods and services]])/2</f>
        <v>170.65</v>
      </c>
      <c r="AE314" s="1">
        <f>SUM(Table14[[#This Row],[Health]])</f>
        <v>179.4</v>
      </c>
      <c r="AF314" s="1">
        <f>SUM(Table14[[#This Row],[Recreation and amusement]],Table14[[#This Row],[Education]])/2</f>
        <v>172.5</v>
      </c>
      <c r="AG314" s="1">
        <f>SUM(Table14[[#This Row],[Miscellaneous]],Table14[[#This Row],[Personal care and effects]])/2</f>
        <v>171.85</v>
      </c>
    </row>
    <row r="315" spans="1:33" hidden="1" x14ac:dyDescent="0.3">
      <c r="A315" t="s">
        <v>35</v>
      </c>
      <c r="B315">
        <v>2022</v>
      </c>
      <c r="C315" t="s">
        <v>37</v>
      </c>
      <c r="D315">
        <v>160.30000000000001</v>
      </c>
      <c r="E315">
        <v>206.5</v>
      </c>
      <c r="F315">
        <v>169.2</v>
      </c>
      <c r="G315">
        <v>168.1</v>
      </c>
      <c r="H315">
        <v>192.4</v>
      </c>
      <c r="I315">
        <v>172.9</v>
      </c>
      <c r="J315">
        <v>186.7</v>
      </c>
      <c r="K315">
        <v>167.2</v>
      </c>
      <c r="L315">
        <v>120.9</v>
      </c>
      <c r="M315">
        <v>193.6</v>
      </c>
      <c r="N315">
        <v>168.8</v>
      </c>
      <c r="O315">
        <v>186.3</v>
      </c>
      <c r="P315">
        <v>176.3</v>
      </c>
      <c r="Q315">
        <v>169</v>
      </c>
      <c r="R315">
        <v>178.8</v>
      </c>
      <c r="S315">
        <v>168.5</v>
      </c>
      <c r="T315">
        <v>176.8</v>
      </c>
      <c r="U315">
        <v>161.9</v>
      </c>
      <c r="V315">
        <v>166.9</v>
      </c>
      <c r="W315">
        <v>172.3</v>
      </c>
      <c r="X315">
        <v>171.2</v>
      </c>
      <c r="Y315">
        <v>169.1</v>
      </c>
      <c r="Z315">
        <v>174.3</v>
      </c>
      <c r="AA315" s="1">
        <f>SUM(Table14[[#This Row],[Cereals and products]:[Food and beverages]])/13</f>
        <v>174.55384615384617</v>
      </c>
      <c r="AB315" s="1">
        <f>SUM(Table14[[#This Row],[Fuel and light]])</f>
        <v>178.8</v>
      </c>
      <c r="AC315" s="1">
        <f>SUM(Table14[[#This Row],[Transport and communication]])</f>
        <v>161.9</v>
      </c>
      <c r="AD315" s="1">
        <f>SUM(Table14[[#This Row],[Housing]],Table14[[#This Row],[Household goods and services]])/2</f>
        <v>168.75</v>
      </c>
      <c r="AE315" s="1">
        <f>SUM(Table14[[#This Row],[Health]])</f>
        <v>176.8</v>
      </c>
      <c r="AF315" s="1">
        <f>SUM(Table14[[#This Row],[Recreation and amusement]],Table14[[#This Row],[Education]])/2</f>
        <v>169.60000000000002</v>
      </c>
      <c r="AG315" s="1">
        <f>SUM(Table14[[#This Row],[Miscellaneous]],Table14[[#This Row],[Personal care and effects]])/2</f>
        <v>170.14999999999998</v>
      </c>
    </row>
    <row r="316" spans="1:33" hidden="1" x14ac:dyDescent="0.3">
      <c r="A316" t="s">
        <v>36</v>
      </c>
      <c r="B316">
        <v>2022</v>
      </c>
      <c r="C316" t="s">
        <v>37</v>
      </c>
      <c r="D316">
        <v>162.1</v>
      </c>
      <c r="E316">
        <v>210.9</v>
      </c>
      <c r="F316">
        <v>170.6</v>
      </c>
      <c r="G316">
        <v>168.4</v>
      </c>
      <c r="H316">
        <v>182.5</v>
      </c>
      <c r="I316">
        <v>177.1</v>
      </c>
      <c r="J316">
        <v>213.1</v>
      </c>
      <c r="K316">
        <v>167.3</v>
      </c>
      <c r="L316">
        <v>122.2</v>
      </c>
      <c r="M316">
        <v>189.7</v>
      </c>
      <c r="N316">
        <v>160.5</v>
      </c>
      <c r="O316">
        <v>188.9</v>
      </c>
      <c r="P316">
        <v>180.4</v>
      </c>
      <c r="Q316">
        <v>169</v>
      </c>
      <c r="R316">
        <v>178.4</v>
      </c>
      <c r="S316">
        <v>164.2</v>
      </c>
      <c r="T316">
        <v>172.6</v>
      </c>
      <c r="U316">
        <v>157.69999999999999</v>
      </c>
      <c r="V316">
        <v>165.1</v>
      </c>
      <c r="W316">
        <v>169.9</v>
      </c>
      <c r="X316">
        <v>171.4</v>
      </c>
      <c r="Y316">
        <v>165.4</v>
      </c>
      <c r="Z316">
        <v>173.1</v>
      </c>
      <c r="AA316" s="1">
        <f>SUM(Table14[[#This Row],[Cereals and products]:[Food and beverages]])/13</f>
        <v>176.43846153846152</v>
      </c>
      <c r="AB316" s="1">
        <f>SUM(Table14[[#This Row],[Fuel and light]])</f>
        <v>178.4</v>
      </c>
      <c r="AC316" s="1">
        <f>SUM(Table14[[#This Row],[Transport and communication]])</f>
        <v>157.69999999999999</v>
      </c>
      <c r="AD316" s="1">
        <f>SUM(Table14[[#This Row],[Housing]],Table14[[#This Row],[Household goods and services]])/2</f>
        <v>166.6</v>
      </c>
      <c r="AE316" s="1">
        <f>SUM(Table14[[#This Row],[Health]])</f>
        <v>172.6</v>
      </c>
      <c r="AF316" s="1">
        <f>SUM(Table14[[#This Row],[Recreation and amusement]],Table14[[#This Row],[Education]])/2</f>
        <v>167.5</v>
      </c>
      <c r="AG316" s="1">
        <f>SUM(Table14[[#This Row],[Miscellaneous]],Table14[[#This Row],[Personal care and effects]])/2</f>
        <v>168.4</v>
      </c>
    </row>
    <row r="317" spans="1:33" hidden="1" x14ac:dyDescent="0.3">
      <c r="A317" t="s">
        <v>33</v>
      </c>
      <c r="B317">
        <v>2021</v>
      </c>
      <c r="C317" t="s">
        <v>46</v>
      </c>
      <c r="D317">
        <v>142.5</v>
      </c>
      <c r="E317">
        <v>189.4</v>
      </c>
      <c r="F317">
        <v>163.19999999999999</v>
      </c>
      <c r="G317">
        <v>154.5</v>
      </c>
      <c r="H317">
        <v>168.2</v>
      </c>
      <c r="I317">
        <v>150.5</v>
      </c>
      <c r="J317">
        <v>141</v>
      </c>
      <c r="K317">
        <v>159.19999999999999</v>
      </c>
      <c r="L317">
        <v>111.7</v>
      </c>
      <c r="M317">
        <v>164</v>
      </c>
      <c r="N317">
        <v>160.6</v>
      </c>
      <c r="O317">
        <v>166.4</v>
      </c>
      <c r="P317">
        <v>154.5</v>
      </c>
      <c r="Q317">
        <f>AVERAGE(Q318:Q319)</f>
        <v>159.9</v>
      </c>
      <c r="R317">
        <v>156</v>
      </c>
      <c r="S317">
        <v>154.80000000000001</v>
      </c>
      <c r="T317">
        <v>164.6</v>
      </c>
      <c r="U317">
        <v>151.30000000000001</v>
      </c>
      <c r="V317">
        <v>157.80000000000001</v>
      </c>
      <c r="W317">
        <v>163.80000000000001</v>
      </c>
      <c r="X317">
        <v>153.1</v>
      </c>
      <c r="Y317">
        <v>157.30000000000001</v>
      </c>
      <c r="Z317">
        <v>156.69999999999999</v>
      </c>
      <c r="AA317" s="1">
        <f>SUM(Table14[[#This Row],[Cereals and products]:[Food and beverages]])/13</f>
        <v>155.82307692307694</v>
      </c>
      <c r="AB317" s="1">
        <f>SUM(Table14[[#This Row],[Fuel and light]])</f>
        <v>156</v>
      </c>
      <c r="AC317" s="1">
        <f>SUM(Table14[[#This Row],[Transport and communication]])</f>
        <v>151.30000000000001</v>
      </c>
      <c r="AD317" s="1">
        <f>SUM(Table14[[#This Row],[Housing]],Table14[[#This Row],[Household goods and services]])/2</f>
        <v>157.35000000000002</v>
      </c>
      <c r="AE317" s="1">
        <f>SUM(Table14[[#This Row],[Health]])</f>
        <v>164.6</v>
      </c>
      <c r="AF317" s="1">
        <f>SUM(Table14[[#This Row],[Recreation and amusement]],Table14[[#This Row],[Education]])/2</f>
        <v>160.80000000000001</v>
      </c>
      <c r="AG317" s="1">
        <f>SUM(Table14[[#This Row],[Miscellaneous]],Table14[[#This Row],[Personal care and effects]])/2</f>
        <v>155.19999999999999</v>
      </c>
    </row>
    <row r="318" spans="1:33" hidden="1" x14ac:dyDescent="0.3">
      <c r="A318" t="s">
        <v>35</v>
      </c>
      <c r="B318">
        <v>2021</v>
      </c>
      <c r="C318" t="s">
        <v>46</v>
      </c>
      <c r="D318">
        <v>144.1</v>
      </c>
      <c r="E318">
        <v>192.2</v>
      </c>
      <c r="F318">
        <v>163.80000000000001</v>
      </c>
      <c r="G318">
        <v>154.9</v>
      </c>
      <c r="H318">
        <v>163.9</v>
      </c>
      <c r="I318">
        <v>153.69999999999999</v>
      </c>
      <c r="J318">
        <v>149.5</v>
      </c>
      <c r="K318">
        <v>159.80000000000001</v>
      </c>
      <c r="L318">
        <v>112.6</v>
      </c>
      <c r="M318">
        <v>163.5</v>
      </c>
      <c r="N318">
        <v>156.5</v>
      </c>
      <c r="O318">
        <v>168.2</v>
      </c>
      <c r="P318">
        <v>156.69999999999999</v>
      </c>
      <c r="Q318">
        <v>159.9</v>
      </c>
      <c r="R318">
        <v>155.5</v>
      </c>
      <c r="S318">
        <v>151.19999999999999</v>
      </c>
      <c r="T318">
        <v>161.69999999999999</v>
      </c>
      <c r="U318">
        <v>146.19999999999999</v>
      </c>
      <c r="V318">
        <v>152.6</v>
      </c>
      <c r="W318">
        <v>160.19999999999999</v>
      </c>
      <c r="X318">
        <v>153.80000000000001</v>
      </c>
      <c r="Y318">
        <v>153.80000000000001</v>
      </c>
      <c r="Z318">
        <v>156.80000000000001</v>
      </c>
      <c r="AA318" s="1">
        <f>SUM(Table14[[#This Row],[Cereals and products]:[Food and beverages]])/13</f>
        <v>156.87692307692308</v>
      </c>
      <c r="AB318" s="1">
        <f>SUM(Table14[[#This Row],[Fuel and light]])</f>
        <v>155.5</v>
      </c>
      <c r="AC318" s="1">
        <f>SUM(Table14[[#This Row],[Transport and communication]])</f>
        <v>146.19999999999999</v>
      </c>
      <c r="AD318" s="1">
        <f>SUM(Table14[[#This Row],[Housing]],Table14[[#This Row],[Household goods and services]])/2</f>
        <v>155.55000000000001</v>
      </c>
      <c r="AE318" s="1">
        <f>SUM(Table14[[#This Row],[Health]])</f>
        <v>161.69999999999999</v>
      </c>
      <c r="AF318" s="1">
        <f>SUM(Table14[[#This Row],[Recreation and amusement]],Table14[[#This Row],[Education]])/2</f>
        <v>156.39999999999998</v>
      </c>
      <c r="AG318" s="1">
        <f>SUM(Table14[[#This Row],[Miscellaneous]],Table14[[#This Row],[Personal care and effects]])/2</f>
        <v>153.80000000000001</v>
      </c>
    </row>
    <row r="319" spans="1:33" hidden="1" x14ac:dyDescent="0.3">
      <c r="A319" t="s">
        <v>36</v>
      </c>
      <c r="B319">
        <v>2021</v>
      </c>
      <c r="C319" t="s">
        <v>46</v>
      </c>
      <c r="D319">
        <v>147.5</v>
      </c>
      <c r="E319">
        <v>197.5</v>
      </c>
      <c r="F319">
        <v>164.7</v>
      </c>
      <c r="G319">
        <v>155.6</v>
      </c>
      <c r="H319">
        <v>156.4</v>
      </c>
      <c r="I319">
        <v>157.30000000000001</v>
      </c>
      <c r="J319">
        <v>166.1</v>
      </c>
      <c r="K319">
        <v>161.1</v>
      </c>
      <c r="L319">
        <v>114.3</v>
      </c>
      <c r="M319">
        <v>162.6</v>
      </c>
      <c r="N319">
        <v>150.69999999999999</v>
      </c>
      <c r="O319">
        <v>170.3</v>
      </c>
      <c r="P319">
        <v>160.4</v>
      </c>
      <c r="Q319">
        <v>159.9</v>
      </c>
      <c r="R319">
        <v>154.80000000000001</v>
      </c>
      <c r="S319">
        <v>147.19999999999999</v>
      </c>
      <c r="T319">
        <v>156.9</v>
      </c>
      <c r="U319">
        <v>141.69999999999999</v>
      </c>
      <c r="V319">
        <v>148.6</v>
      </c>
      <c r="W319">
        <v>157.6</v>
      </c>
      <c r="X319">
        <v>154.9</v>
      </c>
      <c r="Y319">
        <v>150</v>
      </c>
      <c r="Z319">
        <v>156.9</v>
      </c>
      <c r="AA319" s="1">
        <f>SUM(Table14[[#This Row],[Cereals and products]:[Food and beverages]])/13</f>
        <v>158.80769230769226</v>
      </c>
      <c r="AB319" s="1">
        <f>SUM(Table14[[#This Row],[Fuel and light]])</f>
        <v>154.80000000000001</v>
      </c>
      <c r="AC319" s="1">
        <f>SUM(Table14[[#This Row],[Transport and communication]])</f>
        <v>141.69999999999999</v>
      </c>
      <c r="AD319" s="1">
        <f>SUM(Table14[[#This Row],[Housing]],Table14[[#This Row],[Household goods and services]])/2</f>
        <v>153.55000000000001</v>
      </c>
      <c r="AE319" s="1">
        <f>SUM(Table14[[#This Row],[Health]])</f>
        <v>156.9</v>
      </c>
      <c r="AF319" s="1">
        <f>SUM(Table14[[#This Row],[Recreation and amusement]],Table14[[#This Row],[Education]])/2</f>
        <v>153.1</v>
      </c>
      <c r="AG319" s="1">
        <f>SUM(Table14[[#This Row],[Miscellaneous]],Table14[[#This Row],[Personal care and effects]])/2</f>
        <v>152.44999999999999</v>
      </c>
    </row>
    <row r="320" spans="1:33" hidden="1" x14ac:dyDescent="0.3">
      <c r="A320" t="s">
        <v>33</v>
      </c>
      <c r="B320">
        <v>2021</v>
      </c>
      <c r="C320" t="s">
        <v>47</v>
      </c>
      <c r="D320">
        <v>145.1</v>
      </c>
      <c r="E320">
        <v>198.5</v>
      </c>
      <c r="F320">
        <v>168.6</v>
      </c>
      <c r="G320">
        <v>155.80000000000001</v>
      </c>
      <c r="H320">
        <v>184.4</v>
      </c>
      <c r="I320">
        <v>162.30000000000001</v>
      </c>
      <c r="J320">
        <v>138.4</v>
      </c>
      <c r="K320">
        <v>165.1</v>
      </c>
      <c r="L320">
        <v>114.3</v>
      </c>
      <c r="M320">
        <v>169.7</v>
      </c>
      <c r="N320">
        <v>164.6</v>
      </c>
      <c r="O320">
        <v>169.8</v>
      </c>
      <c r="P320">
        <v>158.69999999999999</v>
      </c>
      <c r="Q320">
        <v>150.1</v>
      </c>
      <c r="R320">
        <v>161.69999999999999</v>
      </c>
      <c r="S320">
        <v>158.80000000000001</v>
      </c>
      <c r="T320">
        <v>169.1</v>
      </c>
      <c r="U320">
        <v>153.19999999999999</v>
      </c>
      <c r="V320">
        <v>160</v>
      </c>
      <c r="W320">
        <v>167.6</v>
      </c>
      <c r="X320">
        <v>159.30000000000001</v>
      </c>
      <c r="Y320">
        <v>161.1</v>
      </c>
      <c r="Z320">
        <v>161.1</v>
      </c>
      <c r="AA320" s="1">
        <f>SUM(Table14[[#This Row],[Cereals and products]:[Food and beverages]])/13</f>
        <v>161.17692307692306</v>
      </c>
      <c r="AB320" s="1">
        <f>SUM(Table14[[#This Row],[Fuel and light]])</f>
        <v>161.69999999999999</v>
      </c>
      <c r="AC320" s="1">
        <f>SUM(Table14[[#This Row],[Transport and communication]])</f>
        <v>153.19999999999999</v>
      </c>
      <c r="AD320" s="1">
        <f>SUM(Table14[[#This Row],[Housing]],Table14[[#This Row],[Household goods and services]])/2</f>
        <v>154.44999999999999</v>
      </c>
      <c r="AE320" s="1">
        <f>SUM(Table14[[#This Row],[Health]])</f>
        <v>169.1</v>
      </c>
      <c r="AF320" s="1">
        <f>SUM(Table14[[#This Row],[Recreation and amusement]],Table14[[#This Row],[Education]])/2</f>
        <v>163.80000000000001</v>
      </c>
      <c r="AG320" s="1">
        <f>SUM(Table14[[#This Row],[Miscellaneous]],Table14[[#This Row],[Personal care and effects]])/2</f>
        <v>160.19999999999999</v>
      </c>
    </row>
    <row r="321" spans="1:33" hidden="1" x14ac:dyDescent="0.3">
      <c r="A321" t="s">
        <v>35</v>
      </c>
      <c r="B321">
        <v>2021</v>
      </c>
      <c r="C321" t="s">
        <v>47</v>
      </c>
      <c r="D321">
        <v>146.30000000000001</v>
      </c>
      <c r="E321">
        <v>200.5</v>
      </c>
      <c r="F321">
        <v>170.3</v>
      </c>
      <c r="G321">
        <v>156.1</v>
      </c>
      <c r="H321">
        <v>178.7</v>
      </c>
      <c r="I321">
        <v>167.1</v>
      </c>
      <c r="J321">
        <v>147.9</v>
      </c>
      <c r="K321">
        <v>165.4</v>
      </c>
      <c r="L321">
        <v>114.8</v>
      </c>
      <c r="M321">
        <v>168.2</v>
      </c>
      <c r="N321">
        <v>159.30000000000001</v>
      </c>
      <c r="O321">
        <v>170.4</v>
      </c>
      <c r="P321">
        <v>160.69999999999999</v>
      </c>
      <c r="Q321">
        <v>161.6</v>
      </c>
      <c r="R321">
        <v>159.4</v>
      </c>
      <c r="S321">
        <v>154.69999999999999</v>
      </c>
      <c r="T321">
        <v>165.8</v>
      </c>
      <c r="U321">
        <v>148.9</v>
      </c>
      <c r="V321">
        <v>155.80000000000001</v>
      </c>
      <c r="W321">
        <v>161.19999999999999</v>
      </c>
      <c r="X321">
        <v>158.6</v>
      </c>
      <c r="Y321">
        <v>156.80000000000001</v>
      </c>
      <c r="Z321">
        <v>160.4</v>
      </c>
      <c r="AA321" s="1">
        <f>SUM(Table14[[#This Row],[Cereals and products]:[Food and beverages]])/13</f>
        <v>161.9769230769231</v>
      </c>
      <c r="AB321" s="1">
        <f>SUM(Table14[[#This Row],[Fuel and light]])</f>
        <v>159.4</v>
      </c>
      <c r="AC321" s="1">
        <f>SUM(Table14[[#This Row],[Transport and communication]])</f>
        <v>148.9</v>
      </c>
      <c r="AD321" s="1">
        <f>SUM(Table14[[#This Row],[Housing]],Table14[[#This Row],[Household goods and services]])/2</f>
        <v>158.14999999999998</v>
      </c>
      <c r="AE321" s="1">
        <f>SUM(Table14[[#This Row],[Health]])</f>
        <v>165.8</v>
      </c>
      <c r="AF321" s="1">
        <f>SUM(Table14[[#This Row],[Recreation and amusement]],Table14[[#This Row],[Education]])/2</f>
        <v>158.5</v>
      </c>
      <c r="AG321" s="1">
        <f>SUM(Table14[[#This Row],[Miscellaneous]],Table14[[#This Row],[Personal care and effects]])/2</f>
        <v>157.69999999999999</v>
      </c>
    </row>
    <row r="322" spans="1:33" hidden="1" x14ac:dyDescent="0.3">
      <c r="A322" t="s">
        <v>36</v>
      </c>
      <c r="B322">
        <v>2021</v>
      </c>
      <c r="C322" t="s">
        <v>47</v>
      </c>
      <c r="D322">
        <v>148.80000000000001</v>
      </c>
      <c r="E322">
        <v>204.3</v>
      </c>
      <c r="F322">
        <v>173</v>
      </c>
      <c r="G322">
        <v>156.5</v>
      </c>
      <c r="H322">
        <v>168.8</v>
      </c>
      <c r="I322">
        <v>172.5</v>
      </c>
      <c r="J322">
        <v>166.5</v>
      </c>
      <c r="K322">
        <v>165.9</v>
      </c>
      <c r="L322">
        <v>115.9</v>
      </c>
      <c r="M322">
        <v>165.2</v>
      </c>
      <c r="N322">
        <v>152</v>
      </c>
      <c r="O322">
        <v>171.1</v>
      </c>
      <c r="P322">
        <v>164.2</v>
      </c>
      <c r="Q322">
        <v>161.6</v>
      </c>
      <c r="R322">
        <v>155.5</v>
      </c>
      <c r="S322">
        <v>150.1</v>
      </c>
      <c r="T322">
        <v>160.4</v>
      </c>
      <c r="U322">
        <v>145</v>
      </c>
      <c r="V322">
        <v>152.6</v>
      </c>
      <c r="W322">
        <v>156.6</v>
      </c>
      <c r="X322">
        <v>157.5</v>
      </c>
      <c r="Y322">
        <v>152.30000000000001</v>
      </c>
      <c r="Z322">
        <v>159.5</v>
      </c>
      <c r="AA322" s="1">
        <f>SUM(Table14[[#This Row],[Cereals and products]:[Food and beverages]])/13</f>
        <v>163.43846153846155</v>
      </c>
      <c r="AB322" s="1">
        <f>SUM(Table14[[#This Row],[Fuel and light]])</f>
        <v>155.5</v>
      </c>
      <c r="AC322" s="1">
        <f>SUM(Table14[[#This Row],[Transport and communication]])</f>
        <v>145</v>
      </c>
      <c r="AD322" s="1">
        <f>SUM(Table14[[#This Row],[Housing]],Table14[[#This Row],[Household goods and services]])/2</f>
        <v>155.85</v>
      </c>
      <c r="AE322" s="1">
        <f>SUM(Table14[[#This Row],[Health]])</f>
        <v>160.4</v>
      </c>
      <c r="AF322" s="1">
        <f>SUM(Table14[[#This Row],[Recreation and amusement]],Table14[[#This Row],[Education]])/2</f>
        <v>154.6</v>
      </c>
      <c r="AG322" s="1">
        <f>SUM(Table14[[#This Row],[Miscellaneous]],Table14[[#This Row],[Personal care and effects]])/2</f>
        <v>154.9</v>
      </c>
    </row>
    <row r="323" spans="1:33" hidden="1" x14ac:dyDescent="0.3">
      <c r="A323" t="s">
        <v>33</v>
      </c>
      <c r="B323">
        <v>2021</v>
      </c>
      <c r="C323" t="s">
        <v>45</v>
      </c>
      <c r="D323">
        <v>146.9</v>
      </c>
      <c r="E323">
        <v>199.8</v>
      </c>
      <c r="F323">
        <v>171.5</v>
      </c>
      <c r="G323">
        <v>159.1</v>
      </c>
      <c r="H323">
        <v>198.4</v>
      </c>
      <c r="I323">
        <v>153.19999999999999</v>
      </c>
      <c r="J323">
        <v>183.9</v>
      </c>
      <c r="K323">
        <v>165.4</v>
      </c>
      <c r="L323">
        <v>122.1</v>
      </c>
      <c r="M323">
        <v>170.8</v>
      </c>
      <c r="N323">
        <v>169.1</v>
      </c>
      <c r="O323">
        <v>174.3</v>
      </c>
      <c r="P323">
        <v>167.5</v>
      </c>
      <c r="Q323">
        <v>158</v>
      </c>
      <c r="R323">
        <v>165.3</v>
      </c>
      <c r="S323">
        <v>162.9</v>
      </c>
      <c r="T323">
        <v>173.4</v>
      </c>
      <c r="U323">
        <v>158.9</v>
      </c>
      <c r="V323">
        <v>163.80000000000001</v>
      </c>
      <c r="W323">
        <v>169.3</v>
      </c>
      <c r="X323">
        <v>162.4</v>
      </c>
      <c r="Y323">
        <v>165.2</v>
      </c>
      <c r="Z323">
        <v>167.6</v>
      </c>
      <c r="AA323" s="1">
        <f>SUM(Table14[[#This Row],[Cereals and products]:[Food and beverages]])/13</f>
        <v>167.84615384615384</v>
      </c>
      <c r="AB323" s="1">
        <f>SUM(Table14[[#This Row],[Fuel and light]])</f>
        <v>165.3</v>
      </c>
      <c r="AC323" s="1">
        <f>SUM(Table14[[#This Row],[Transport and communication]])</f>
        <v>158.9</v>
      </c>
      <c r="AD323" s="1">
        <f>SUM(Table14[[#This Row],[Housing]],Table14[[#This Row],[Household goods and services]])/2</f>
        <v>160.44999999999999</v>
      </c>
      <c r="AE323" s="1">
        <f>SUM(Table14[[#This Row],[Health]])</f>
        <v>173.4</v>
      </c>
      <c r="AF323" s="1">
        <f>SUM(Table14[[#This Row],[Recreation and amusement]],Table14[[#This Row],[Education]])/2</f>
        <v>166.55</v>
      </c>
      <c r="AG323" s="1">
        <f>SUM(Table14[[#This Row],[Miscellaneous]],Table14[[#This Row],[Personal care and effects]])/2</f>
        <v>163.80000000000001</v>
      </c>
    </row>
    <row r="324" spans="1:33" hidden="1" x14ac:dyDescent="0.3">
      <c r="A324" t="s">
        <v>35</v>
      </c>
      <c r="B324">
        <v>2021</v>
      </c>
      <c r="C324" t="s">
        <v>45</v>
      </c>
      <c r="D324">
        <v>148.19999999999999</v>
      </c>
      <c r="E324">
        <v>201.6</v>
      </c>
      <c r="F324">
        <v>173</v>
      </c>
      <c r="G324">
        <v>159.30000000000001</v>
      </c>
      <c r="H324">
        <v>190.1</v>
      </c>
      <c r="I324">
        <v>156.5</v>
      </c>
      <c r="J324">
        <v>199.2</v>
      </c>
      <c r="K324">
        <v>165.3</v>
      </c>
      <c r="L324">
        <v>122.4</v>
      </c>
      <c r="M324">
        <v>169.6</v>
      </c>
      <c r="N324">
        <v>163.69999999999999</v>
      </c>
      <c r="O324">
        <v>175.5</v>
      </c>
      <c r="P324">
        <v>169.7</v>
      </c>
      <c r="Q324">
        <v>164.2</v>
      </c>
      <c r="R324">
        <v>163.9</v>
      </c>
      <c r="S324">
        <v>159.30000000000001</v>
      </c>
      <c r="T324">
        <v>169.9</v>
      </c>
      <c r="U324">
        <v>154.80000000000001</v>
      </c>
      <c r="V324">
        <v>159.80000000000001</v>
      </c>
      <c r="W324">
        <v>164.3</v>
      </c>
      <c r="X324">
        <v>162.19999999999999</v>
      </c>
      <c r="Y324">
        <v>161.4</v>
      </c>
      <c r="Z324">
        <v>166.7</v>
      </c>
      <c r="AA324" s="1">
        <f>SUM(Table14[[#This Row],[Cereals and products]:[Food and beverages]])/13</f>
        <v>168.77692307692308</v>
      </c>
      <c r="AB324" s="1">
        <f>SUM(Table14[[#This Row],[Fuel and light]])</f>
        <v>163.9</v>
      </c>
      <c r="AC324" s="1">
        <f>SUM(Table14[[#This Row],[Transport and communication]])</f>
        <v>154.80000000000001</v>
      </c>
      <c r="AD324" s="1">
        <f>SUM(Table14[[#This Row],[Housing]],Table14[[#This Row],[Household goods and services]])/2</f>
        <v>161.75</v>
      </c>
      <c r="AE324" s="1">
        <f>SUM(Table14[[#This Row],[Health]])</f>
        <v>169.9</v>
      </c>
      <c r="AF324" s="1">
        <f>SUM(Table14[[#This Row],[Recreation and amusement]],Table14[[#This Row],[Education]])/2</f>
        <v>162.05000000000001</v>
      </c>
      <c r="AG324" s="1">
        <f>SUM(Table14[[#This Row],[Miscellaneous]],Table14[[#This Row],[Personal care and effects]])/2</f>
        <v>161.80000000000001</v>
      </c>
    </row>
    <row r="325" spans="1:33" hidden="1" x14ac:dyDescent="0.3">
      <c r="A325" t="s">
        <v>36</v>
      </c>
      <c r="B325">
        <v>2021</v>
      </c>
      <c r="C325" t="s">
        <v>45</v>
      </c>
      <c r="D325">
        <v>151</v>
      </c>
      <c r="E325">
        <v>204.9</v>
      </c>
      <c r="F325">
        <v>175.4</v>
      </c>
      <c r="G325">
        <v>159.6</v>
      </c>
      <c r="H325">
        <v>175.8</v>
      </c>
      <c r="I325">
        <v>160.30000000000001</v>
      </c>
      <c r="J325">
        <v>229.1</v>
      </c>
      <c r="K325">
        <v>165.1</v>
      </c>
      <c r="L325">
        <v>123.1</v>
      </c>
      <c r="M325">
        <v>167.2</v>
      </c>
      <c r="N325">
        <v>156.1</v>
      </c>
      <c r="O325">
        <v>176.8</v>
      </c>
      <c r="P325">
        <v>173.5</v>
      </c>
      <c r="Q325">
        <v>164.2</v>
      </c>
      <c r="R325">
        <v>161.6</v>
      </c>
      <c r="S325">
        <v>155.19999999999999</v>
      </c>
      <c r="T325">
        <v>164.2</v>
      </c>
      <c r="U325">
        <v>151.19999999999999</v>
      </c>
      <c r="V325">
        <v>156.69999999999999</v>
      </c>
      <c r="W325">
        <v>160.80000000000001</v>
      </c>
      <c r="X325">
        <v>161.80000000000001</v>
      </c>
      <c r="Y325">
        <v>157.30000000000001</v>
      </c>
      <c r="Z325">
        <v>165.6</v>
      </c>
      <c r="AA325" s="1">
        <f>SUM(Table14[[#This Row],[Cereals and products]:[Food and beverages]])/13</f>
        <v>170.60769230769228</v>
      </c>
      <c r="AB325" s="1">
        <f>SUM(Table14[[#This Row],[Fuel and light]])</f>
        <v>161.6</v>
      </c>
      <c r="AC325" s="1">
        <f>SUM(Table14[[#This Row],[Transport and communication]])</f>
        <v>151.19999999999999</v>
      </c>
      <c r="AD325" s="1">
        <f>SUM(Table14[[#This Row],[Housing]],Table14[[#This Row],[Household goods and services]])/2</f>
        <v>159.69999999999999</v>
      </c>
      <c r="AE325" s="1">
        <f>SUM(Table14[[#This Row],[Health]])</f>
        <v>164.2</v>
      </c>
      <c r="AF325" s="1">
        <f>SUM(Table14[[#This Row],[Recreation and amusement]],Table14[[#This Row],[Education]])/2</f>
        <v>158.75</v>
      </c>
      <c r="AG325" s="1">
        <f>SUM(Table14[[#This Row],[Miscellaneous]],Table14[[#This Row],[Personal care and effects]])/2</f>
        <v>159.55000000000001</v>
      </c>
    </row>
    <row r="326" spans="1:33" hidden="1" x14ac:dyDescent="0.3">
      <c r="A326" t="s">
        <v>36</v>
      </c>
      <c r="B326">
        <v>2018</v>
      </c>
      <c r="C326" t="s">
        <v>37</v>
      </c>
      <c r="D326">
        <v>136.5</v>
      </c>
      <c r="E326">
        <v>146.4</v>
      </c>
      <c r="F326">
        <v>136.6</v>
      </c>
      <c r="G326">
        <v>141.19999999999999</v>
      </c>
      <c r="H326">
        <v>117.4</v>
      </c>
      <c r="I326">
        <v>146.30000000000001</v>
      </c>
      <c r="J326">
        <v>157.30000000000001</v>
      </c>
      <c r="K326">
        <v>113.6</v>
      </c>
      <c r="L326">
        <v>113.3</v>
      </c>
      <c r="M326">
        <v>141.1</v>
      </c>
      <c r="N326">
        <v>127.4</v>
      </c>
      <c r="O326">
        <v>150.4</v>
      </c>
      <c r="P326">
        <v>140.1</v>
      </c>
      <c r="Q326">
        <v>144.6</v>
      </c>
      <c r="R326">
        <v>129.80000000000001</v>
      </c>
      <c r="S326">
        <v>134.4</v>
      </c>
      <c r="T326">
        <v>134.9</v>
      </c>
      <c r="U326">
        <v>120.7</v>
      </c>
      <c r="V326">
        <v>129.80000000000001</v>
      </c>
      <c r="W326">
        <v>145.30000000000001</v>
      </c>
      <c r="X326">
        <v>128.30000000000001</v>
      </c>
      <c r="Y326">
        <v>131</v>
      </c>
      <c r="Z326">
        <v>138</v>
      </c>
      <c r="AA326" s="1">
        <f>SUM(Table14[[#This Row],[Cereals and products]:[Food and beverages]])/13</f>
        <v>135.96923076923076</v>
      </c>
      <c r="AB326" s="1">
        <f>SUM(Table14[[#This Row],[Fuel and light]])</f>
        <v>129.80000000000001</v>
      </c>
      <c r="AC326" s="1">
        <f>SUM(Table14[[#This Row],[Transport and communication]])</f>
        <v>120.7</v>
      </c>
      <c r="AD326" s="1">
        <f>SUM(Table14[[#This Row],[Housing]],Table14[[#This Row],[Household goods and services]])/2</f>
        <v>139.5</v>
      </c>
      <c r="AE326" s="1">
        <f>SUM(Table14[[#This Row],[Health]])</f>
        <v>134.9</v>
      </c>
      <c r="AF326" s="1">
        <f>SUM(Table14[[#This Row],[Recreation and amusement]],Table14[[#This Row],[Education]])/2</f>
        <v>137.55000000000001</v>
      </c>
      <c r="AG326" s="1">
        <f>SUM(Table14[[#This Row],[Miscellaneous]],Table14[[#This Row],[Personal care and effects]])/2</f>
        <v>129.65</v>
      </c>
    </row>
    <row r="327" spans="1:33" hidden="1" x14ac:dyDescent="0.3">
      <c r="A327" t="s">
        <v>35</v>
      </c>
      <c r="B327">
        <v>2018</v>
      </c>
      <c r="C327" t="s">
        <v>37</v>
      </c>
      <c r="D327">
        <v>138.30000000000001</v>
      </c>
      <c r="E327">
        <v>148</v>
      </c>
      <c r="F327">
        <v>138.1</v>
      </c>
      <c r="G327">
        <v>142.6</v>
      </c>
      <c r="H327">
        <v>122.2</v>
      </c>
      <c r="I327">
        <v>150.6</v>
      </c>
      <c r="J327">
        <v>156.6</v>
      </c>
      <c r="K327">
        <v>122.4</v>
      </c>
      <c r="L327">
        <v>114.7</v>
      </c>
      <c r="M327">
        <v>139.4</v>
      </c>
      <c r="N327">
        <v>131.1</v>
      </c>
      <c r="O327">
        <v>153</v>
      </c>
      <c r="P327">
        <v>141.69999999999999</v>
      </c>
      <c r="Q327">
        <v>144.6</v>
      </c>
      <c r="R327">
        <v>140.9</v>
      </c>
      <c r="S327">
        <v>139.4</v>
      </c>
      <c r="T327">
        <v>137.69999999999999</v>
      </c>
      <c r="U327">
        <v>124.3</v>
      </c>
      <c r="V327">
        <v>133.6</v>
      </c>
      <c r="W327">
        <v>146</v>
      </c>
      <c r="X327">
        <v>130.1</v>
      </c>
      <c r="Y327">
        <v>133.9</v>
      </c>
      <c r="Z327">
        <v>140.4</v>
      </c>
      <c r="AA327" s="1">
        <f>SUM(Table14[[#This Row],[Cereals and products]:[Food and beverages]])/13</f>
        <v>138.36153846153849</v>
      </c>
      <c r="AB327" s="1">
        <f>SUM(Table14[[#This Row],[Fuel and light]])</f>
        <v>140.9</v>
      </c>
      <c r="AC327" s="1">
        <f>SUM(Table14[[#This Row],[Transport and communication]])</f>
        <v>124.3</v>
      </c>
      <c r="AD327" s="1">
        <f>SUM(Table14[[#This Row],[Housing]],Table14[[#This Row],[Household goods and services]])/2</f>
        <v>142</v>
      </c>
      <c r="AE327" s="1">
        <f>SUM(Table14[[#This Row],[Health]])</f>
        <v>137.69999999999999</v>
      </c>
      <c r="AF327" s="1">
        <f>SUM(Table14[[#This Row],[Recreation and amusement]],Table14[[#This Row],[Education]])/2</f>
        <v>139.80000000000001</v>
      </c>
      <c r="AG327" s="1">
        <f>SUM(Table14[[#This Row],[Miscellaneous]],Table14[[#This Row],[Personal care and effects]])/2</f>
        <v>132</v>
      </c>
    </row>
    <row r="328" spans="1:33" hidden="1" x14ac:dyDescent="0.3">
      <c r="A328" t="s">
        <v>33</v>
      </c>
      <c r="B328">
        <v>2018</v>
      </c>
      <c r="C328" t="s">
        <v>37</v>
      </c>
      <c r="D328">
        <v>139.19999999999999</v>
      </c>
      <c r="E328">
        <v>148.80000000000001</v>
      </c>
      <c r="F328">
        <v>139.1</v>
      </c>
      <c r="G328">
        <v>143.5</v>
      </c>
      <c r="H328">
        <v>125</v>
      </c>
      <c r="I328">
        <v>154.4</v>
      </c>
      <c r="J328">
        <v>156.30000000000001</v>
      </c>
      <c r="K328">
        <v>126.8</v>
      </c>
      <c r="L328">
        <v>115.4</v>
      </c>
      <c r="M328">
        <v>138.6</v>
      </c>
      <c r="N328">
        <v>133.80000000000001</v>
      </c>
      <c r="O328">
        <v>155.19999999999999</v>
      </c>
      <c r="P328">
        <v>142.69999999999999</v>
      </c>
      <c r="Q328">
        <f>AVERAGE(Q326:Q327)</f>
        <v>144.6</v>
      </c>
      <c r="R328">
        <v>147.69999999999999</v>
      </c>
      <c r="S328">
        <v>143.80000000000001</v>
      </c>
      <c r="T328">
        <v>139.4</v>
      </c>
      <c r="U328">
        <v>128.30000000000001</v>
      </c>
      <c r="V328">
        <v>138.6</v>
      </c>
      <c r="W328">
        <v>146.9</v>
      </c>
      <c r="X328">
        <v>131.30000000000001</v>
      </c>
      <c r="Y328">
        <v>136.6</v>
      </c>
      <c r="Z328">
        <v>142.5</v>
      </c>
      <c r="AA328" s="1">
        <f>SUM(Table14[[#This Row],[Cereals and products]:[Food and beverages]])/13</f>
        <v>139.90769230769232</v>
      </c>
      <c r="AB328" s="1">
        <f>SUM(Table14[[#This Row],[Fuel and light]])</f>
        <v>147.69999999999999</v>
      </c>
      <c r="AC328" s="1">
        <f>SUM(Table14[[#This Row],[Transport and communication]])</f>
        <v>128.30000000000001</v>
      </c>
      <c r="AD328" s="1">
        <f>SUM(Table14[[#This Row],[Housing]],Table14[[#This Row],[Household goods and services]])/2</f>
        <v>144.19999999999999</v>
      </c>
      <c r="AE328" s="1">
        <f>SUM(Table14[[#This Row],[Health]])</f>
        <v>139.4</v>
      </c>
      <c r="AF328" s="1">
        <f>SUM(Table14[[#This Row],[Recreation and amusement]],Table14[[#This Row],[Education]])/2</f>
        <v>142.75</v>
      </c>
      <c r="AG328" s="1">
        <f>SUM(Table14[[#This Row],[Miscellaneous]],Table14[[#This Row],[Personal care and effects]])/2</f>
        <v>133.94999999999999</v>
      </c>
    </row>
    <row r="329" spans="1:33" hidden="1" x14ac:dyDescent="0.3">
      <c r="A329" t="s">
        <v>36</v>
      </c>
      <c r="B329">
        <v>2017</v>
      </c>
      <c r="C329" t="s">
        <v>37</v>
      </c>
      <c r="D329">
        <v>133.19999999999999</v>
      </c>
      <c r="E329">
        <v>143.9</v>
      </c>
      <c r="F329">
        <v>128.30000000000001</v>
      </c>
      <c r="G329">
        <v>138.30000000000001</v>
      </c>
      <c r="H329">
        <v>114.1</v>
      </c>
      <c r="I329">
        <v>142.69999999999999</v>
      </c>
      <c r="J329">
        <v>179.8</v>
      </c>
      <c r="K329">
        <v>123.5</v>
      </c>
      <c r="L329">
        <v>122.1</v>
      </c>
      <c r="M329">
        <v>137.5</v>
      </c>
      <c r="N329">
        <v>124.6</v>
      </c>
      <c r="O329">
        <v>144.5</v>
      </c>
      <c r="P329">
        <v>140.5</v>
      </c>
      <c r="Q329">
        <v>134.4</v>
      </c>
      <c r="R329">
        <v>118.9</v>
      </c>
      <c r="S329">
        <v>127.7</v>
      </c>
      <c r="T329">
        <v>125.7</v>
      </c>
      <c r="U329">
        <v>114.6</v>
      </c>
      <c r="V329">
        <v>124.1</v>
      </c>
      <c r="W329">
        <v>135.69999999999999</v>
      </c>
      <c r="X329">
        <v>123.3</v>
      </c>
      <c r="Y329">
        <v>123.8</v>
      </c>
      <c r="Z329">
        <v>132.69999999999999</v>
      </c>
      <c r="AA329" s="1">
        <f>SUM(Table14[[#This Row],[Cereals and products]:[Food and beverages]])/13</f>
        <v>136.38461538461536</v>
      </c>
      <c r="AB329" s="1">
        <f>SUM(Table14[[#This Row],[Fuel and light]])</f>
        <v>118.9</v>
      </c>
      <c r="AC329" s="1">
        <f>SUM(Table14[[#This Row],[Transport and communication]])</f>
        <v>114.6</v>
      </c>
      <c r="AD329" s="1">
        <f>SUM(Table14[[#This Row],[Housing]],Table14[[#This Row],[Household goods and services]])/2</f>
        <v>131.05000000000001</v>
      </c>
      <c r="AE329" s="1">
        <f>SUM(Table14[[#This Row],[Health]])</f>
        <v>125.7</v>
      </c>
      <c r="AF329" s="1">
        <f>SUM(Table14[[#This Row],[Recreation and amusement]],Table14[[#This Row],[Education]])/2</f>
        <v>129.89999999999998</v>
      </c>
      <c r="AG329" s="1">
        <f>SUM(Table14[[#This Row],[Miscellaneous]],Table14[[#This Row],[Personal care and effects]])/2</f>
        <v>123.55</v>
      </c>
    </row>
    <row r="330" spans="1:33" hidden="1" x14ac:dyDescent="0.3">
      <c r="A330" t="s">
        <v>35</v>
      </c>
      <c r="B330">
        <v>2017</v>
      </c>
      <c r="C330" t="s">
        <v>37</v>
      </c>
      <c r="D330">
        <v>134.30000000000001</v>
      </c>
      <c r="E330">
        <v>143.4</v>
      </c>
      <c r="F330">
        <v>129.30000000000001</v>
      </c>
      <c r="G330">
        <v>139</v>
      </c>
      <c r="H330">
        <v>118.1</v>
      </c>
      <c r="I330">
        <v>145.5</v>
      </c>
      <c r="J330">
        <v>168.6</v>
      </c>
      <c r="K330">
        <v>132.69999999999999</v>
      </c>
      <c r="L330">
        <v>121.2</v>
      </c>
      <c r="M330">
        <v>135.6</v>
      </c>
      <c r="N330">
        <v>128.69999999999999</v>
      </c>
      <c r="O330">
        <v>146.80000000000001</v>
      </c>
      <c r="P330">
        <v>140.6</v>
      </c>
      <c r="Q330">
        <v>134.4</v>
      </c>
      <c r="R330">
        <v>129.80000000000001</v>
      </c>
      <c r="S330">
        <v>132.80000000000001</v>
      </c>
      <c r="T330">
        <v>130.19999999999999</v>
      </c>
      <c r="U330">
        <v>117.3</v>
      </c>
      <c r="V330">
        <v>127.3</v>
      </c>
      <c r="W330">
        <v>137.6</v>
      </c>
      <c r="X330">
        <v>124.5</v>
      </c>
      <c r="Y330">
        <v>126.8</v>
      </c>
      <c r="Z330">
        <v>135.4</v>
      </c>
      <c r="AA330" s="1">
        <f>SUM(Table14[[#This Row],[Cereals and products]:[Food and beverages]])/13</f>
        <v>137.21538461538461</v>
      </c>
      <c r="AB330" s="1">
        <f>SUM(Table14[[#This Row],[Fuel and light]])</f>
        <v>129.80000000000001</v>
      </c>
      <c r="AC330" s="1">
        <f>SUM(Table14[[#This Row],[Transport and communication]])</f>
        <v>117.3</v>
      </c>
      <c r="AD330" s="1">
        <f>SUM(Table14[[#This Row],[Housing]],Table14[[#This Row],[Household goods and services]])/2</f>
        <v>133.60000000000002</v>
      </c>
      <c r="AE330" s="1">
        <f>SUM(Table14[[#This Row],[Health]])</f>
        <v>130.19999999999999</v>
      </c>
      <c r="AF330" s="1">
        <f>SUM(Table14[[#This Row],[Recreation and amusement]],Table14[[#This Row],[Education]])/2</f>
        <v>132.44999999999999</v>
      </c>
      <c r="AG330" s="1">
        <f>SUM(Table14[[#This Row],[Miscellaneous]],Table14[[#This Row],[Personal care and effects]])/2</f>
        <v>125.65</v>
      </c>
    </row>
    <row r="331" spans="1:33" hidden="1" x14ac:dyDescent="0.3">
      <c r="A331" t="s">
        <v>33</v>
      </c>
      <c r="B331">
        <v>2017</v>
      </c>
      <c r="C331" t="s">
        <v>37</v>
      </c>
      <c r="D331">
        <v>134.80000000000001</v>
      </c>
      <c r="E331">
        <v>143.1</v>
      </c>
      <c r="F331">
        <v>130</v>
      </c>
      <c r="G331">
        <v>139.4</v>
      </c>
      <c r="H331">
        <v>120.5</v>
      </c>
      <c r="I331">
        <v>148</v>
      </c>
      <c r="J331">
        <v>162.9</v>
      </c>
      <c r="K331">
        <v>137.4</v>
      </c>
      <c r="L331">
        <v>120.8</v>
      </c>
      <c r="M331">
        <v>134.69999999999999</v>
      </c>
      <c r="N331">
        <v>131.6</v>
      </c>
      <c r="O331">
        <v>148.69999999999999</v>
      </c>
      <c r="P331">
        <v>140.6</v>
      </c>
      <c r="Q331">
        <f>AVERAGE(Q329:Q330)</f>
        <v>134.4</v>
      </c>
      <c r="R331">
        <v>136.4</v>
      </c>
      <c r="S331">
        <v>137.30000000000001</v>
      </c>
      <c r="T331">
        <v>133</v>
      </c>
      <c r="U331">
        <v>120.3</v>
      </c>
      <c r="V331">
        <v>131.5</v>
      </c>
      <c r="W331">
        <v>140.19999999999999</v>
      </c>
      <c r="X331">
        <v>125.4</v>
      </c>
      <c r="Y331">
        <v>129.69999999999999</v>
      </c>
      <c r="Z331">
        <v>137.80000000000001</v>
      </c>
      <c r="AA331" s="1">
        <f>SUM(Table14[[#This Row],[Cereals and products]:[Food and beverages]])/13</f>
        <v>137.88461538461536</v>
      </c>
      <c r="AB331" s="1">
        <f>SUM(Table14[[#This Row],[Fuel and light]])</f>
        <v>136.4</v>
      </c>
      <c r="AC331" s="1">
        <f>SUM(Table14[[#This Row],[Transport and communication]])</f>
        <v>120.3</v>
      </c>
      <c r="AD331" s="1">
        <f>SUM(Table14[[#This Row],[Housing]],Table14[[#This Row],[Household goods and services]])/2</f>
        <v>135.85000000000002</v>
      </c>
      <c r="AE331" s="1">
        <f>SUM(Table14[[#This Row],[Health]])</f>
        <v>133</v>
      </c>
      <c r="AF331" s="1">
        <f>SUM(Table14[[#This Row],[Recreation and amusement]],Table14[[#This Row],[Education]])/2</f>
        <v>135.85</v>
      </c>
      <c r="AG331" s="1">
        <f>SUM(Table14[[#This Row],[Miscellaneous]],Table14[[#This Row],[Personal care and effects]])/2</f>
        <v>127.55</v>
      </c>
    </row>
    <row r="332" spans="1:33" hidden="1" x14ac:dyDescent="0.3">
      <c r="A332" t="s">
        <v>36</v>
      </c>
      <c r="B332">
        <v>2016</v>
      </c>
      <c r="C332" t="s">
        <v>37</v>
      </c>
      <c r="D332">
        <v>127.6</v>
      </c>
      <c r="E332">
        <v>140.30000000000001</v>
      </c>
      <c r="F332">
        <v>133.69999999999999</v>
      </c>
      <c r="G332">
        <v>132.19999999999999</v>
      </c>
      <c r="H332">
        <v>111.8</v>
      </c>
      <c r="I332">
        <v>135.80000000000001</v>
      </c>
      <c r="J332">
        <v>163.5</v>
      </c>
      <c r="K332">
        <v>182.3</v>
      </c>
      <c r="L332">
        <v>114.6</v>
      </c>
      <c r="M332">
        <v>144.6</v>
      </c>
      <c r="N332">
        <v>121.9</v>
      </c>
      <c r="O332">
        <v>138.1</v>
      </c>
      <c r="P332">
        <v>137.6</v>
      </c>
      <c r="Q332">
        <v>127.3</v>
      </c>
      <c r="R332">
        <v>114.7</v>
      </c>
      <c r="S332">
        <v>123.9</v>
      </c>
      <c r="T332">
        <v>121.2</v>
      </c>
      <c r="U332">
        <v>110.4</v>
      </c>
      <c r="V332">
        <v>120.6</v>
      </c>
      <c r="W332">
        <v>131.5</v>
      </c>
      <c r="X332">
        <v>120.9</v>
      </c>
      <c r="Y332">
        <v>119.9</v>
      </c>
      <c r="Z332">
        <v>128.4</v>
      </c>
      <c r="AA332" s="1">
        <f>SUM(Table14[[#This Row],[Cereals and products]:[Food and beverages]])/13</f>
        <v>137.2307692307692</v>
      </c>
      <c r="AB332" s="1">
        <f>SUM(Table14[[#This Row],[Fuel and light]])</f>
        <v>114.7</v>
      </c>
      <c r="AC332" s="1">
        <f>SUM(Table14[[#This Row],[Transport and communication]])</f>
        <v>110.4</v>
      </c>
      <c r="AD332" s="1">
        <f>SUM(Table14[[#This Row],[Housing]],Table14[[#This Row],[Household goods and services]])/2</f>
        <v>125.6</v>
      </c>
      <c r="AE332" s="1">
        <f>SUM(Table14[[#This Row],[Health]])</f>
        <v>121.2</v>
      </c>
      <c r="AF332" s="1">
        <f>SUM(Table14[[#This Row],[Recreation and amusement]],Table14[[#This Row],[Education]])/2</f>
        <v>126.05</v>
      </c>
      <c r="AG332" s="1">
        <f>SUM(Table14[[#This Row],[Miscellaneous]],Table14[[#This Row],[Personal care and effects]])/2</f>
        <v>120.4</v>
      </c>
    </row>
    <row r="333" spans="1:33" hidden="1" x14ac:dyDescent="0.3">
      <c r="A333" t="s">
        <v>35</v>
      </c>
      <c r="B333">
        <v>2016</v>
      </c>
      <c r="C333" t="s">
        <v>37</v>
      </c>
      <c r="D333">
        <v>129.30000000000001</v>
      </c>
      <c r="E333">
        <v>139.30000000000001</v>
      </c>
      <c r="F333">
        <v>131.6</v>
      </c>
      <c r="G333">
        <v>134.1</v>
      </c>
      <c r="H333">
        <v>116.9</v>
      </c>
      <c r="I333">
        <v>138.1</v>
      </c>
      <c r="J333">
        <v>159.1</v>
      </c>
      <c r="K333">
        <v>175.6</v>
      </c>
      <c r="L333">
        <v>112.9</v>
      </c>
      <c r="M333">
        <v>138.1</v>
      </c>
      <c r="N333">
        <v>125.5</v>
      </c>
      <c r="O333">
        <v>139.5</v>
      </c>
      <c r="P333">
        <v>137.9</v>
      </c>
      <c r="Q333">
        <v>127.3</v>
      </c>
      <c r="R333">
        <v>123.6</v>
      </c>
      <c r="S333">
        <v>127.4</v>
      </c>
      <c r="T333">
        <v>124.8</v>
      </c>
      <c r="U333">
        <v>113.1</v>
      </c>
      <c r="V333">
        <v>122.7</v>
      </c>
      <c r="W333">
        <v>131.69999999999999</v>
      </c>
      <c r="X333">
        <v>121.5</v>
      </c>
      <c r="Y333">
        <v>122.1</v>
      </c>
      <c r="Z333">
        <v>131.1</v>
      </c>
      <c r="AA333" s="1">
        <f>SUM(Table14[[#This Row],[Cereals and products]:[Food and beverages]])/13</f>
        <v>136.76153846153846</v>
      </c>
      <c r="AB333" s="1">
        <f>SUM(Table14[[#This Row],[Fuel and light]])</f>
        <v>123.6</v>
      </c>
      <c r="AC333" s="1">
        <f>SUM(Table14[[#This Row],[Transport and communication]])</f>
        <v>113.1</v>
      </c>
      <c r="AD333" s="1">
        <f>SUM(Table14[[#This Row],[Housing]],Table14[[#This Row],[Household goods and services]])/2</f>
        <v>127.35</v>
      </c>
      <c r="AE333" s="1">
        <f>SUM(Table14[[#This Row],[Health]])</f>
        <v>124.8</v>
      </c>
      <c r="AF333" s="1">
        <f>SUM(Table14[[#This Row],[Recreation and amusement]],Table14[[#This Row],[Education]])/2</f>
        <v>127.19999999999999</v>
      </c>
      <c r="AG333" s="1">
        <f>SUM(Table14[[#This Row],[Miscellaneous]],Table14[[#This Row],[Personal care and effects]])/2</f>
        <v>121.8</v>
      </c>
    </row>
    <row r="334" spans="1:33" hidden="1" x14ac:dyDescent="0.3">
      <c r="A334" t="s">
        <v>33</v>
      </c>
      <c r="B334">
        <v>2016</v>
      </c>
      <c r="C334" t="s">
        <v>37</v>
      </c>
      <c r="D334">
        <v>130.1</v>
      </c>
      <c r="E334">
        <v>138.80000000000001</v>
      </c>
      <c r="F334">
        <v>130.30000000000001</v>
      </c>
      <c r="G334">
        <v>135.30000000000001</v>
      </c>
      <c r="H334">
        <v>119.9</v>
      </c>
      <c r="I334">
        <v>140.19999999999999</v>
      </c>
      <c r="J334">
        <v>156.9</v>
      </c>
      <c r="K334">
        <v>172.2</v>
      </c>
      <c r="L334">
        <v>112.1</v>
      </c>
      <c r="M334">
        <v>134.9</v>
      </c>
      <c r="N334">
        <v>128.1</v>
      </c>
      <c r="O334">
        <v>140.69999999999999</v>
      </c>
      <c r="P334">
        <v>138</v>
      </c>
      <c r="Q334">
        <f>AVERAGE(Q332:Q333)</f>
        <v>127.3</v>
      </c>
      <c r="R334">
        <v>129.1</v>
      </c>
      <c r="S334">
        <v>130.6</v>
      </c>
      <c r="T334">
        <v>127</v>
      </c>
      <c r="U334">
        <v>116</v>
      </c>
      <c r="V334">
        <v>125.5</v>
      </c>
      <c r="W334">
        <v>131.9</v>
      </c>
      <c r="X334">
        <v>122</v>
      </c>
      <c r="Y334">
        <v>124.2</v>
      </c>
      <c r="Z334">
        <v>133.5</v>
      </c>
      <c r="AA334" s="1">
        <f>SUM(Table14[[#This Row],[Cereals and products]:[Food and beverages]])/13</f>
        <v>136.73076923076923</v>
      </c>
      <c r="AB334" s="1">
        <f>SUM(Table14[[#This Row],[Fuel and light]])</f>
        <v>129.1</v>
      </c>
      <c r="AC334" s="1">
        <f>SUM(Table14[[#This Row],[Transport and communication]])</f>
        <v>116</v>
      </c>
      <c r="AD334" s="1">
        <f>SUM(Table14[[#This Row],[Housing]],Table14[[#This Row],[Household goods and services]])/2</f>
        <v>128.94999999999999</v>
      </c>
      <c r="AE334" s="1">
        <f>SUM(Table14[[#This Row],[Health]])</f>
        <v>127</v>
      </c>
      <c r="AF334" s="1">
        <f>SUM(Table14[[#This Row],[Recreation and amusement]],Table14[[#This Row],[Education]])/2</f>
        <v>128.69999999999999</v>
      </c>
      <c r="AG334" s="1">
        <f>SUM(Table14[[#This Row],[Miscellaneous]],Table14[[#This Row],[Personal care and effects]])/2</f>
        <v>123.1</v>
      </c>
    </row>
    <row r="335" spans="1:33" hidden="1" x14ac:dyDescent="0.3">
      <c r="A335" t="s">
        <v>36</v>
      </c>
      <c r="B335">
        <v>2015</v>
      </c>
      <c r="C335" t="s">
        <v>37</v>
      </c>
      <c r="D335">
        <v>123.1</v>
      </c>
      <c r="E335">
        <v>131.69999999999999</v>
      </c>
      <c r="F335">
        <v>118.1</v>
      </c>
      <c r="G335">
        <v>128</v>
      </c>
      <c r="H335">
        <v>106.8</v>
      </c>
      <c r="I335">
        <v>130.1</v>
      </c>
      <c r="J335">
        <v>165.5</v>
      </c>
      <c r="K335">
        <v>156</v>
      </c>
      <c r="L335">
        <v>85.3</v>
      </c>
      <c r="M335">
        <v>132.69999999999999</v>
      </c>
      <c r="N335">
        <v>118.8</v>
      </c>
      <c r="O335">
        <v>131.69999999999999</v>
      </c>
      <c r="P335">
        <v>131.1</v>
      </c>
      <c r="Q335">
        <v>120.9</v>
      </c>
      <c r="R335">
        <v>115.3</v>
      </c>
      <c r="S335">
        <v>120</v>
      </c>
      <c r="T335">
        <v>116.6</v>
      </c>
      <c r="U335">
        <v>109.9</v>
      </c>
      <c r="V335">
        <v>117.2</v>
      </c>
      <c r="W335">
        <v>126.2</v>
      </c>
      <c r="X335">
        <v>112</v>
      </c>
      <c r="Y335">
        <v>116.2</v>
      </c>
      <c r="Z335">
        <v>123.2</v>
      </c>
      <c r="AA335" s="1">
        <f>SUM(Table14[[#This Row],[Cereals and products]:[Food and beverages]])/13</f>
        <v>127.6076923076923</v>
      </c>
      <c r="AB335" s="1">
        <f>SUM(Table14[[#This Row],[Fuel and light]])</f>
        <v>115.3</v>
      </c>
      <c r="AC335" s="1">
        <f>SUM(Table14[[#This Row],[Transport and communication]])</f>
        <v>109.9</v>
      </c>
      <c r="AD335" s="1">
        <f>SUM(Table14[[#This Row],[Housing]],Table14[[#This Row],[Household goods and services]])/2</f>
        <v>120.45</v>
      </c>
      <c r="AE335" s="1">
        <f>SUM(Table14[[#This Row],[Health]])</f>
        <v>116.6</v>
      </c>
      <c r="AF335" s="1">
        <f>SUM(Table14[[#This Row],[Recreation and amusement]],Table14[[#This Row],[Education]])/2</f>
        <v>121.7</v>
      </c>
      <c r="AG335" s="1">
        <f>SUM(Table14[[#This Row],[Miscellaneous]],Table14[[#This Row],[Personal care and effects]])/2</f>
        <v>114.1</v>
      </c>
    </row>
    <row r="336" spans="1:33" hidden="1" x14ac:dyDescent="0.3">
      <c r="A336" t="s">
        <v>35</v>
      </c>
      <c r="B336">
        <v>2015</v>
      </c>
      <c r="C336" t="s">
        <v>37</v>
      </c>
      <c r="D336">
        <v>124.2</v>
      </c>
      <c r="E336">
        <v>131.4</v>
      </c>
      <c r="F336">
        <v>120.1</v>
      </c>
      <c r="G336">
        <v>128.5</v>
      </c>
      <c r="H336">
        <v>111.4</v>
      </c>
      <c r="I336">
        <v>132.30000000000001</v>
      </c>
      <c r="J336">
        <v>157.6</v>
      </c>
      <c r="K336">
        <v>144</v>
      </c>
      <c r="L336">
        <v>90.5</v>
      </c>
      <c r="M336">
        <v>126.8</v>
      </c>
      <c r="N336">
        <v>120.4</v>
      </c>
      <c r="O336">
        <v>132.1</v>
      </c>
      <c r="P336">
        <v>130.30000000000001</v>
      </c>
      <c r="Q336">
        <v>120.9</v>
      </c>
      <c r="R336">
        <v>120.6</v>
      </c>
      <c r="S336">
        <v>122</v>
      </c>
      <c r="T336">
        <v>119.4</v>
      </c>
      <c r="U336">
        <v>111.7</v>
      </c>
      <c r="V336">
        <v>117.8</v>
      </c>
      <c r="W336">
        <v>125.1</v>
      </c>
      <c r="X336">
        <v>112.3</v>
      </c>
      <c r="Y336">
        <v>117.2</v>
      </c>
      <c r="Z336">
        <v>124.8</v>
      </c>
      <c r="AA336" s="1">
        <f>SUM(Table14[[#This Row],[Cereals and products]:[Food and beverages]])/13</f>
        <v>126.89230769230768</v>
      </c>
      <c r="AB336" s="1">
        <f>SUM(Table14[[#This Row],[Fuel and light]])</f>
        <v>120.6</v>
      </c>
      <c r="AC336" s="1">
        <f>SUM(Table14[[#This Row],[Transport and communication]])</f>
        <v>111.7</v>
      </c>
      <c r="AD336" s="1">
        <f>SUM(Table14[[#This Row],[Housing]],Table14[[#This Row],[Household goods and services]])/2</f>
        <v>121.45</v>
      </c>
      <c r="AE336" s="1">
        <f>SUM(Table14[[#This Row],[Health]])</f>
        <v>119.4</v>
      </c>
      <c r="AF336" s="1">
        <f>SUM(Table14[[#This Row],[Recreation and amusement]],Table14[[#This Row],[Education]])/2</f>
        <v>121.44999999999999</v>
      </c>
      <c r="AG336" s="1">
        <f>SUM(Table14[[#This Row],[Miscellaneous]],Table14[[#This Row],[Personal care and effects]])/2</f>
        <v>114.75</v>
      </c>
    </row>
    <row r="337" spans="1:33" hidden="1" x14ac:dyDescent="0.3">
      <c r="A337" t="s">
        <v>33</v>
      </c>
      <c r="B337">
        <v>2015</v>
      </c>
      <c r="C337" t="s">
        <v>37</v>
      </c>
      <c r="D337">
        <v>124.7</v>
      </c>
      <c r="E337">
        <v>131.30000000000001</v>
      </c>
      <c r="F337">
        <v>121.3</v>
      </c>
      <c r="G337">
        <v>128.80000000000001</v>
      </c>
      <c r="H337">
        <v>114</v>
      </c>
      <c r="I337">
        <v>134.19999999999999</v>
      </c>
      <c r="J337">
        <v>153.6</v>
      </c>
      <c r="K337">
        <v>137.9</v>
      </c>
      <c r="L337">
        <v>93.1</v>
      </c>
      <c r="M337">
        <v>123.9</v>
      </c>
      <c r="N337">
        <v>121.5</v>
      </c>
      <c r="O337">
        <v>132.5</v>
      </c>
      <c r="P337">
        <v>129.80000000000001</v>
      </c>
      <c r="Q337">
        <f>AVERAGE(Q335:Q336)</f>
        <v>120.9</v>
      </c>
      <c r="R337">
        <v>123.8</v>
      </c>
      <c r="S337">
        <v>123.7</v>
      </c>
      <c r="T337">
        <v>121.1</v>
      </c>
      <c r="U337">
        <v>113.6</v>
      </c>
      <c r="V337">
        <v>118.5</v>
      </c>
      <c r="W337">
        <v>123.6</v>
      </c>
      <c r="X337">
        <v>112.5</v>
      </c>
      <c r="Y337">
        <v>118.2</v>
      </c>
      <c r="Z337">
        <v>126.1</v>
      </c>
      <c r="AA337" s="1">
        <f>SUM(Table14[[#This Row],[Cereals and products]:[Food and beverages]])/13</f>
        <v>126.66153846153846</v>
      </c>
      <c r="AB337" s="1">
        <f>SUM(Table14[[#This Row],[Fuel and light]])</f>
        <v>123.8</v>
      </c>
      <c r="AC337" s="1">
        <f>SUM(Table14[[#This Row],[Transport and communication]])</f>
        <v>113.6</v>
      </c>
      <c r="AD337" s="1">
        <f>SUM(Table14[[#This Row],[Housing]],Table14[[#This Row],[Household goods and services]])/2</f>
        <v>122.30000000000001</v>
      </c>
      <c r="AE337" s="1">
        <f>SUM(Table14[[#This Row],[Health]])</f>
        <v>121.1</v>
      </c>
      <c r="AF337" s="1">
        <f>SUM(Table14[[#This Row],[Recreation and amusement]],Table14[[#This Row],[Education]])/2</f>
        <v>121.05</v>
      </c>
      <c r="AG337" s="1">
        <f>SUM(Table14[[#This Row],[Miscellaneous]],Table14[[#This Row],[Personal care and effects]])/2</f>
        <v>115.35</v>
      </c>
    </row>
    <row r="338" spans="1:33" hidden="1" x14ac:dyDescent="0.3">
      <c r="A338" t="s">
        <v>33</v>
      </c>
      <c r="B338">
        <v>2014</v>
      </c>
      <c r="C338" t="s">
        <v>37</v>
      </c>
      <c r="D338">
        <v>121.8</v>
      </c>
      <c r="E338">
        <v>122.8</v>
      </c>
      <c r="F338">
        <v>117.8</v>
      </c>
      <c r="G338">
        <v>121.9</v>
      </c>
      <c r="H338">
        <v>110.6</v>
      </c>
      <c r="I338">
        <v>129.69999999999999</v>
      </c>
      <c r="J338">
        <v>161.1</v>
      </c>
      <c r="K338">
        <v>114.1</v>
      </c>
      <c r="L338">
        <v>105.1</v>
      </c>
      <c r="M338">
        <v>114.6</v>
      </c>
      <c r="N338">
        <v>115.8</v>
      </c>
      <c r="O338">
        <v>121.7</v>
      </c>
      <c r="P338">
        <v>125.3</v>
      </c>
      <c r="Q338">
        <f>AVERAGE(Q339:Q340)</f>
        <v>115.5</v>
      </c>
      <c r="R338">
        <v>115.4</v>
      </c>
      <c r="S338">
        <v>115.9</v>
      </c>
      <c r="T338">
        <v>114</v>
      </c>
      <c r="U338">
        <v>113.2</v>
      </c>
      <c r="V338">
        <v>112.2</v>
      </c>
      <c r="W338">
        <v>116.2</v>
      </c>
      <c r="X338">
        <v>109.4</v>
      </c>
      <c r="Y338">
        <v>113.5</v>
      </c>
      <c r="Z338">
        <v>120.7</v>
      </c>
      <c r="AA338" s="1">
        <f>SUM(Table14[[#This Row],[Cereals and products]:[Food and beverages]])/13</f>
        <v>121.71538461538459</v>
      </c>
      <c r="AB338" s="1">
        <f>SUM(Table14[[#This Row],[Fuel and light]])</f>
        <v>115.4</v>
      </c>
      <c r="AC338" s="1">
        <f>SUM(Table14[[#This Row],[Transport and communication]])</f>
        <v>113.2</v>
      </c>
      <c r="AD338" s="1">
        <f>SUM(Table14[[#This Row],[Housing]],Table14[[#This Row],[Household goods and services]])/2</f>
        <v>115.7</v>
      </c>
      <c r="AE338" s="1">
        <f>SUM(Table14[[#This Row],[Health]])</f>
        <v>114</v>
      </c>
      <c r="AF338" s="1">
        <f>SUM(Table14[[#This Row],[Recreation and amusement]],Table14[[#This Row],[Education]])/2</f>
        <v>114.2</v>
      </c>
      <c r="AG338" s="1">
        <f>SUM(Table14[[#This Row],[Miscellaneous]],Table14[[#This Row],[Personal care and effects]])/2</f>
        <v>111.45</v>
      </c>
    </row>
    <row r="339" spans="1:33" hidden="1" x14ac:dyDescent="0.3">
      <c r="A339" t="s">
        <v>35</v>
      </c>
      <c r="B339">
        <v>2014</v>
      </c>
      <c r="C339" t="s">
        <v>37</v>
      </c>
      <c r="D339">
        <v>122.7</v>
      </c>
      <c r="E339">
        <v>124.4</v>
      </c>
      <c r="F339">
        <v>117.3</v>
      </c>
      <c r="G339">
        <v>122</v>
      </c>
      <c r="H339">
        <v>108</v>
      </c>
      <c r="I339">
        <v>131.1</v>
      </c>
      <c r="J339">
        <v>168.2</v>
      </c>
      <c r="K339">
        <v>114.5</v>
      </c>
      <c r="L339">
        <v>104.3</v>
      </c>
      <c r="M339">
        <v>117.1</v>
      </c>
      <c r="N339">
        <v>115.2</v>
      </c>
      <c r="O339">
        <v>123.1</v>
      </c>
      <c r="P339">
        <v>126.6</v>
      </c>
      <c r="Q339">
        <v>115.5</v>
      </c>
      <c r="R339">
        <v>114</v>
      </c>
      <c r="S339">
        <v>115.6</v>
      </c>
      <c r="T339">
        <v>113.3</v>
      </c>
      <c r="U339">
        <v>112.8</v>
      </c>
      <c r="V339">
        <v>112.6</v>
      </c>
      <c r="W339">
        <v>118</v>
      </c>
      <c r="X339">
        <v>109.9</v>
      </c>
      <c r="Y339">
        <v>113.7</v>
      </c>
      <c r="Z339">
        <v>120.3</v>
      </c>
      <c r="AA339" s="1">
        <f>SUM(Table14[[#This Row],[Cereals and products]:[Food and beverages]])/13</f>
        <v>122.65384615384613</v>
      </c>
      <c r="AB339" s="1">
        <f>SUM(Table14[[#This Row],[Fuel and light]])</f>
        <v>114</v>
      </c>
      <c r="AC339" s="1">
        <f>SUM(Table14[[#This Row],[Transport and communication]])</f>
        <v>112.8</v>
      </c>
      <c r="AD339" s="1">
        <f>SUM(Table14[[#This Row],[Housing]],Table14[[#This Row],[Household goods and services]])/2</f>
        <v>115.55</v>
      </c>
      <c r="AE339" s="1">
        <f>SUM(Table14[[#This Row],[Health]])</f>
        <v>113.3</v>
      </c>
      <c r="AF339" s="1">
        <f>SUM(Table14[[#This Row],[Recreation and amusement]],Table14[[#This Row],[Education]])/2</f>
        <v>115.3</v>
      </c>
      <c r="AG339" s="1">
        <f>SUM(Table14[[#This Row],[Miscellaneous]],Table14[[#This Row],[Personal care and effects]])/2</f>
        <v>111.80000000000001</v>
      </c>
    </row>
    <row r="340" spans="1:33" hidden="1" x14ac:dyDescent="0.3">
      <c r="A340" t="s">
        <v>36</v>
      </c>
      <c r="B340">
        <v>2014</v>
      </c>
      <c r="C340" t="s">
        <v>37</v>
      </c>
      <c r="D340">
        <v>124.8</v>
      </c>
      <c r="E340">
        <v>127.3</v>
      </c>
      <c r="F340">
        <v>116.5</v>
      </c>
      <c r="G340">
        <v>122.2</v>
      </c>
      <c r="H340">
        <v>103.6</v>
      </c>
      <c r="I340">
        <v>132.69999999999999</v>
      </c>
      <c r="J340">
        <v>181.9</v>
      </c>
      <c r="K340">
        <v>115.2</v>
      </c>
      <c r="L340">
        <v>102.7</v>
      </c>
      <c r="M340">
        <v>122.1</v>
      </c>
      <c r="N340">
        <v>114.4</v>
      </c>
      <c r="O340">
        <v>124.7</v>
      </c>
      <c r="P340">
        <v>128.9</v>
      </c>
      <c r="Q340">
        <v>115.5</v>
      </c>
      <c r="R340">
        <v>111.8</v>
      </c>
      <c r="S340">
        <v>115.3</v>
      </c>
      <c r="T340">
        <v>112.2</v>
      </c>
      <c r="U340">
        <v>112.5</v>
      </c>
      <c r="V340">
        <v>112.9</v>
      </c>
      <c r="W340">
        <v>119.2</v>
      </c>
      <c r="X340">
        <v>110.5</v>
      </c>
      <c r="Y340">
        <v>113.9</v>
      </c>
      <c r="Z340">
        <v>119.9</v>
      </c>
      <c r="AA340" s="1">
        <f>SUM(Table14[[#This Row],[Cereals and products]:[Food and beverages]])/13</f>
        <v>124.38461538461539</v>
      </c>
      <c r="AB340" s="1">
        <f>SUM(Table14[[#This Row],[Fuel and light]])</f>
        <v>111.8</v>
      </c>
      <c r="AC340" s="1">
        <f>SUM(Table14[[#This Row],[Transport and communication]])</f>
        <v>112.5</v>
      </c>
      <c r="AD340" s="1">
        <f>SUM(Table14[[#This Row],[Housing]],Table14[[#This Row],[Household goods and services]])/2</f>
        <v>115.4</v>
      </c>
      <c r="AE340" s="1">
        <f>SUM(Table14[[#This Row],[Health]])</f>
        <v>112.2</v>
      </c>
      <c r="AF340" s="1">
        <f>SUM(Table14[[#This Row],[Recreation and amusement]],Table14[[#This Row],[Education]])/2</f>
        <v>116.05000000000001</v>
      </c>
      <c r="AG340" s="1">
        <f>SUM(Table14[[#This Row],[Miscellaneous]],Table14[[#This Row],[Personal care and effects]])/2</f>
        <v>112.2</v>
      </c>
    </row>
    <row r="341" spans="1:33" hidden="1" x14ac:dyDescent="0.3">
      <c r="A341" t="s">
        <v>33</v>
      </c>
      <c r="B341">
        <v>2013</v>
      </c>
      <c r="C341" t="s">
        <v>37</v>
      </c>
      <c r="D341">
        <v>114.3</v>
      </c>
      <c r="E341">
        <v>115.4</v>
      </c>
      <c r="F341">
        <v>111.1</v>
      </c>
      <c r="G341">
        <v>110</v>
      </c>
      <c r="H341">
        <v>106.4</v>
      </c>
      <c r="I341">
        <v>110.8</v>
      </c>
      <c r="J341">
        <v>138.9</v>
      </c>
      <c r="K341">
        <v>107.4</v>
      </c>
      <c r="L341">
        <v>104.1</v>
      </c>
      <c r="M341">
        <v>106.9</v>
      </c>
      <c r="N341">
        <v>109.7</v>
      </c>
      <c r="O341">
        <v>112.6</v>
      </c>
      <c r="P341">
        <v>114.9</v>
      </c>
      <c r="Q341">
        <f>AVERAGE(Q342:Q343)</f>
        <v>108.9</v>
      </c>
      <c r="R341">
        <v>109.9</v>
      </c>
      <c r="S341">
        <v>108.7</v>
      </c>
      <c r="T341">
        <v>107.5</v>
      </c>
      <c r="U341">
        <v>107.8</v>
      </c>
      <c r="V341">
        <v>106.8</v>
      </c>
      <c r="W341">
        <v>108.7</v>
      </c>
      <c r="X341">
        <v>105</v>
      </c>
      <c r="Y341">
        <v>107.5</v>
      </c>
      <c r="Z341">
        <v>112.1</v>
      </c>
      <c r="AA341" s="1">
        <f>SUM(Table14[[#This Row],[Cereals and products]:[Food and beverages]])/13</f>
        <v>112.5</v>
      </c>
      <c r="AB341" s="1">
        <f>SUM(Table14[[#This Row],[Fuel and light]])</f>
        <v>109.9</v>
      </c>
      <c r="AC341" s="1">
        <f>SUM(Table14[[#This Row],[Transport and communication]])</f>
        <v>107.8</v>
      </c>
      <c r="AD341" s="1">
        <f>SUM(Table14[[#This Row],[Housing]],Table14[[#This Row],[Household goods and services]])/2</f>
        <v>108.80000000000001</v>
      </c>
      <c r="AE341" s="1">
        <f>SUM(Table14[[#This Row],[Health]])</f>
        <v>107.5</v>
      </c>
      <c r="AF341" s="1">
        <f>SUM(Table14[[#This Row],[Recreation and amusement]],Table14[[#This Row],[Education]])/2</f>
        <v>107.75</v>
      </c>
      <c r="AG341" s="1">
        <f>SUM(Table14[[#This Row],[Miscellaneous]],Table14[[#This Row],[Personal care and effects]])/2</f>
        <v>106.25</v>
      </c>
    </row>
    <row r="342" spans="1:33" hidden="1" x14ac:dyDescent="0.3">
      <c r="A342" t="s">
        <v>35</v>
      </c>
      <c r="B342">
        <v>2013</v>
      </c>
      <c r="C342" t="s">
        <v>37</v>
      </c>
      <c r="D342">
        <v>115.6</v>
      </c>
      <c r="E342">
        <v>117.2</v>
      </c>
      <c r="F342">
        <v>111.7</v>
      </c>
      <c r="G342">
        <v>109.6</v>
      </c>
      <c r="H342">
        <v>104.5</v>
      </c>
      <c r="I342">
        <v>109.8</v>
      </c>
      <c r="J342">
        <v>151.80000000000001</v>
      </c>
      <c r="K342">
        <v>106.5</v>
      </c>
      <c r="L342">
        <v>103.1</v>
      </c>
      <c r="M342">
        <v>107.4</v>
      </c>
      <c r="N342">
        <v>110.2</v>
      </c>
      <c r="O342">
        <v>113.4</v>
      </c>
      <c r="P342">
        <v>116.6</v>
      </c>
      <c r="Q342">
        <v>108.9</v>
      </c>
      <c r="R342">
        <v>109.7</v>
      </c>
      <c r="S342">
        <v>108.7</v>
      </c>
      <c r="T342">
        <v>107.5</v>
      </c>
      <c r="U342">
        <v>108</v>
      </c>
      <c r="V342">
        <v>106.6</v>
      </c>
      <c r="W342">
        <v>109.9</v>
      </c>
      <c r="X342">
        <v>105.4</v>
      </c>
      <c r="Y342">
        <v>107.9</v>
      </c>
      <c r="Z342">
        <v>112.4</v>
      </c>
      <c r="AA342" s="1">
        <f>SUM(Table14[[#This Row],[Cereals and products]:[Food and beverages]])/13</f>
        <v>113.64615384615385</v>
      </c>
      <c r="AB342" s="1">
        <f>SUM(Table14[[#This Row],[Fuel and light]])</f>
        <v>109.7</v>
      </c>
      <c r="AC342" s="1">
        <f>SUM(Table14[[#This Row],[Transport and communication]])</f>
        <v>108</v>
      </c>
      <c r="AD342" s="1">
        <f>SUM(Table14[[#This Row],[Housing]],Table14[[#This Row],[Household goods and services]])/2</f>
        <v>108.80000000000001</v>
      </c>
      <c r="AE342" s="1">
        <f>SUM(Table14[[#This Row],[Health]])</f>
        <v>107.5</v>
      </c>
      <c r="AF342" s="1">
        <f>SUM(Table14[[#This Row],[Recreation and amusement]],Table14[[#This Row],[Education]])/2</f>
        <v>108.25</v>
      </c>
      <c r="AG342" s="1">
        <f>SUM(Table14[[#This Row],[Miscellaneous]],Table14[[#This Row],[Personal care and effects]])/2</f>
        <v>106.65</v>
      </c>
    </row>
    <row r="343" spans="1:33" hidden="1" x14ac:dyDescent="0.3">
      <c r="A343" t="s">
        <v>36</v>
      </c>
      <c r="B343">
        <v>2013</v>
      </c>
      <c r="C343" t="s">
        <v>37</v>
      </c>
      <c r="D343">
        <v>118.3</v>
      </c>
      <c r="E343">
        <v>120.4</v>
      </c>
      <c r="F343">
        <v>112.7</v>
      </c>
      <c r="G343">
        <v>108.9</v>
      </c>
      <c r="H343">
        <v>101.1</v>
      </c>
      <c r="I343">
        <v>108.7</v>
      </c>
      <c r="J343">
        <v>177</v>
      </c>
      <c r="K343">
        <v>104.7</v>
      </c>
      <c r="L343">
        <v>101</v>
      </c>
      <c r="M343">
        <v>108.5</v>
      </c>
      <c r="N343">
        <v>110.9</v>
      </c>
      <c r="O343">
        <v>114.3</v>
      </c>
      <c r="P343">
        <v>119.6</v>
      </c>
      <c r="Q343">
        <v>108.9</v>
      </c>
      <c r="R343">
        <v>109.3</v>
      </c>
      <c r="S343">
        <v>108.7</v>
      </c>
      <c r="T343">
        <v>107.6</v>
      </c>
      <c r="U343">
        <v>108.1</v>
      </c>
      <c r="V343">
        <v>106.5</v>
      </c>
      <c r="W343">
        <v>110.8</v>
      </c>
      <c r="X343">
        <v>106</v>
      </c>
      <c r="Y343">
        <v>108.3</v>
      </c>
      <c r="Z343">
        <v>112.7</v>
      </c>
      <c r="AA343" s="1">
        <f>SUM(Table14[[#This Row],[Cereals and products]:[Food and beverages]])/13</f>
        <v>115.85384615384616</v>
      </c>
      <c r="AB343" s="1">
        <f>SUM(Table14[[#This Row],[Fuel and light]])</f>
        <v>109.3</v>
      </c>
      <c r="AC343" s="1">
        <f>SUM(Table14[[#This Row],[Transport and communication]])</f>
        <v>108.1</v>
      </c>
      <c r="AD343" s="1">
        <f>SUM(Table14[[#This Row],[Housing]],Table14[[#This Row],[Household goods and services]])/2</f>
        <v>108.80000000000001</v>
      </c>
      <c r="AE343" s="1">
        <f>SUM(Table14[[#This Row],[Health]])</f>
        <v>107.6</v>
      </c>
      <c r="AF343" s="1">
        <f>SUM(Table14[[#This Row],[Recreation and amusement]],Table14[[#This Row],[Education]])/2</f>
        <v>108.65</v>
      </c>
      <c r="AG343" s="1">
        <f>SUM(Table14[[#This Row],[Miscellaneous]],Table14[[#This Row],[Personal care and effects]])/2</f>
        <v>107.15</v>
      </c>
    </row>
    <row r="344" spans="1:33" hidden="1" x14ac:dyDescent="0.3">
      <c r="A344" t="s">
        <v>33</v>
      </c>
      <c r="B344">
        <v>2023</v>
      </c>
      <c r="C344" t="s">
        <v>48</v>
      </c>
      <c r="D344">
        <v>173.3</v>
      </c>
      <c r="E344">
        <v>206.9</v>
      </c>
      <c r="F344">
        <v>167.9</v>
      </c>
      <c r="G344">
        <v>178.2</v>
      </c>
      <c r="H344">
        <v>178.5</v>
      </c>
      <c r="I344">
        <v>173.7</v>
      </c>
      <c r="J344">
        <v>142.80000000000001</v>
      </c>
      <c r="K344">
        <v>172.8</v>
      </c>
      <c r="L344">
        <v>120.4</v>
      </c>
      <c r="M344">
        <v>215.5</v>
      </c>
      <c r="N344">
        <v>178.2</v>
      </c>
      <c r="O344">
        <v>190.5</v>
      </c>
      <c r="P344">
        <v>175.5</v>
      </c>
      <c r="Q344">
        <f>AVERAGE(Q345:Q346)</f>
        <v>175.2</v>
      </c>
      <c r="R344">
        <v>181.5</v>
      </c>
      <c r="S344">
        <v>179.1</v>
      </c>
      <c r="T344">
        <v>187.2</v>
      </c>
      <c r="U344">
        <v>169.4</v>
      </c>
      <c r="V344">
        <v>173.2</v>
      </c>
      <c r="W344">
        <v>179.4</v>
      </c>
      <c r="X344">
        <v>183.8</v>
      </c>
      <c r="Y344">
        <v>178.9</v>
      </c>
      <c r="Z344">
        <v>178.8</v>
      </c>
      <c r="AA344" s="1">
        <f>SUM(Table14[[#This Row],[Cereals and products]:[Food and beverages]])/13</f>
        <v>174.93846153846152</v>
      </c>
      <c r="AB344" s="1">
        <f>SUM(Table14[[#This Row],[Fuel and light]])</f>
        <v>181.5</v>
      </c>
      <c r="AC344" s="1">
        <f>SUM(Table14[[#This Row],[Transport and communication]])</f>
        <v>169.4</v>
      </c>
      <c r="AD344" s="1">
        <f>SUM(Table14[[#This Row],[Housing]],Table14[[#This Row],[Household goods and services]])/2</f>
        <v>177.14999999999998</v>
      </c>
      <c r="AE344" s="1">
        <f>SUM(Table14[[#This Row],[Health]])</f>
        <v>187.2</v>
      </c>
      <c r="AF344" s="1">
        <f>SUM(Table14[[#This Row],[Recreation and amusement]],Table14[[#This Row],[Education]])/2</f>
        <v>176.3</v>
      </c>
      <c r="AG344" s="1">
        <f>SUM(Table14[[#This Row],[Miscellaneous]],Table14[[#This Row],[Personal care and effects]])/2</f>
        <v>181.35000000000002</v>
      </c>
    </row>
    <row r="345" spans="1:33" hidden="1" x14ac:dyDescent="0.3">
      <c r="A345" t="s">
        <v>35</v>
      </c>
      <c r="B345">
        <v>2023</v>
      </c>
      <c r="C345" t="s">
        <v>48</v>
      </c>
      <c r="D345">
        <v>173.8</v>
      </c>
      <c r="E345">
        <v>209.3</v>
      </c>
      <c r="F345">
        <v>169.6</v>
      </c>
      <c r="G345">
        <v>178.4</v>
      </c>
      <c r="H345">
        <v>174.9</v>
      </c>
      <c r="I345">
        <v>176.3</v>
      </c>
      <c r="J345">
        <v>155.4</v>
      </c>
      <c r="K345">
        <v>173.4</v>
      </c>
      <c r="L345">
        <v>121.3</v>
      </c>
      <c r="M345">
        <v>212.9</v>
      </c>
      <c r="N345">
        <v>172.9</v>
      </c>
      <c r="O345">
        <v>193.5</v>
      </c>
      <c r="P345">
        <v>177.9</v>
      </c>
      <c r="Q345">
        <v>175.2</v>
      </c>
      <c r="R345">
        <v>181.7</v>
      </c>
      <c r="S345">
        <v>174.6</v>
      </c>
      <c r="T345">
        <v>185</v>
      </c>
      <c r="U345">
        <v>164.5</v>
      </c>
      <c r="V345">
        <v>170.7</v>
      </c>
      <c r="W345">
        <v>176.4</v>
      </c>
      <c r="X345">
        <v>184</v>
      </c>
      <c r="Y345">
        <v>175</v>
      </c>
      <c r="Z345">
        <v>178.1</v>
      </c>
      <c r="AA345" s="1">
        <f>SUM(Table14[[#This Row],[Cereals and products]:[Food and beverages]])/13</f>
        <v>176.12307692307695</v>
      </c>
      <c r="AB345" s="1">
        <f>SUM(Table14[[#This Row],[Fuel and light]])</f>
        <v>181.7</v>
      </c>
      <c r="AC345" s="1">
        <f>SUM(Table14[[#This Row],[Transport and communication]])</f>
        <v>164.5</v>
      </c>
      <c r="AD345" s="1">
        <f>SUM(Table14[[#This Row],[Housing]],Table14[[#This Row],[Household goods and services]])/2</f>
        <v>174.89999999999998</v>
      </c>
      <c r="AE345" s="1">
        <f>SUM(Table14[[#This Row],[Health]])</f>
        <v>185</v>
      </c>
      <c r="AF345" s="1">
        <f>SUM(Table14[[#This Row],[Recreation and amusement]],Table14[[#This Row],[Education]])/2</f>
        <v>173.55</v>
      </c>
      <c r="AG345" s="1">
        <f>SUM(Table14[[#This Row],[Miscellaneous]],Table14[[#This Row],[Personal care and effects]])/2</f>
        <v>179.5</v>
      </c>
    </row>
    <row r="346" spans="1:33" hidden="1" x14ac:dyDescent="0.3">
      <c r="A346" t="s">
        <v>36</v>
      </c>
      <c r="B346">
        <v>2023</v>
      </c>
      <c r="C346" t="s">
        <v>48</v>
      </c>
      <c r="D346">
        <v>174.8</v>
      </c>
      <c r="E346">
        <v>213.7</v>
      </c>
      <c r="F346">
        <v>172.4</v>
      </c>
      <c r="G346">
        <v>178.8</v>
      </c>
      <c r="H346">
        <v>168.7</v>
      </c>
      <c r="I346">
        <v>179.2</v>
      </c>
      <c r="J346">
        <v>179.9</v>
      </c>
      <c r="K346">
        <v>174.7</v>
      </c>
      <c r="L346">
        <v>123.1</v>
      </c>
      <c r="M346">
        <v>207.8</v>
      </c>
      <c r="N346">
        <v>165.5</v>
      </c>
      <c r="O346">
        <v>197</v>
      </c>
      <c r="P346">
        <v>182.1</v>
      </c>
      <c r="Q346">
        <v>175.2</v>
      </c>
      <c r="R346">
        <v>182.1</v>
      </c>
      <c r="S346">
        <v>169.6</v>
      </c>
      <c r="T346">
        <v>181.5</v>
      </c>
      <c r="U346">
        <v>160.1</v>
      </c>
      <c r="V346">
        <v>168.8</v>
      </c>
      <c r="W346">
        <v>174.2</v>
      </c>
      <c r="X346">
        <v>184.4</v>
      </c>
      <c r="Y346">
        <v>170.9</v>
      </c>
      <c r="Z346">
        <v>177.4</v>
      </c>
      <c r="AA346" s="1">
        <f>SUM(Table14[[#This Row],[Cereals and products]:[Food and beverages]])/13</f>
        <v>178.28461538461539</v>
      </c>
      <c r="AB346" s="1">
        <f>SUM(Table14[[#This Row],[Fuel and light]])</f>
        <v>182.1</v>
      </c>
      <c r="AC346" s="1">
        <f>SUM(Table14[[#This Row],[Transport and communication]])</f>
        <v>160.1</v>
      </c>
      <c r="AD346" s="1">
        <f>SUM(Table14[[#This Row],[Housing]],Table14[[#This Row],[Household goods and services]])/2</f>
        <v>172.39999999999998</v>
      </c>
      <c r="AE346" s="1">
        <f>SUM(Table14[[#This Row],[Health]])</f>
        <v>181.5</v>
      </c>
      <c r="AF346" s="1">
        <f>SUM(Table14[[#This Row],[Recreation and amusement]],Table14[[#This Row],[Education]])/2</f>
        <v>171.5</v>
      </c>
      <c r="AG346" s="1">
        <f>SUM(Table14[[#This Row],[Miscellaneous]],Table14[[#This Row],[Personal care and effects]])/2</f>
        <v>177.65</v>
      </c>
    </row>
    <row r="347" spans="1:33" hidden="1" x14ac:dyDescent="0.3">
      <c r="A347" t="s">
        <v>33</v>
      </c>
      <c r="B347">
        <v>2022</v>
      </c>
      <c r="C347" t="s">
        <v>48</v>
      </c>
      <c r="D347">
        <v>151.80000000000001</v>
      </c>
      <c r="E347">
        <v>209.7</v>
      </c>
      <c r="F347">
        <v>164.5</v>
      </c>
      <c r="G347">
        <v>163.80000000000001</v>
      </c>
      <c r="H347">
        <v>207.4</v>
      </c>
      <c r="I347">
        <v>169.7</v>
      </c>
      <c r="J347">
        <v>153.6</v>
      </c>
      <c r="K347">
        <v>165.1</v>
      </c>
      <c r="L347">
        <v>118.2</v>
      </c>
      <c r="M347">
        <v>182.9</v>
      </c>
      <c r="N347">
        <v>172.4</v>
      </c>
      <c r="O347">
        <v>178.9</v>
      </c>
      <c r="P347">
        <v>168.6</v>
      </c>
      <c r="Q347">
        <f>AVERAGE(Q348:Q349)</f>
        <v>167</v>
      </c>
      <c r="R347">
        <v>173.3</v>
      </c>
      <c r="S347">
        <v>167.7</v>
      </c>
      <c r="T347">
        <v>177</v>
      </c>
      <c r="U347">
        <v>166.2</v>
      </c>
      <c r="V347">
        <v>167.2</v>
      </c>
      <c r="W347">
        <v>170.9</v>
      </c>
      <c r="X347">
        <v>169</v>
      </c>
      <c r="Y347">
        <v>170.2</v>
      </c>
      <c r="Z347">
        <v>170.8</v>
      </c>
      <c r="AA347" s="1">
        <f>SUM(Table14[[#This Row],[Cereals and products]:[Food and beverages]])/13</f>
        <v>169.73846153846154</v>
      </c>
      <c r="AB347" s="1">
        <f>SUM(Table14[[#This Row],[Fuel and light]])</f>
        <v>173.3</v>
      </c>
      <c r="AC347" s="1">
        <f>SUM(Table14[[#This Row],[Transport and communication]])</f>
        <v>166.2</v>
      </c>
      <c r="AD347" s="1">
        <f>SUM(Table14[[#This Row],[Housing]],Table14[[#This Row],[Household goods and services]])/2</f>
        <v>167.35</v>
      </c>
      <c r="AE347" s="1">
        <f>SUM(Table14[[#This Row],[Health]])</f>
        <v>177</v>
      </c>
      <c r="AF347" s="1">
        <f>SUM(Table14[[#This Row],[Recreation and amusement]],Table14[[#This Row],[Education]])/2</f>
        <v>169.05</v>
      </c>
      <c r="AG347" s="1">
        <f>SUM(Table14[[#This Row],[Miscellaneous]],Table14[[#This Row],[Personal care and effects]])/2</f>
        <v>169.6</v>
      </c>
    </row>
    <row r="348" spans="1:33" hidden="1" x14ac:dyDescent="0.3">
      <c r="A348" t="s">
        <v>35</v>
      </c>
      <c r="B348">
        <v>2022</v>
      </c>
      <c r="C348" t="s">
        <v>48</v>
      </c>
      <c r="D348">
        <v>152.9</v>
      </c>
      <c r="E348">
        <v>211.8</v>
      </c>
      <c r="F348">
        <v>164.5</v>
      </c>
      <c r="G348">
        <v>163.9</v>
      </c>
      <c r="H348">
        <v>199.5</v>
      </c>
      <c r="I348">
        <v>172.6</v>
      </c>
      <c r="J348">
        <v>166.2</v>
      </c>
      <c r="K348">
        <v>164.7</v>
      </c>
      <c r="L348">
        <v>119</v>
      </c>
      <c r="M348">
        <v>181.3</v>
      </c>
      <c r="N348">
        <v>166.2</v>
      </c>
      <c r="O348">
        <v>180.9</v>
      </c>
      <c r="P348">
        <v>170.8</v>
      </c>
      <c r="Q348">
        <v>167</v>
      </c>
      <c r="R348">
        <v>172.2</v>
      </c>
      <c r="S348">
        <v>164</v>
      </c>
      <c r="T348">
        <v>174</v>
      </c>
      <c r="U348">
        <v>162.6</v>
      </c>
      <c r="V348">
        <v>164.4</v>
      </c>
      <c r="W348">
        <v>166.9</v>
      </c>
      <c r="X348">
        <v>168.8</v>
      </c>
      <c r="Y348">
        <v>166.8</v>
      </c>
      <c r="Z348">
        <v>170.1</v>
      </c>
      <c r="AA348" s="1">
        <f>SUM(Table14[[#This Row],[Cereals and products]:[Food and beverages]])/13</f>
        <v>170.33076923076925</v>
      </c>
      <c r="AB348" s="1">
        <f>SUM(Table14[[#This Row],[Fuel and light]])</f>
        <v>172.2</v>
      </c>
      <c r="AC348" s="1">
        <f>SUM(Table14[[#This Row],[Transport and communication]])</f>
        <v>162.6</v>
      </c>
      <c r="AD348" s="1">
        <f>SUM(Table14[[#This Row],[Housing]],Table14[[#This Row],[Household goods and services]])/2</f>
        <v>165.5</v>
      </c>
      <c r="AE348" s="1">
        <f>SUM(Table14[[#This Row],[Health]])</f>
        <v>174</v>
      </c>
      <c r="AF348" s="1">
        <f>SUM(Table14[[#This Row],[Recreation and amusement]],Table14[[#This Row],[Education]])/2</f>
        <v>165.65</v>
      </c>
      <c r="AG348" s="1">
        <f>SUM(Table14[[#This Row],[Miscellaneous]],Table14[[#This Row],[Personal care and effects]])/2</f>
        <v>167.8</v>
      </c>
    </row>
    <row r="349" spans="1:33" hidden="1" x14ac:dyDescent="0.3">
      <c r="A349" t="s">
        <v>36</v>
      </c>
      <c r="B349">
        <v>2022</v>
      </c>
      <c r="C349" t="s">
        <v>48</v>
      </c>
      <c r="D349">
        <v>155.4</v>
      </c>
      <c r="E349">
        <v>215.8</v>
      </c>
      <c r="F349">
        <v>164.6</v>
      </c>
      <c r="G349">
        <v>164.2</v>
      </c>
      <c r="H349">
        <v>186</v>
      </c>
      <c r="I349">
        <v>175.9</v>
      </c>
      <c r="J349">
        <v>190.7</v>
      </c>
      <c r="K349">
        <v>164</v>
      </c>
      <c r="L349">
        <v>120.5</v>
      </c>
      <c r="M349">
        <v>178</v>
      </c>
      <c r="N349">
        <v>157.5</v>
      </c>
      <c r="O349">
        <v>183.3</v>
      </c>
      <c r="P349">
        <v>174.5</v>
      </c>
      <c r="Q349">
        <v>167</v>
      </c>
      <c r="R349">
        <v>170.5</v>
      </c>
      <c r="S349">
        <v>159.80000000000001</v>
      </c>
      <c r="T349">
        <v>169</v>
      </c>
      <c r="U349">
        <v>159.30000000000001</v>
      </c>
      <c r="V349">
        <v>162.19999999999999</v>
      </c>
      <c r="W349">
        <v>164</v>
      </c>
      <c r="X349">
        <v>168.4</v>
      </c>
      <c r="Y349">
        <v>163.1</v>
      </c>
      <c r="Z349">
        <v>169.2</v>
      </c>
      <c r="AA349" s="1">
        <f>SUM(Table14[[#This Row],[Cereals and products]:[Food and beverages]])/13</f>
        <v>171.56923076923078</v>
      </c>
      <c r="AB349" s="1">
        <f>SUM(Table14[[#This Row],[Fuel and light]])</f>
        <v>170.5</v>
      </c>
      <c r="AC349" s="1">
        <f>SUM(Table14[[#This Row],[Transport and communication]])</f>
        <v>159.30000000000001</v>
      </c>
      <c r="AD349" s="1">
        <f>SUM(Table14[[#This Row],[Housing]],Table14[[#This Row],[Household goods and services]])/2</f>
        <v>163.4</v>
      </c>
      <c r="AE349" s="1">
        <f>SUM(Table14[[#This Row],[Health]])</f>
        <v>169</v>
      </c>
      <c r="AF349" s="1">
        <f>SUM(Table14[[#This Row],[Recreation and amusement]],Table14[[#This Row],[Education]])/2</f>
        <v>163.1</v>
      </c>
      <c r="AG349" s="1">
        <f>SUM(Table14[[#This Row],[Miscellaneous]],Table14[[#This Row],[Personal care and effects]])/2</f>
        <v>165.75</v>
      </c>
    </row>
    <row r="350" spans="1:33" hidden="1" x14ac:dyDescent="0.3">
      <c r="A350" t="s">
        <v>33</v>
      </c>
      <c r="B350">
        <v>2021</v>
      </c>
      <c r="C350" t="s">
        <v>40</v>
      </c>
      <c r="D350">
        <v>146.1</v>
      </c>
      <c r="E350">
        <v>202.5</v>
      </c>
      <c r="F350">
        <v>170.1</v>
      </c>
      <c r="G350">
        <v>158.4</v>
      </c>
      <c r="H350">
        <v>198.8</v>
      </c>
      <c r="I350">
        <v>152.6</v>
      </c>
      <c r="J350">
        <v>170.4</v>
      </c>
      <c r="K350">
        <v>165.2</v>
      </c>
      <c r="L350">
        <v>121.6</v>
      </c>
      <c r="M350">
        <v>170.6</v>
      </c>
      <c r="N350">
        <v>168.8</v>
      </c>
      <c r="O350">
        <v>173.6</v>
      </c>
      <c r="P350">
        <v>165.5</v>
      </c>
      <c r="Q350">
        <v>156.5</v>
      </c>
      <c r="R350">
        <v>165.5</v>
      </c>
      <c r="S350">
        <v>162</v>
      </c>
      <c r="T350">
        <v>172.5</v>
      </c>
      <c r="U350">
        <v>159.5</v>
      </c>
      <c r="V350">
        <v>163.19999999999999</v>
      </c>
      <c r="W350">
        <v>169</v>
      </c>
      <c r="X350">
        <v>161.1</v>
      </c>
      <c r="Y350">
        <v>164.7</v>
      </c>
      <c r="Z350">
        <v>166.3</v>
      </c>
      <c r="AA350" s="1">
        <f>SUM(Table14[[#This Row],[Cereals and products]:[Food and beverages]])/13</f>
        <v>166.47692307692307</v>
      </c>
      <c r="AB350" s="1">
        <f>SUM(Table14[[#This Row],[Fuel and light]])</f>
        <v>165.5</v>
      </c>
      <c r="AC350" s="1">
        <f>SUM(Table14[[#This Row],[Transport and communication]])</f>
        <v>159.5</v>
      </c>
      <c r="AD350" s="1">
        <f>SUM(Table14[[#This Row],[Housing]],Table14[[#This Row],[Household goods and services]])/2</f>
        <v>159.25</v>
      </c>
      <c r="AE350" s="1">
        <f>SUM(Table14[[#This Row],[Health]])</f>
        <v>172.5</v>
      </c>
      <c r="AF350" s="1">
        <f>SUM(Table14[[#This Row],[Recreation and amusement]],Table14[[#This Row],[Education]])/2</f>
        <v>166.1</v>
      </c>
      <c r="AG350" s="1">
        <f>SUM(Table14[[#This Row],[Miscellaneous]],Table14[[#This Row],[Personal care and effects]])/2</f>
        <v>162.89999999999998</v>
      </c>
    </row>
    <row r="351" spans="1:33" hidden="1" x14ac:dyDescent="0.3">
      <c r="A351" t="s">
        <v>35</v>
      </c>
      <c r="B351">
        <v>2021</v>
      </c>
      <c r="C351" t="s">
        <v>40</v>
      </c>
      <c r="D351">
        <v>147.4</v>
      </c>
      <c r="E351">
        <v>204.6</v>
      </c>
      <c r="F351">
        <v>171.2</v>
      </c>
      <c r="G351">
        <v>158.69999999999999</v>
      </c>
      <c r="H351">
        <v>190.6</v>
      </c>
      <c r="I351">
        <v>155.69999999999999</v>
      </c>
      <c r="J351">
        <v>185.3</v>
      </c>
      <c r="K351">
        <v>165.2</v>
      </c>
      <c r="L351">
        <v>121.9</v>
      </c>
      <c r="M351">
        <v>169.3</v>
      </c>
      <c r="N351">
        <v>163.19999999999999</v>
      </c>
      <c r="O351">
        <v>174.7</v>
      </c>
      <c r="P351">
        <v>167.7</v>
      </c>
      <c r="Q351">
        <v>163.6</v>
      </c>
      <c r="R351">
        <v>164.2</v>
      </c>
      <c r="S351">
        <v>158.4</v>
      </c>
      <c r="T351">
        <v>169.1</v>
      </c>
      <c r="U351">
        <v>155.69999999999999</v>
      </c>
      <c r="V351">
        <v>158.6</v>
      </c>
      <c r="W351">
        <v>163.9</v>
      </c>
      <c r="X351">
        <v>160.80000000000001</v>
      </c>
      <c r="Y351">
        <v>161</v>
      </c>
      <c r="Z351">
        <v>165.5</v>
      </c>
      <c r="AA351" s="1">
        <f>SUM(Table14[[#This Row],[Cereals and products]:[Food and beverages]])/13</f>
        <v>167.34615384615384</v>
      </c>
      <c r="AB351" s="1">
        <f>SUM(Table14[[#This Row],[Fuel and light]])</f>
        <v>164.2</v>
      </c>
      <c r="AC351" s="1">
        <f>SUM(Table14[[#This Row],[Transport and communication]])</f>
        <v>155.69999999999999</v>
      </c>
      <c r="AD351" s="1">
        <f>SUM(Table14[[#This Row],[Housing]],Table14[[#This Row],[Household goods and services]])/2</f>
        <v>161</v>
      </c>
      <c r="AE351" s="1">
        <f>SUM(Table14[[#This Row],[Health]])</f>
        <v>169.1</v>
      </c>
      <c r="AF351" s="1">
        <f>SUM(Table14[[#This Row],[Recreation and amusement]],Table14[[#This Row],[Education]])/2</f>
        <v>161.25</v>
      </c>
      <c r="AG351" s="1">
        <f>SUM(Table14[[#This Row],[Miscellaneous]],Table14[[#This Row],[Personal care and effects]])/2</f>
        <v>160.9</v>
      </c>
    </row>
    <row r="352" spans="1:33" hidden="1" x14ac:dyDescent="0.3">
      <c r="A352" t="s">
        <v>36</v>
      </c>
      <c r="B352">
        <v>2021</v>
      </c>
      <c r="C352" t="s">
        <v>40</v>
      </c>
      <c r="D352">
        <v>150.1</v>
      </c>
      <c r="E352">
        <v>208.4</v>
      </c>
      <c r="F352">
        <v>173</v>
      </c>
      <c r="G352">
        <v>159.19999999999999</v>
      </c>
      <c r="H352">
        <v>176.6</v>
      </c>
      <c r="I352">
        <v>159.30000000000001</v>
      </c>
      <c r="J352">
        <v>214.4</v>
      </c>
      <c r="K352">
        <v>165.3</v>
      </c>
      <c r="L352">
        <v>122.5</v>
      </c>
      <c r="M352">
        <v>166.8</v>
      </c>
      <c r="N352">
        <v>155.4</v>
      </c>
      <c r="O352">
        <v>175.9</v>
      </c>
      <c r="P352">
        <v>171.5</v>
      </c>
      <c r="Q352">
        <v>163.6</v>
      </c>
      <c r="R352">
        <v>162.19999999999999</v>
      </c>
      <c r="S352">
        <v>154.30000000000001</v>
      </c>
      <c r="T352">
        <v>163.5</v>
      </c>
      <c r="U352">
        <v>152.19999999999999</v>
      </c>
      <c r="V352">
        <v>155.1</v>
      </c>
      <c r="W352">
        <v>160.30000000000001</v>
      </c>
      <c r="X352">
        <v>160.30000000000001</v>
      </c>
      <c r="Y352">
        <v>157</v>
      </c>
      <c r="Z352">
        <v>164.6</v>
      </c>
      <c r="AA352" s="1">
        <f>SUM(Table14[[#This Row],[Cereals and products]:[Food and beverages]])/13</f>
        <v>169.10769230769236</v>
      </c>
      <c r="AB352" s="1">
        <f>SUM(Table14[[#This Row],[Fuel and light]])</f>
        <v>162.19999999999999</v>
      </c>
      <c r="AC352" s="1">
        <f>SUM(Table14[[#This Row],[Transport and communication]])</f>
        <v>152.19999999999999</v>
      </c>
      <c r="AD352" s="1">
        <f>SUM(Table14[[#This Row],[Housing]],Table14[[#This Row],[Household goods and services]])/2</f>
        <v>158.94999999999999</v>
      </c>
      <c r="AE352" s="1">
        <f>SUM(Table14[[#This Row],[Health]])</f>
        <v>163.5</v>
      </c>
      <c r="AF352" s="1">
        <f>SUM(Table14[[#This Row],[Recreation and amusement]],Table14[[#This Row],[Education]])/2</f>
        <v>157.69999999999999</v>
      </c>
      <c r="AG352" s="1">
        <f>SUM(Table14[[#This Row],[Miscellaneous]],Table14[[#This Row],[Personal care and effects]])/2</f>
        <v>158.65</v>
      </c>
    </row>
    <row r="353" spans="1:33" hidden="1" x14ac:dyDescent="0.3">
      <c r="A353" t="s">
        <v>33</v>
      </c>
      <c r="B353">
        <v>2021</v>
      </c>
      <c r="C353" t="s">
        <v>34</v>
      </c>
      <c r="D353">
        <v>145.4</v>
      </c>
      <c r="E353">
        <v>202.1</v>
      </c>
      <c r="F353">
        <v>172</v>
      </c>
      <c r="G353">
        <v>158</v>
      </c>
      <c r="H353">
        <v>195.5</v>
      </c>
      <c r="I353">
        <v>152.69999999999999</v>
      </c>
      <c r="J353">
        <v>151.4</v>
      </c>
      <c r="K353">
        <v>163.9</v>
      </c>
      <c r="L353">
        <v>119.3</v>
      </c>
      <c r="M353">
        <v>170.1</v>
      </c>
      <c r="N353">
        <v>168.3</v>
      </c>
      <c r="O353">
        <v>172.8</v>
      </c>
      <c r="P353">
        <v>162.1</v>
      </c>
      <c r="Q353">
        <v>156.30000000000001</v>
      </c>
      <c r="R353">
        <v>163.69999999999999</v>
      </c>
      <c r="S353">
        <v>161.30000000000001</v>
      </c>
      <c r="T353">
        <v>171.9</v>
      </c>
      <c r="U353">
        <v>157.80000000000001</v>
      </c>
      <c r="V353">
        <v>162.69999999999999</v>
      </c>
      <c r="W353">
        <v>168.5</v>
      </c>
      <c r="X353">
        <v>160.19999999999999</v>
      </c>
      <c r="Y353">
        <v>163.80000000000001</v>
      </c>
      <c r="Z353">
        <v>164</v>
      </c>
      <c r="AA353" s="1">
        <f>SUM(Table14[[#This Row],[Cereals and products]:[Food and beverages]])/13</f>
        <v>164.12307692307692</v>
      </c>
      <c r="AB353" s="1">
        <f>SUM(Table14[[#This Row],[Fuel and light]])</f>
        <v>163.69999999999999</v>
      </c>
      <c r="AC353" s="1">
        <f>SUM(Table14[[#This Row],[Transport and communication]])</f>
        <v>157.80000000000001</v>
      </c>
      <c r="AD353" s="1">
        <f>SUM(Table14[[#This Row],[Housing]],Table14[[#This Row],[Household goods and services]])/2</f>
        <v>158.80000000000001</v>
      </c>
      <c r="AE353" s="1">
        <f>SUM(Table14[[#This Row],[Health]])</f>
        <v>171.9</v>
      </c>
      <c r="AF353" s="1">
        <f>SUM(Table14[[#This Row],[Recreation and amusement]],Table14[[#This Row],[Education]])/2</f>
        <v>165.6</v>
      </c>
      <c r="AG353" s="1">
        <f>SUM(Table14[[#This Row],[Miscellaneous]],Table14[[#This Row],[Personal care and effects]])/2</f>
        <v>162</v>
      </c>
    </row>
    <row r="354" spans="1:33" hidden="1" x14ac:dyDescent="0.3">
      <c r="A354" t="s">
        <v>35</v>
      </c>
      <c r="B354">
        <v>2021</v>
      </c>
      <c r="C354" t="s">
        <v>34</v>
      </c>
      <c r="D354">
        <v>146.6</v>
      </c>
      <c r="E354">
        <v>204</v>
      </c>
      <c r="F354">
        <v>172.8</v>
      </c>
      <c r="G354">
        <v>158.4</v>
      </c>
      <c r="H354">
        <v>188</v>
      </c>
      <c r="I354">
        <v>156.69999999999999</v>
      </c>
      <c r="J354">
        <v>162.30000000000001</v>
      </c>
      <c r="K354">
        <v>164.1</v>
      </c>
      <c r="L354">
        <v>119.7</v>
      </c>
      <c r="M354">
        <v>168.8</v>
      </c>
      <c r="N354">
        <v>162.69999999999999</v>
      </c>
      <c r="O354">
        <v>173.9</v>
      </c>
      <c r="P354">
        <v>164</v>
      </c>
      <c r="Q354">
        <v>162.1</v>
      </c>
      <c r="R354">
        <v>162.6</v>
      </c>
      <c r="S354">
        <v>157.5</v>
      </c>
      <c r="T354">
        <v>168.4</v>
      </c>
      <c r="U354">
        <v>154</v>
      </c>
      <c r="V354">
        <v>157.69999999999999</v>
      </c>
      <c r="W354">
        <v>163.69999999999999</v>
      </c>
      <c r="X354">
        <v>160</v>
      </c>
      <c r="Y354">
        <v>160</v>
      </c>
      <c r="Z354">
        <v>163.19999999999999</v>
      </c>
      <c r="AA354" s="1">
        <f>SUM(Table14[[#This Row],[Cereals and products]:[Food and beverages]])/13</f>
        <v>164.76923076923077</v>
      </c>
      <c r="AB354" s="1">
        <f>SUM(Table14[[#This Row],[Fuel and light]])</f>
        <v>162.6</v>
      </c>
      <c r="AC354" s="1">
        <f>SUM(Table14[[#This Row],[Transport and communication]])</f>
        <v>154</v>
      </c>
      <c r="AD354" s="1">
        <f>SUM(Table14[[#This Row],[Housing]],Table14[[#This Row],[Household goods and services]])/2</f>
        <v>159.80000000000001</v>
      </c>
      <c r="AE354" s="1">
        <f>SUM(Table14[[#This Row],[Health]])</f>
        <v>168.4</v>
      </c>
      <c r="AF354" s="1">
        <f>SUM(Table14[[#This Row],[Recreation and amusement]],Table14[[#This Row],[Education]])/2</f>
        <v>160.69999999999999</v>
      </c>
      <c r="AG354" s="1">
        <f>SUM(Table14[[#This Row],[Miscellaneous]],Table14[[#This Row],[Personal care and effects]])/2</f>
        <v>160</v>
      </c>
    </row>
    <row r="355" spans="1:33" hidden="1" x14ac:dyDescent="0.3">
      <c r="A355" t="s">
        <v>36</v>
      </c>
      <c r="B355">
        <v>2021</v>
      </c>
      <c r="C355" t="s">
        <v>34</v>
      </c>
      <c r="D355">
        <v>149.30000000000001</v>
      </c>
      <c r="E355">
        <v>207.4</v>
      </c>
      <c r="F355">
        <v>174.1</v>
      </c>
      <c r="G355">
        <v>159.1</v>
      </c>
      <c r="H355">
        <v>175</v>
      </c>
      <c r="I355">
        <v>161.19999999999999</v>
      </c>
      <c r="J355">
        <v>183.5</v>
      </c>
      <c r="K355">
        <v>164.5</v>
      </c>
      <c r="L355">
        <v>120.4</v>
      </c>
      <c r="M355">
        <v>166.2</v>
      </c>
      <c r="N355">
        <v>154.80000000000001</v>
      </c>
      <c r="O355">
        <v>175.1</v>
      </c>
      <c r="P355">
        <v>167.3</v>
      </c>
      <c r="Q355">
        <v>162.1</v>
      </c>
      <c r="R355">
        <v>160.80000000000001</v>
      </c>
      <c r="S355">
        <v>153.30000000000001</v>
      </c>
      <c r="T355">
        <v>162.80000000000001</v>
      </c>
      <c r="U355">
        <v>150.5</v>
      </c>
      <c r="V355">
        <v>153.9</v>
      </c>
      <c r="W355">
        <v>160.30000000000001</v>
      </c>
      <c r="X355">
        <v>159.6</v>
      </c>
      <c r="Y355">
        <v>156</v>
      </c>
      <c r="Z355">
        <v>162.30000000000001</v>
      </c>
      <c r="AA355" s="1">
        <f>SUM(Table14[[#This Row],[Cereals and products]:[Food and beverages]])/13</f>
        <v>165.99230769230769</v>
      </c>
      <c r="AB355" s="1">
        <f>SUM(Table14[[#This Row],[Fuel and light]])</f>
        <v>160.80000000000001</v>
      </c>
      <c r="AC355" s="1">
        <f>SUM(Table14[[#This Row],[Transport and communication]])</f>
        <v>150.5</v>
      </c>
      <c r="AD355" s="1">
        <f>SUM(Table14[[#This Row],[Housing]],Table14[[#This Row],[Household goods and services]])/2</f>
        <v>157.69999999999999</v>
      </c>
      <c r="AE355" s="1">
        <f>SUM(Table14[[#This Row],[Health]])</f>
        <v>162.80000000000001</v>
      </c>
      <c r="AF355" s="1">
        <f>SUM(Table14[[#This Row],[Recreation and amusement]],Table14[[#This Row],[Education]])/2</f>
        <v>157.10000000000002</v>
      </c>
      <c r="AG355" s="1">
        <f>SUM(Table14[[#This Row],[Miscellaneous]],Table14[[#This Row],[Personal care and effects]])/2</f>
        <v>157.80000000000001</v>
      </c>
    </row>
    <row r="356" spans="1:33" hidden="1" x14ac:dyDescent="0.3">
      <c r="A356" t="s">
        <v>36</v>
      </c>
      <c r="B356">
        <v>2018</v>
      </c>
      <c r="C356" t="s">
        <v>48</v>
      </c>
      <c r="D356">
        <v>135</v>
      </c>
      <c r="E356">
        <v>144.30000000000001</v>
      </c>
      <c r="F356">
        <v>130.80000000000001</v>
      </c>
      <c r="G356">
        <v>140.30000000000001</v>
      </c>
      <c r="H356">
        <v>116.6</v>
      </c>
      <c r="I356">
        <v>150.1</v>
      </c>
      <c r="J356">
        <v>127.6</v>
      </c>
      <c r="K356">
        <v>114</v>
      </c>
      <c r="L356">
        <v>110.6</v>
      </c>
      <c r="M356">
        <v>140.19999999999999</v>
      </c>
      <c r="N356">
        <v>126.5</v>
      </c>
      <c r="O356">
        <v>148.30000000000001</v>
      </c>
      <c r="P356">
        <v>135.69999999999999</v>
      </c>
      <c r="Q356">
        <v>142.9</v>
      </c>
      <c r="R356">
        <v>124.6</v>
      </c>
      <c r="S356">
        <v>131.80000000000001</v>
      </c>
      <c r="T356">
        <v>131.30000000000001</v>
      </c>
      <c r="U356">
        <v>118.9</v>
      </c>
      <c r="V356">
        <v>127.6</v>
      </c>
      <c r="W356">
        <v>139.69999999999999</v>
      </c>
      <c r="X356">
        <v>127.6</v>
      </c>
      <c r="Y356">
        <v>128.19999999999999</v>
      </c>
      <c r="Z356">
        <v>134.80000000000001</v>
      </c>
      <c r="AA356" s="1">
        <f>SUM(Table14[[#This Row],[Cereals and products]:[Food and beverages]])/13</f>
        <v>132.30769230769232</v>
      </c>
      <c r="AB356" s="1">
        <f>SUM(Table14[[#This Row],[Fuel and light]])</f>
        <v>124.6</v>
      </c>
      <c r="AC356" s="1">
        <f>SUM(Table14[[#This Row],[Transport and communication]])</f>
        <v>118.9</v>
      </c>
      <c r="AD356" s="1">
        <f>SUM(Table14[[#This Row],[Housing]],Table14[[#This Row],[Household goods and services]])/2</f>
        <v>137.35000000000002</v>
      </c>
      <c r="AE356" s="1">
        <f>SUM(Table14[[#This Row],[Health]])</f>
        <v>131.30000000000001</v>
      </c>
      <c r="AF356" s="1">
        <f>SUM(Table14[[#This Row],[Recreation and amusement]],Table14[[#This Row],[Education]])/2</f>
        <v>133.64999999999998</v>
      </c>
      <c r="AG356" s="1">
        <f>SUM(Table14[[#This Row],[Miscellaneous]],Table14[[#This Row],[Personal care and effects]])/2</f>
        <v>127.89999999999999</v>
      </c>
    </row>
    <row r="357" spans="1:33" hidden="1" x14ac:dyDescent="0.3">
      <c r="A357" t="s">
        <v>35</v>
      </c>
      <c r="B357">
        <v>2018</v>
      </c>
      <c r="C357" t="s">
        <v>48</v>
      </c>
      <c r="D357">
        <v>136.4</v>
      </c>
      <c r="E357">
        <v>144.4</v>
      </c>
      <c r="F357">
        <v>133.9</v>
      </c>
      <c r="G357">
        <v>141.6</v>
      </c>
      <c r="H357">
        <v>121</v>
      </c>
      <c r="I357">
        <v>153.5</v>
      </c>
      <c r="J357">
        <v>132.6</v>
      </c>
      <c r="K357">
        <v>123.5</v>
      </c>
      <c r="L357">
        <v>113.7</v>
      </c>
      <c r="M357">
        <v>138.19999999999999</v>
      </c>
      <c r="N357">
        <v>129.6</v>
      </c>
      <c r="O357">
        <v>151.19999999999999</v>
      </c>
      <c r="P357">
        <v>137.5</v>
      </c>
      <c r="Q357">
        <v>142.9</v>
      </c>
      <c r="R357">
        <v>136.5</v>
      </c>
      <c r="S357">
        <v>136.6</v>
      </c>
      <c r="T357">
        <v>135.19999999999999</v>
      </c>
      <c r="U357">
        <v>121.9</v>
      </c>
      <c r="V357">
        <v>131.30000000000001</v>
      </c>
      <c r="W357">
        <v>141.4</v>
      </c>
      <c r="X357">
        <v>129.19999999999999</v>
      </c>
      <c r="Y357">
        <v>131.30000000000001</v>
      </c>
      <c r="Z357">
        <v>137.1</v>
      </c>
      <c r="AA357" s="1">
        <f>SUM(Table14[[#This Row],[Cereals and products]:[Food and beverages]])/13</f>
        <v>135.16153846153847</v>
      </c>
      <c r="AB357" s="1">
        <f>SUM(Table14[[#This Row],[Fuel and light]])</f>
        <v>136.5</v>
      </c>
      <c r="AC357" s="1">
        <f>SUM(Table14[[#This Row],[Transport and communication]])</f>
        <v>121.9</v>
      </c>
      <c r="AD357" s="1">
        <f>SUM(Table14[[#This Row],[Housing]],Table14[[#This Row],[Household goods and services]])/2</f>
        <v>139.75</v>
      </c>
      <c r="AE357" s="1">
        <f>SUM(Table14[[#This Row],[Health]])</f>
        <v>135.19999999999999</v>
      </c>
      <c r="AF357" s="1">
        <f>SUM(Table14[[#This Row],[Recreation and amusement]],Table14[[#This Row],[Education]])/2</f>
        <v>136.35000000000002</v>
      </c>
      <c r="AG357" s="1">
        <f>SUM(Table14[[#This Row],[Miscellaneous]],Table14[[#This Row],[Personal care and effects]])/2</f>
        <v>130.25</v>
      </c>
    </row>
    <row r="358" spans="1:33" hidden="1" x14ac:dyDescent="0.3">
      <c r="A358" t="s">
        <v>33</v>
      </c>
      <c r="B358">
        <v>2018</v>
      </c>
      <c r="C358" t="s">
        <v>48</v>
      </c>
      <c r="D358">
        <v>137.1</v>
      </c>
      <c r="E358">
        <v>144.5</v>
      </c>
      <c r="F358">
        <v>135.9</v>
      </c>
      <c r="G358">
        <v>142.4</v>
      </c>
      <c r="H358">
        <v>123.5</v>
      </c>
      <c r="I358">
        <v>156.4</v>
      </c>
      <c r="J358">
        <v>135.1</v>
      </c>
      <c r="K358">
        <v>128.4</v>
      </c>
      <c r="L358">
        <v>115.2</v>
      </c>
      <c r="M358">
        <v>137.19999999999999</v>
      </c>
      <c r="N358">
        <v>131.9</v>
      </c>
      <c r="O358">
        <v>153.80000000000001</v>
      </c>
      <c r="P358">
        <v>138.6</v>
      </c>
      <c r="Q358">
        <f>AVERAGE(Q356:Q357)</f>
        <v>142.9</v>
      </c>
      <c r="R358">
        <v>143.80000000000001</v>
      </c>
      <c r="S358">
        <v>140.9</v>
      </c>
      <c r="T358">
        <v>137.6</v>
      </c>
      <c r="U358">
        <v>125.3</v>
      </c>
      <c r="V358">
        <v>136</v>
      </c>
      <c r="W358">
        <v>143.69999999999999</v>
      </c>
      <c r="X358">
        <v>130.4</v>
      </c>
      <c r="Y358">
        <v>134.19999999999999</v>
      </c>
      <c r="Z358">
        <v>139.1</v>
      </c>
      <c r="AA358" s="1">
        <f>SUM(Table14[[#This Row],[Cereals and products]:[Food and beverages]])/13</f>
        <v>136.92307692307693</v>
      </c>
      <c r="AB358" s="1">
        <f>SUM(Table14[[#This Row],[Fuel and light]])</f>
        <v>143.80000000000001</v>
      </c>
      <c r="AC358" s="1">
        <f>SUM(Table14[[#This Row],[Transport and communication]])</f>
        <v>125.3</v>
      </c>
      <c r="AD358" s="1">
        <f>SUM(Table14[[#This Row],[Housing]],Table14[[#This Row],[Household goods and services]])/2</f>
        <v>141.9</v>
      </c>
      <c r="AE358" s="1">
        <f>SUM(Table14[[#This Row],[Health]])</f>
        <v>137.6</v>
      </c>
      <c r="AF358" s="1">
        <f>SUM(Table14[[#This Row],[Recreation and amusement]],Table14[[#This Row],[Education]])/2</f>
        <v>139.85</v>
      </c>
      <c r="AG358" s="1">
        <f>SUM(Table14[[#This Row],[Miscellaneous]],Table14[[#This Row],[Personal care and effects]])/2</f>
        <v>132.30000000000001</v>
      </c>
    </row>
    <row r="359" spans="1:33" hidden="1" x14ac:dyDescent="0.3">
      <c r="A359" t="s">
        <v>36</v>
      </c>
      <c r="B359">
        <v>2017</v>
      </c>
      <c r="C359" t="s">
        <v>48</v>
      </c>
      <c r="D359">
        <v>132.69999999999999</v>
      </c>
      <c r="E359">
        <v>140.6</v>
      </c>
      <c r="F359">
        <v>124.5</v>
      </c>
      <c r="G359">
        <v>136.30000000000001</v>
      </c>
      <c r="H359">
        <v>113.5</v>
      </c>
      <c r="I359">
        <v>137.69999999999999</v>
      </c>
      <c r="J359">
        <v>127.1</v>
      </c>
      <c r="K359">
        <v>133.80000000000001</v>
      </c>
      <c r="L359">
        <v>120.8</v>
      </c>
      <c r="M359">
        <v>141.30000000000001</v>
      </c>
      <c r="N359">
        <v>123.8</v>
      </c>
      <c r="O359">
        <v>142.6</v>
      </c>
      <c r="P359">
        <v>133.4</v>
      </c>
      <c r="Q359">
        <v>131.69999999999999</v>
      </c>
      <c r="R359">
        <v>121.4</v>
      </c>
      <c r="S359">
        <v>126</v>
      </c>
      <c r="T359">
        <v>123.4</v>
      </c>
      <c r="U359">
        <v>114.3</v>
      </c>
      <c r="V359">
        <v>122.6</v>
      </c>
      <c r="W359">
        <v>133.6</v>
      </c>
      <c r="X359">
        <v>122.2</v>
      </c>
      <c r="Y359">
        <v>122.5</v>
      </c>
      <c r="Z359">
        <v>129.1</v>
      </c>
      <c r="AA359" s="1">
        <f>SUM(Table14[[#This Row],[Cereals and products]:[Food and beverages]])/13</f>
        <v>131.3923076923077</v>
      </c>
      <c r="AB359" s="1">
        <f>SUM(Table14[[#This Row],[Fuel and light]])</f>
        <v>121.4</v>
      </c>
      <c r="AC359" s="1">
        <f>SUM(Table14[[#This Row],[Transport and communication]])</f>
        <v>114.3</v>
      </c>
      <c r="AD359" s="1">
        <f>SUM(Table14[[#This Row],[Housing]],Table14[[#This Row],[Household goods and services]])/2</f>
        <v>128.85</v>
      </c>
      <c r="AE359" s="1">
        <f>SUM(Table14[[#This Row],[Health]])</f>
        <v>123.4</v>
      </c>
      <c r="AF359" s="1">
        <f>SUM(Table14[[#This Row],[Recreation and amusement]],Table14[[#This Row],[Education]])/2</f>
        <v>128.1</v>
      </c>
      <c r="AG359" s="1">
        <f>SUM(Table14[[#This Row],[Miscellaneous]],Table14[[#This Row],[Personal care and effects]])/2</f>
        <v>122.35</v>
      </c>
    </row>
    <row r="360" spans="1:33" hidden="1" x14ac:dyDescent="0.3">
      <c r="A360" t="s">
        <v>35</v>
      </c>
      <c r="B360">
        <v>2017</v>
      </c>
      <c r="C360" t="s">
        <v>48</v>
      </c>
      <c r="D360">
        <v>133</v>
      </c>
      <c r="E360">
        <v>139.4</v>
      </c>
      <c r="F360">
        <v>126.1</v>
      </c>
      <c r="G360">
        <v>137.19999999999999</v>
      </c>
      <c r="H360">
        <v>118.4</v>
      </c>
      <c r="I360">
        <v>139.9</v>
      </c>
      <c r="J360">
        <v>123.4</v>
      </c>
      <c r="K360">
        <v>140.9</v>
      </c>
      <c r="L360">
        <v>118.5</v>
      </c>
      <c r="M360">
        <v>136.5</v>
      </c>
      <c r="N360">
        <v>127.4</v>
      </c>
      <c r="O360">
        <v>144.19999999999999</v>
      </c>
      <c r="P360">
        <v>133.5</v>
      </c>
      <c r="Q360">
        <v>131.69999999999999</v>
      </c>
      <c r="R360">
        <v>129.80000000000001</v>
      </c>
      <c r="S360">
        <v>130.4</v>
      </c>
      <c r="T360">
        <v>128.1</v>
      </c>
      <c r="U360">
        <v>116.6</v>
      </c>
      <c r="V360">
        <v>125.1</v>
      </c>
      <c r="W360">
        <v>134.5</v>
      </c>
      <c r="X360">
        <v>123.1</v>
      </c>
      <c r="Y360">
        <v>125.1</v>
      </c>
      <c r="Z360">
        <v>131.1</v>
      </c>
      <c r="AA360" s="1">
        <f>SUM(Table14[[#This Row],[Cereals and products]:[Food and beverages]])/13</f>
        <v>132.1846153846154</v>
      </c>
      <c r="AB360" s="1">
        <f>SUM(Table14[[#This Row],[Fuel and light]])</f>
        <v>129.80000000000001</v>
      </c>
      <c r="AC360" s="1">
        <f>SUM(Table14[[#This Row],[Transport and communication]])</f>
        <v>116.6</v>
      </c>
      <c r="AD360" s="1">
        <f>SUM(Table14[[#This Row],[Housing]],Table14[[#This Row],[Household goods and services]])/2</f>
        <v>131.05000000000001</v>
      </c>
      <c r="AE360" s="1">
        <f>SUM(Table14[[#This Row],[Health]])</f>
        <v>128.1</v>
      </c>
      <c r="AF360" s="1">
        <f>SUM(Table14[[#This Row],[Recreation and amusement]],Table14[[#This Row],[Education]])/2</f>
        <v>129.80000000000001</v>
      </c>
      <c r="AG360" s="1">
        <f>SUM(Table14[[#This Row],[Miscellaneous]],Table14[[#This Row],[Personal care and effects]])/2</f>
        <v>124.1</v>
      </c>
    </row>
    <row r="361" spans="1:33" hidden="1" x14ac:dyDescent="0.3">
      <c r="A361" t="s">
        <v>33</v>
      </c>
      <c r="B361">
        <v>2017</v>
      </c>
      <c r="C361" t="s">
        <v>48</v>
      </c>
      <c r="D361">
        <v>133.19999999999999</v>
      </c>
      <c r="E361">
        <v>138.69999999999999</v>
      </c>
      <c r="F361">
        <v>127.1</v>
      </c>
      <c r="G361">
        <v>137.69999999999999</v>
      </c>
      <c r="H361">
        <v>121.3</v>
      </c>
      <c r="I361">
        <v>141.80000000000001</v>
      </c>
      <c r="J361">
        <v>121.5</v>
      </c>
      <c r="K361">
        <v>144.5</v>
      </c>
      <c r="L361">
        <v>117.4</v>
      </c>
      <c r="M361">
        <v>134.1</v>
      </c>
      <c r="N361">
        <v>130</v>
      </c>
      <c r="O361">
        <v>145.5</v>
      </c>
      <c r="P361">
        <v>133.5</v>
      </c>
      <c r="Q361">
        <f>AVERAGE(Q359:Q360)</f>
        <v>131.69999999999999</v>
      </c>
      <c r="R361">
        <v>135</v>
      </c>
      <c r="S361">
        <v>134.30000000000001</v>
      </c>
      <c r="T361">
        <v>131</v>
      </c>
      <c r="U361">
        <v>119.2</v>
      </c>
      <c r="V361">
        <v>128.30000000000001</v>
      </c>
      <c r="W361">
        <v>135.69999999999999</v>
      </c>
      <c r="X361">
        <v>123.7</v>
      </c>
      <c r="Y361">
        <v>127.5</v>
      </c>
      <c r="Z361">
        <v>132.9</v>
      </c>
      <c r="AA361" s="1">
        <f>SUM(Table14[[#This Row],[Cereals and products]:[Food and beverages]])/13</f>
        <v>132.7923076923077</v>
      </c>
      <c r="AB361" s="1">
        <f>SUM(Table14[[#This Row],[Fuel and light]])</f>
        <v>135</v>
      </c>
      <c r="AC361" s="1">
        <f>SUM(Table14[[#This Row],[Transport and communication]])</f>
        <v>119.2</v>
      </c>
      <c r="AD361" s="1">
        <f>SUM(Table14[[#This Row],[Housing]],Table14[[#This Row],[Household goods and services]])/2</f>
        <v>133</v>
      </c>
      <c r="AE361" s="1">
        <f>SUM(Table14[[#This Row],[Health]])</f>
        <v>131</v>
      </c>
      <c r="AF361" s="1">
        <f>SUM(Table14[[#This Row],[Recreation and amusement]],Table14[[#This Row],[Education]])/2</f>
        <v>132</v>
      </c>
      <c r="AG361" s="1">
        <f>SUM(Table14[[#This Row],[Miscellaneous]],Table14[[#This Row],[Personal care and effects]])/2</f>
        <v>125.6</v>
      </c>
    </row>
    <row r="362" spans="1:33" hidden="1" x14ac:dyDescent="0.3">
      <c r="A362" t="s">
        <v>36</v>
      </c>
      <c r="B362">
        <v>2016</v>
      </c>
      <c r="C362" t="s">
        <v>48</v>
      </c>
      <c r="D362">
        <v>124.9</v>
      </c>
      <c r="E362">
        <v>139.30000000000001</v>
      </c>
      <c r="F362">
        <v>119.9</v>
      </c>
      <c r="G362">
        <v>130.19999999999999</v>
      </c>
      <c r="H362">
        <v>108.9</v>
      </c>
      <c r="I362">
        <v>131.1</v>
      </c>
      <c r="J362">
        <v>136.80000000000001</v>
      </c>
      <c r="K362">
        <v>176.9</v>
      </c>
      <c r="L362">
        <v>109.1</v>
      </c>
      <c r="M362">
        <v>140.4</v>
      </c>
      <c r="N362">
        <v>121.1</v>
      </c>
      <c r="O362">
        <v>135.9</v>
      </c>
      <c r="P362">
        <v>131.80000000000001</v>
      </c>
      <c r="Q362">
        <v>125.6</v>
      </c>
      <c r="R362">
        <v>114.6</v>
      </c>
      <c r="S362">
        <v>122.8</v>
      </c>
      <c r="T362">
        <v>120</v>
      </c>
      <c r="U362">
        <v>110</v>
      </c>
      <c r="V362">
        <v>119.5</v>
      </c>
      <c r="W362">
        <v>127.6</v>
      </c>
      <c r="X362">
        <v>117.6</v>
      </c>
      <c r="Y362">
        <v>118.2</v>
      </c>
      <c r="Z362">
        <v>125.3</v>
      </c>
      <c r="AA362" s="1">
        <f>SUM(Table14[[#This Row],[Cereals and products]:[Food and beverages]])/13</f>
        <v>131.25384615384615</v>
      </c>
      <c r="AB362" s="1">
        <f>SUM(Table14[[#This Row],[Fuel and light]])</f>
        <v>114.6</v>
      </c>
      <c r="AC362" s="1">
        <f>SUM(Table14[[#This Row],[Transport and communication]])</f>
        <v>110</v>
      </c>
      <c r="AD362" s="1">
        <f>SUM(Table14[[#This Row],[Housing]],Table14[[#This Row],[Household goods and services]])/2</f>
        <v>124.19999999999999</v>
      </c>
      <c r="AE362" s="1">
        <f>SUM(Table14[[#This Row],[Health]])</f>
        <v>120</v>
      </c>
      <c r="AF362" s="1">
        <f>SUM(Table14[[#This Row],[Recreation and amusement]],Table14[[#This Row],[Education]])/2</f>
        <v>123.55</v>
      </c>
      <c r="AG362" s="1">
        <f>SUM(Table14[[#This Row],[Miscellaneous]],Table14[[#This Row],[Personal care and effects]])/2</f>
        <v>117.9</v>
      </c>
    </row>
    <row r="363" spans="1:33" hidden="1" x14ac:dyDescent="0.3">
      <c r="A363" t="s">
        <v>35</v>
      </c>
      <c r="B363">
        <v>2016</v>
      </c>
      <c r="C363" t="s">
        <v>48</v>
      </c>
      <c r="D363">
        <v>126.6</v>
      </c>
      <c r="E363">
        <v>136.80000000000001</v>
      </c>
      <c r="F363">
        <v>122</v>
      </c>
      <c r="G363">
        <v>130.9</v>
      </c>
      <c r="H363">
        <v>114.8</v>
      </c>
      <c r="I363">
        <v>134.80000000000001</v>
      </c>
      <c r="J363">
        <v>135</v>
      </c>
      <c r="K363">
        <v>167.5</v>
      </c>
      <c r="L363">
        <v>106.4</v>
      </c>
      <c r="M363">
        <v>134.4</v>
      </c>
      <c r="N363">
        <v>123.6</v>
      </c>
      <c r="O363">
        <v>136.69999999999999</v>
      </c>
      <c r="P363">
        <v>131.80000000000001</v>
      </c>
      <c r="Q363">
        <v>125.6</v>
      </c>
      <c r="R363">
        <v>122.3</v>
      </c>
      <c r="S363">
        <v>125.5</v>
      </c>
      <c r="T363">
        <v>123.2</v>
      </c>
      <c r="U363">
        <v>112.1</v>
      </c>
      <c r="V363">
        <v>121.1</v>
      </c>
      <c r="W363">
        <v>127.7</v>
      </c>
      <c r="X363">
        <v>118.1</v>
      </c>
      <c r="Y363">
        <v>120</v>
      </c>
      <c r="Z363">
        <v>127.3</v>
      </c>
      <c r="AA363" s="1">
        <f>SUM(Table14[[#This Row],[Cereals and products]:[Food and beverages]])/13</f>
        <v>130.86923076923077</v>
      </c>
      <c r="AB363" s="1">
        <f>SUM(Table14[[#This Row],[Fuel and light]])</f>
        <v>122.3</v>
      </c>
      <c r="AC363" s="1">
        <f>SUM(Table14[[#This Row],[Transport and communication]])</f>
        <v>112.1</v>
      </c>
      <c r="AD363" s="1">
        <f>SUM(Table14[[#This Row],[Housing]],Table14[[#This Row],[Household goods and services]])/2</f>
        <v>125.55</v>
      </c>
      <c r="AE363" s="1">
        <f>SUM(Table14[[#This Row],[Health]])</f>
        <v>123.2</v>
      </c>
      <c r="AF363" s="1">
        <f>SUM(Table14[[#This Row],[Recreation and amusement]],Table14[[#This Row],[Education]])/2</f>
        <v>124.4</v>
      </c>
      <c r="AG363" s="1">
        <f>SUM(Table14[[#This Row],[Miscellaneous]],Table14[[#This Row],[Personal care and effects]])/2</f>
        <v>119.05</v>
      </c>
    </row>
    <row r="364" spans="1:33" hidden="1" x14ac:dyDescent="0.3">
      <c r="A364" t="s">
        <v>33</v>
      </c>
      <c r="B364">
        <v>2016</v>
      </c>
      <c r="C364" t="s">
        <v>48</v>
      </c>
      <c r="D364">
        <v>127.4</v>
      </c>
      <c r="E364">
        <v>135.4</v>
      </c>
      <c r="F364">
        <v>123.4</v>
      </c>
      <c r="G364">
        <v>131.30000000000001</v>
      </c>
      <c r="H364">
        <v>118.2</v>
      </c>
      <c r="I364">
        <v>138.1</v>
      </c>
      <c r="J364">
        <v>134.1</v>
      </c>
      <c r="K364">
        <v>162.69999999999999</v>
      </c>
      <c r="L364">
        <v>105</v>
      </c>
      <c r="M364">
        <v>131.4</v>
      </c>
      <c r="N364">
        <v>125.4</v>
      </c>
      <c r="O364">
        <v>137.4</v>
      </c>
      <c r="P364">
        <v>131.80000000000001</v>
      </c>
      <c r="Q364">
        <f>AVERAGE(Q362:Q363)</f>
        <v>125.6</v>
      </c>
      <c r="R364">
        <v>127</v>
      </c>
      <c r="S364">
        <v>128</v>
      </c>
      <c r="T364">
        <v>125.2</v>
      </c>
      <c r="U364">
        <v>114.4</v>
      </c>
      <c r="V364">
        <v>123.2</v>
      </c>
      <c r="W364">
        <v>127.9</v>
      </c>
      <c r="X364">
        <v>118.4</v>
      </c>
      <c r="Y364">
        <v>121.7</v>
      </c>
      <c r="Z364">
        <v>129</v>
      </c>
      <c r="AA364" s="1">
        <f>SUM(Table14[[#This Row],[Cereals and products]:[Food and beverages]])/13</f>
        <v>130.89230769230772</v>
      </c>
      <c r="AB364" s="1">
        <f>SUM(Table14[[#This Row],[Fuel and light]])</f>
        <v>127</v>
      </c>
      <c r="AC364" s="1">
        <f>SUM(Table14[[#This Row],[Transport and communication]])</f>
        <v>114.4</v>
      </c>
      <c r="AD364" s="1">
        <f>SUM(Table14[[#This Row],[Housing]],Table14[[#This Row],[Household goods and services]])/2</f>
        <v>126.8</v>
      </c>
      <c r="AE364" s="1">
        <f>SUM(Table14[[#This Row],[Health]])</f>
        <v>125.2</v>
      </c>
      <c r="AF364" s="1">
        <f>SUM(Table14[[#This Row],[Recreation and amusement]],Table14[[#This Row],[Education]])/2</f>
        <v>125.55000000000001</v>
      </c>
      <c r="AG364" s="1">
        <f>SUM(Table14[[#This Row],[Miscellaneous]],Table14[[#This Row],[Personal care and effects]])/2</f>
        <v>120.05000000000001</v>
      </c>
    </row>
    <row r="365" spans="1:33" hidden="1" x14ac:dyDescent="0.3">
      <c r="A365" t="s">
        <v>33</v>
      </c>
      <c r="B365">
        <v>2015</v>
      </c>
      <c r="C365" t="s">
        <v>48</v>
      </c>
      <c r="D365">
        <v>123.3</v>
      </c>
      <c r="E365">
        <v>125.5</v>
      </c>
      <c r="F365">
        <v>117.2</v>
      </c>
      <c r="G365">
        <v>126.8</v>
      </c>
      <c r="H365">
        <v>111.9</v>
      </c>
      <c r="I365">
        <v>134.19999999999999</v>
      </c>
      <c r="J365">
        <v>127.5</v>
      </c>
      <c r="K365">
        <v>121.5</v>
      </c>
      <c r="L365">
        <v>97.8</v>
      </c>
      <c r="M365">
        <v>119.8</v>
      </c>
      <c r="N365">
        <v>119.4</v>
      </c>
      <c r="O365">
        <v>128.69999999999999</v>
      </c>
      <c r="P365">
        <v>123.6</v>
      </c>
      <c r="Q365">
        <f>AVERAGE(Q366:Q367)</f>
        <v>119.2</v>
      </c>
      <c r="R365">
        <v>121.2</v>
      </c>
      <c r="S365">
        <v>120.9</v>
      </c>
      <c r="T365">
        <v>118.6</v>
      </c>
      <c r="U365">
        <v>111.9</v>
      </c>
      <c r="V365">
        <v>116.2</v>
      </c>
      <c r="W365">
        <v>119.9</v>
      </c>
      <c r="X365">
        <v>111.6</v>
      </c>
      <c r="Y365">
        <v>116</v>
      </c>
      <c r="Z365">
        <v>121.5</v>
      </c>
      <c r="AA365" s="1">
        <f>SUM(Table14[[#This Row],[Cereals and products]:[Food and beverages]])/13</f>
        <v>121.32307692307693</v>
      </c>
      <c r="AB365" s="1">
        <f>SUM(Table14[[#This Row],[Fuel and light]])</f>
        <v>121.2</v>
      </c>
      <c r="AC365" s="1">
        <f>SUM(Table14[[#This Row],[Transport and communication]])</f>
        <v>111.9</v>
      </c>
      <c r="AD365" s="1">
        <f>SUM(Table14[[#This Row],[Housing]],Table14[[#This Row],[Household goods and services]])/2</f>
        <v>120.05000000000001</v>
      </c>
      <c r="AE365" s="1">
        <f>SUM(Table14[[#This Row],[Health]])</f>
        <v>118.6</v>
      </c>
      <c r="AF365" s="1">
        <f>SUM(Table14[[#This Row],[Recreation and amusement]],Table14[[#This Row],[Education]])/2</f>
        <v>118.05000000000001</v>
      </c>
      <c r="AG365" s="1">
        <f>SUM(Table14[[#This Row],[Miscellaneous]],Table14[[#This Row],[Personal care and effects]])/2</f>
        <v>113.8</v>
      </c>
    </row>
    <row r="366" spans="1:33" hidden="1" x14ac:dyDescent="0.3">
      <c r="A366" t="s">
        <v>35</v>
      </c>
      <c r="B366">
        <v>2015</v>
      </c>
      <c r="C366" t="s">
        <v>48</v>
      </c>
      <c r="D366">
        <v>123.5</v>
      </c>
      <c r="E366">
        <v>126.4</v>
      </c>
      <c r="F366">
        <v>114.4</v>
      </c>
      <c r="G366">
        <v>126.6</v>
      </c>
      <c r="H366">
        <v>109.2</v>
      </c>
      <c r="I366">
        <v>132.5</v>
      </c>
      <c r="J366">
        <v>128.6</v>
      </c>
      <c r="K366">
        <v>124.8</v>
      </c>
      <c r="L366">
        <v>95.7</v>
      </c>
      <c r="M366">
        <v>122.4</v>
      </c>
      <c r="N366">
        <v>118.5</v>
      </c>
      <c r="O366">
        <v>129.1</v>
      </c>
      <c r="P366">
        <v>124</v>
      </c>
      <c r="Q366">
        <v>119.2</v>
      </c>
      <c r="R366">
        <v>118.7</v>
      </c>
      <c r="S366">
        <v>119.7</v>
      </c>
      <c r="T366">
        <v>117.1</v>
      </c>
      <c r="U366">
        <v>110.1</v>
      </c>
      <c r="V366">
        <v>115.9</v>
      </c>
      <c r="W366">
        <v>121</v>
      </c>
      <c r="X366">
        <v>111.7</v>
      </c>
      <c r="Y366">
        <v>115.1</v>
      </c>
      <c r="Z366">
        <v>120.7</v>
      </c>
      <c r="AA366" s="1">
        <f>SUM(Table14[[#This Row],[Cereals and products]:[Food and beverages]])/13</f>
        <v>121.20769230769231</v>
      </c>
      <c r="AB366" s="1">
        <f>SUM(Table14[[#This Row],[Fuel and light]])</f>
        <v>118.7</v>
      </c>
      <c r="AC366" s="1">
        <f>SUM(Table14[[#This Row],[Transport and communication]])</f>
        <v>110.1</v>
      </c>
      <c r="AD366" s="1">
        <f>SUM(Table14[[#This Row],[Housing]],Table14[[#This Row],[Household goods and services]])/2</f>
        <v>119.45</v>
      </c>
      <c r="AE366" s="1">
        <f>SUM(Table14[[#This Row],[Health]])</f>
        <v>117.1</v>
      </c>
      <c r="AF366" s="1">
        <f>SUM(Table14[[#This Row],[Recreation and amusement]],Table14[[#This Row],[Education]])/2</f>
        <v>118.45</v>
      </c>
      <c r="AG366" s="1">
        <f>SUM(Table14[[#This Row],[Miscellaneous]],Table14[[#This Row],[Personal care and effects]])/2</f>
        <v>113.4</v>
      </c>
    </row>
    <row r="367" spans="1:33" hidden="1" x14ac:dyDescent="0.3">
      <c r="A367" t="s">
        <v>36</v>
      </c>
      <c r="B367">
        <v>2015</v>
      </c>
      <c r="C367" t="s">
        <v>48</v>
      </c>
      <c r="D367">
        <v>123.8</v>
      </c>
      <c r="E367">
        <v>128.19999999999999</v>
      </c>
      <c r="F367">
        <v>110</v>
      </c>
      <c r="G367">
        <v>126.3</v>
      </c>
      <c r="H367">
        <v>104.5</v>
      </c>
      <c r="I367">
        <v>130.6</v>
      </c>
      <c r="J367">
        <v>130.80000000000001</v>
      </c>
      <c r="K367">
        <v>131.30000000000001</v>
      </c>
      <c r="L367">
        <v>91.6</v>
      </c>
      <c r="M367">
        <v>127.7</v>
      </c>
      <c r="N367">
        <v>117.2</v>
      </c>
      <c r="O367">
        <v>129.5</v>
      </c>
      <c r="P367">
        <v>124.6</v>
      </c>
      <c r="Q367">
        <v>119.2</v>
      </c>
      <c r="R367">
        <v>114.7</v>
      </c>
      <c r="S367">
        <v>118.4</v>
      </c>
      <c r="T367">
        <v>114.6</v>
      </c>
      <c r="U367">
        <v>108.4</v>
      </c>
      <c r="V367">
        <v>115.6</v>
      </c>
      <c r="W367">
        <v>121.7</v>
      </c>
      <c r="X367">
        <v>111.8</v>
      </c>
      <c r="Y367">
        <v>114.2</v>
      </c>
      <c r="Z367">
        <v>119.7</v>
      </c>
      <c r="AA367" s="1">
        <f>SUM(Table14[[#This Row],[Cereals and products]:[Food and beverages]])/13</f>
        <v>121.23846153846154</v>
      </c>
      <c r="AB367" s="1">
        <f>SUM(Table14[[#This Row],[Fuel and light]])</f>
        <v>114.7</v>
      </c>
      <c r="AC367" s="1">
        <f>SUM(Table14[[#This Row],[Transport and communication]])</f>
        <v>108.4</v>
      </c>
      <c r="AD367" s="1">
        <f>SUM(Table14[[#This Row],[Housing]],Table14[[#This Row],[Household goods and services]])/2</f>
        <v>118.80000000000001</v>
      </c>
      <c r="AE367" s="1">
        <f>SUM(Table14[[#This Row],[Health]])</f>
        <v>114.6</v>
      </c>
      <c r="AF367" s="1">
        <f>SUM(Table14[[#This Row],[Recreation and amusement]],Table14[[#This Row],[Education]])/2</f>
        <v>118.65</v>
      </c>
      <c r="AG367" s="1">
        <f>SUM(Table14[[#This Row],[Miscellaneous]],Table14[[#This Row],[Personal care and effects]])/2</f>
        <v>113</v>
      </c>
    </row>
    <row r="368" spans="1:33" hidden="1" x14ac:dyDescent="0.3">
      <c r="A368" t="s">
        <v>33</v>
      </c>
      <c r="B368">
        <v>2014</v>
      </c>
      <c r="C368" t="s">
        <v>48</v>
      </c>
      <c r="D368">
        <v>120.2</v>
      </c>
      <c r="E368">
        <v>118.9</v>
      </c>
      <c r="F368">
        <v>118.1</v>
      </c>
      <c r="G368">
        <v>117</v>
      </c>
      <c r="H368">
        <v>109.7</v>
      </c>
      <c r="I368">
        <v>125.5</v>
      </c>
      <c r="J368">
        <v>120.5</v>
      </c>
      <c r="K368">
        <v>111</v>
      </c>
      <c r="L368">
        <v>102.6</v>
      </c>
      <c r="M368">
        <v>111.2</v>
      </c>
      <c r="N368">
        <v>113.5</v>
      </c>
      <c r="O368">
        <v>118.7</v>
      </c>
      <c r="P368">
        <v>117.2</v>
      </c>
      <c r="Q368">
        <f>AVERAGE(Q369:Q370)</f>
        <v>113.9</v>
      </c>
      <c r="R368">
        <v>113.4</v>
      </c>
      <c r="S368">
        <v>113.7</v>
      </c>
      <c r="T368">
        <v>111.8</v>
      </c>
      <c r="U368">
        <v>111.2</v>
      </c>
      <c r="V368">
        <v>110.5</v>
      </c>
      <c r="W368">
        <v>113</v>
      </c>
      <c r="X368">
        <v>108.9</v>
      </c>
      <c r="Y368">
        <v>111.5</v>
      </c>
      <c r="Z368">
        <v>115.4</v>
      </c>
      <c r="AA368" s="1">
        <f>SUM(Table14[[#This Row],[Cereals and products]:[Food and beverages]])/13</f>
        <v>115.70000000000002</v>
      </c>
      <c r="AB368" s="1">
        <f>SUM(Table14[[#This Row],[Fuel and light]])</f>
        <v>113.4</v>
      </c>
      <c r="AC368" s="1">
        <f>SUM(Table14[[#This Row],[Transport and communication]])</f>
        <v>111.2</v>
      </c>
      <c r="AD368" s="1">
        <f>SUM(Table14[[#This Row],[Housing]],Table14[[#This Row],[Household goods and services]])/2</f>
        <v>113.80000000000001</v>
      </c>
      <c r="AE368" s="1">
        <f>SUM(Table14[[#This Row],[Health]])</f>
        <v>111.8</v>
      </c>
      <c r="AF368" s="1">
        <f>SUM(Table14[[#This Row],[Recreation and amusement]],Table14[[#This Row],[Education]])/2</f>
        <v>111.75</v>
      </c>
      <c r="AG368" s="1">
        <f>SUM(Table14[[#This Row],[Miscellaneous]],Table14[[#This Row],[Personal care and effects]])/2</f>
        <v>110.2</v>
      </c>
    </row>
    <row r="369" spans="1:33" hidden="1" x14ac:dyDescent="0.3">
      <c r="A369" t="s">
        <v>35</v>
      </c>
      <c r="B369">
        <v>2014</v>
      </c>
      <c r="C369" t="s">
        <v>48</v>
      </c>
      <c r="D369">
        <v>120.9</v>
      </c>
      <c r="E369">
        <v>119.9</v>
      </c>
      <c r="F369">
        <v>116.2</v>
      </c>
      <c r="G369">
        <v>117</v>
      </c>
      <c r="H369">
        <v>107.3</v>
      </c>
      <c r="I369">
        <v>126.1</v>
      </c>
      <c r="J369">
        <v>120.7</v>
      </c>
      <c r="K369">
        <v>111</v>
      </c>
      <c r="L369">
        <v>101.8</v>
      </c>
      <c r="M369">
        <v>112.6</v>
      </c>
      <c r="N369">
        <v>113.2</v>
      </c>
      <c r="O369">
        <v>119.8</v>
      </c>
      <c r="P369">
        <v>117.6</v>
      </c>
      <c r="Q369">
        <v>113.9</v>
      </c>
      <c r="R369">
        <v>112.5</v>
      </c>
      <c r="S369">
        <v>113.6</v>
      </c>
      <c r="T369">
        <v>111.5</v>
      </c>
      <c r="U369">
        <v>111.2</v>
      </c>
      <c r="V369">
        <v>110.9</v>
      </c>
      <c r="W369">
        <v>112.7</v>
      </c>
      <c r="X369">
        <v>109</v>
      </c>
      <c r="Y369">
        <v>111.5</v>
      </c>
      <c r="Z369">
        <v>115.1</v>
      </c>
      <c r="AA369" s="1">
        <f>SUM(Table14[[#This Row],[Cereals and products]:[Food and beverages]])/13</f>
        <v>115.69999999999999</v>
      </c>
      <c r="AB369" s="1">
        <f>SUM(Table14[[#This Row],[Fuel and light]])</f>
        <v>112.5</v>
      </c>
      <c r="AC369" s="1">
        <f>SUM(Table14[[#This Row],[Transport and communication]])</f>
        <v>111.2</v>
      </c>
      <c r="AD369" s="1">
        <f>SUM(Table14[[#This Row],[Housing]],Table14[[#This Row],[Household goods and services]])/2</f>
        <v>113.75</v>
      </c>
      <c r="AE369" s="1">
        <f>SUM(Table14[[#This Row],[Health]])</f>
        <v>111.5</v>
      </c>
      <c r="AF369" s="1">
        <f>SUM(Table14[[#This Row],[Recreation and amusement]],Table14[[#This Row],[Education]])/2</f>
        <v>111.80000000000001</v>
      </c>
      <c r="AG369" s="1">
        <f>SUM(Table14[[#This Row],[Miscellaneous]],Table14[[#This Row],[Personal care and effects]])/2</f>
        <v>110.25</v>
      </c>
    </row>
    <row r="370" spans="1:33" hidden="1" x14ac:dyDescent="0.3">
      <c r="A370" t="s">
        <v>36</v>
      </c>
      <c r="B370">
        <v>2014</v>
      </c>
      <c r="C370" t="s">
        <v>48</v>
      </c>
      <c r="D370">
        <v>122.5</v>
      </c>
      <c r="E370">
        <v>121.7</v>
      </c>
      <c r="F370">
        <v>113.3</v>
      </c>
      <c r="G370">
        <v>117</v>
      </c>
      <c r="H370">
        <v>103.1</v>
      </c>
      <c r="I370">
        <v>126.7</v>
      </c>
      <c r="J370">
        <v>121.2</v>
      </c>
      <c r="K370">
        <v>111</v>
      </c>
      <c r="L370">
        <v>100.3</v>
      </c>
      <c r="M370">
        <v>115.3</v>
      </c>
      <c r="N370">
        <v>112.7</v>
      </c>
      <c r="O370">
        <v>121</v>
      </c>
      <c r="P370">
        <v>118.2</v>
      </c>
      <c r="Q370">
        <v>113.9</v>
      </c>
      <c r="R370">
        <v>110.9</v>
      </c>
      <c r="S370">
        <v>113.4</v>
      </c>
      <c r="T370">
        <v>111</v>
      </c>
      <c r="U370">
        <v>111.2</v>
      </c>
      <c r="V370">
        <v>111.2</v>
      </c>
      <c r="W370">
        <v>112.5</v>
      </c>
      <c r="X370">
        <v>109.1</v>
      </c>
      <c r="Y370">
        <v>111.4</v>
      </c>
      <c r="Z370">
        <v>114.7</v>
      </c>
      <c r="AA370" s="1">
        <f>SUM(Table14[[#This Row],[Cereals and products]:[Food and beverages]])/13</f>
        <v>115.69230769230771</v>
      </c>
      <c r="AB370" s="1">
        <f>SUM(Table14[[#This Row],[Fuel and light]])</f>
        <v>110.9</v>
      </c>
      <c r="AC370" s="1">
        <f>SUM(Table14[[#This Row],[Transport and communication]])</f>
        <v>111.2</v>
      </c>
      <c r="AD370" s="1">
        <f>SUM(Table14[[#This Row],[Housing]],Table14[[#This Row],[Household goods and services]])/2</f>
        <v>113.65</v>
      </c>
      <c r="AE370" s="1">
        <f>SUM(Table14[[#This Row],[Health]])</f>
        <v>111</v>
      </c>
      <c r="AF370" s="1">
        <f>SUM(Table14[[#This Row],[Recreation and amusement]],Table14[[#This Row],[Education]])/2</f>
        <v>111.85</v>
      </c>
      <c r="AG370" s="1">
        <f>SUM(Table14[[#This Row],[Miscellaneous]],Table14[[#This Row],[Personal care and effects]])/2</f>
        <v>110.25</v>
      </c>
    </row>
    <row r="371" spans="1:33" hidden="1" x14ac:dyDescent="0.3">
      <c r="A371" t="s">
        <v>33</v>
      </c>
      <c r="B371">
        <v>2013</v>
      </c>
      <c r="C371" t="s">
        <v>48</v>
      </c>
      <c r="D371">
        <v>110.2</v>
      </c>
      <c r="E371">
        <v>109.5</v>
      </c>
      <c r="F371">
        <v>106.9</v>
      </c>
      <c r="G371">
        <v>106.3</v>
      </c>
      <c r="H371">
        <v>105.7</v>
      </c>
      <c r="I371">
        <v>108.3</v>
      </c>
      <c r="J371">
        <v>103.4</v>
      </c>
      <c r="K371">
        <v>105.7</v>
      </c>
      <c r="L371">
        <v>104.2</v>
      </c>
      <c r="M371">
        <v>103.2</v>
      </c>
      <c r="N371">
        <v>106.5</v>
      </c>
      <c r="O371">
        <v>108.8</v>
      </c>
      <c r="P371">
        <v>107.1</v>
      </c>
      <c r="Q371">
        <f>AVERAGE(Q372:Q373)</f>
        <v>100.5</v>
      </c>
      <c r="R371">
        <v>106.5</v>
      </c>
      <c r="S371">
        <v>106.1</v>
      </c>
      <c r="T371">
        <v>105.1</v>
      </c>
      <c r="U371">
        <v>104.4</v>
      </c>
      <c r="V371">
        <v>104.5</v>
      </c>
      <c r="W371">
        <v>104.8</v>
      </c>
      <c r="X371">
        <v>102.7</v>
      </c>
      <c r="Y371">
        <v>104.6</v>
      </c>
      <c r="Z371">
        <v>106.4</v>
      </c>
      <c r="AA371" s="1">
        <f>SUM(Table14[[#This Row],[Cereals and products]:[Food and beverages]])/13</f>
        <v>106.6</v>
      </c>
      <c r="AB371" s="1">
        <f>SUM(Table14[[#This Row],[Fuel and light]])</f>
        <v>106.5</v>
      </c>
      <c r="AC371" s="1">
        <f>SUM(Table14[[#This Row],[Transport and communication]])</f>
        <v>104.4</v>
      </c>
      <c r="AD371" s="1">
        <f>SUM(Table14[[#This Row],[Housing]],Table14[[#This Row],[Household goods and services]])/2</f>
        <v>103.3</v>
      </c>
      <c r="AE371" s="1">
        <f>SUM(Table14[[#This Row],[Health]])</f>
        <v>105.1</v>
      </c>
      <c r="AF371" s="1">
        <f>SUM(Table14[[#This Row],[Recreation and amusement]],Table14[[#This Row],[Education]])/2</f>
        <v>104.65</v>
      </c>
      <c r="AG371" s="1">
        <f>SUM(Table14[[#This Row],[Miscellaneous]],Table14[[#This Row],[Personal care and effects]])/2</f>
        <v>103.65</v>
      </c>
    </row>
    <row r="372" spans="1:33" hidden="1" x14ac:dyDescent="0.3">
      <c r="A372" t="s">
        <v>35</v>
      </c>
      <c r="B372">
        <v>2013</v>
      </c>
      <c r="C372" t="s">
        <v>48</v>
      </c>
      <c r="D372">
        <v>111.6</v>
      </c>
      <c r="E372">
        <v>110.9</v>
      </c>
      <c r="F372">
        <v>106.6</v>
      </c>
      <c r="G372">
        <v>105.7</v>
      </c>
      <c r="H372">
        <v>104.4</v>
      </c>
      <c r="I372">
        <v>108.9</v>
      </c>
      <c r="J372">
        <v>105.5</v>
      </c>
      <c r="K372">
        <v>105.3</v>
      </c>
      <c r="L372">
        <v>103.5</v>
      </c>
      <c r="M372">
        <v>103.3</v>
      </c>
      <c r="N372">
        <v>107.2</v>
      </c>
      <c r="O372">
        <v>109.6</v>
      </c>
      <c r="P372">
        <v>107.7</v>
      </c>
      <c r="Q372">
        <v>100.5</v>
      </c>
      <c r="R372">
        <v>106.5</v>
      </c>
      <c r="S372">
        <v>106.3</v>
      </c>
      <c r="T372">
        <v>105.3</v>
      </c>
      <c r="U372">
        <v>104.7</v>
      </c>
      <c r="V372">
        <v>104.2</v>
      </c>
      <c r="W372">
        <v>105</v>
      </c>
      <c r="X372">
        <v>102.9</v>
      </c>
      <c r="Y372">
        <v>104.8</v>
      </c>
      <c r="Z372">
        <v>106.1</v>
      </c>
      <c r="AA372" s="1">
        <f>SUM(Table14[[#This Row],[Cereals and products]:[Food and beverages]])/13</f>
        <v>106.93846153846154</v>
      </c>
      <c r="AB372" s="1">
        <f>SUM(Table14[[#This Row],[Fuel and light]])</f>
        <v>106.5</v>
      </c>
      <c r="AC372" s="1">
        <f>SUM(Table14[[#This Row],[Transport and communication]])</f>
        <v>104.7</v>
      </c>
      <c r="AD372" s="1">
        <f>SUM(Table14[[#This Row],[Housing]],Table14[[#This Row],[Household goods and services]])/2</f>
        <v>103.4</v>
      </c>
      <c r="AE372" s="1">
        <f>SUM(Table14[[#This Row],[Health]])</f>
        <v>105.3</v>
      </c>
      <c r="AF372" s="1">
        <f>SUM(Table14[[#This Row],[Recreation and amusement]],Table14[[#This Row],[Education]])/2</f>
        <v>104.6</v>
      </c>
      <c r="AG372" s="1">
        <f>SUM(Table14[[#This Row],[Miscellaneous]],Table14[[#This Row],[Personal care and effects]])/2</f>
        <v>103.85</v>
      </c>
    </row>
    <row r="373" spans="1:33" hidden="1" x14ac:dyDescent="0.3">
      <c r="A373" t="s">
        <v>36</v>
      </c>
      <c r="B373">
        <v>2013</v>
      </c>
      <c r="C373" t="s">
        <v>48</v>
      </c>
      <c r="D373">
        <v>114.6</v>
      </c>
      <c r="E373">
        <v>113.4</v>
      </c>
      <c r="F373">
        <v>106</v>
      </c>
      <c r="G373">
        <v>104.7</v>
      </c>
      <c r="H373">
        <v>102.1</v>
      </c>
      <c r="I373">
        <v>109.5</v>
      </c>
      <c r="J373">
        <v>109.7</v>
      </c>
      <c r="K373">
        <v>104.6</v>
      </c>
      <c r="L373">
        <v>102</v>
      </c>
      <c r="M373">
        <v>103.5</v>
      </c>
      <c r="N373">
        <v>108.2</v>
      </c>
      <c r="O373">
        <v>110.6</v>
      </c>
      <c r="P373">
        <v>108.8</v>
      </c>
      <c r="Q373">
        <v>100.5</v>
      </c>
      <c r="R373">
        <v>106.4</v>
      </c>
      <c r="S373">
        <v>106.5</v>
      </c>
      <c r="T373">
        <v>105.7</v>
      </c>
      <c r="U373">
        <v>105</v>
      </c>
      <c r="V373">
        <v>104</v>
      </c>
      <c r="W373">
        <v>105.2</v>
      </c>
      <c r="X373">
        <v>103.2</v>
      </c>
      <c r="Y373">
        <v>105.1</v>
      </c>
      <c r="Z373">
        <v>105.7</v>
      </c>
      <c r="AA373" s="1">
        <f>SUM(Table14[[#This Row],[Cereals and products]:[Food and beverages]])/13</f>
        <v>107.5153846153846</v>
      </c>
      <c r="AB373" s="1">
        <f>SUM(Table14[[#This Row],[Fuel and light]])</f>
        <v>106.4</v>
      </c>
      <c r="AC373" s="1">
        <f>SUM(Table14[[#This Row],[Transport and communication]])</f>
        <v>105</v>
      </c>
      <c r="AD373" s="1">
        <f>SUM(Table14[[#This Row],[Housing]],Table14[[#This Row],[Household goods and services]])/2</f>
        <v>103.5</v>
      </c>
      <c r="AE373" s="1">
        <f>SUM(Table14[[#This Row],[Health]])</f>
        <v>105.7</v>
      </c>
      <c r="AF373" s="1">
        <f>SUM(Table14[[#This Row],[Recreation and amusement]],Table14[[#This Row],[Education]])/2</f>
        <v>104.6</v>
      </c>
      <c r="AG373" s="1">
        <f>SUM(Table14[[#This Row],[Miscellaneous]],Table14[[#This Row],[Personal care and effects]])/2</f>
        <v>104.15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ADF9B-1184-48C1-AF1A-6D5C7707136D}">
  <dimension ref="A1:AH57"/>
  <sheetViews>
    <sheetView topLeftCell="A16" zoomScale="80" workbookViewId="0">
      <selection activeCell="K44" sqref="K44"/>
    </sheetView>
  </sheetViews>
  <sheetFormatPr defaultRowHeight="14.4" x14ac:dyDescent="0.3"/>
  <cols>
    <col min="1" max="1" width="21.6640625" customWidth="1"/>
    <col min="2" max="2" width="9" bestFit="1" customWidth="1"/>
    <col min="3" max="3" width="19.88671875" bestFit="1" customWidth="1"/>
    <col min="4" max="4" width="36.6640625" customWidth="1"/>
    <col min="5" max="5" width="14.77734375" bestFit="1" customWidth="1"/>
    <col min="6" max="6" width="9" bestFit="1" customWidth="1"/>
    <col min="7" max="7" width="18.5546875" bestFit="1" customWidth="1"/>
    <col min="8" max="8" width="13.44140625" bestFit="1" customWidth="1"/>
    <col min="9" max="9" width="9" bestFit="1" customWidth="1"/>
    <col min="10" max="10" width="12.44140625" bestFit="1" customWidth="1"/>
    <col min="11" max="11" width="20.21875" bestFit="1" customWidth="1"/>
    <col min="12" max="12" width="24.33203125" bestFit="1" customWidth="1"/>
    <col min="13" max="13" width="9" bestFit="1" customWidth="1"/>
    <col min="14" max="14" width="24.21875" bestFit="1" customWidth="1"/>
    <col min="15" max="15" width="33.5546875" bestFit="1" customWidth="1"/>
    <col min="16" max="16" width="20.33203125" bestFit="1" customWidth="1"/>
    <col min="17" max="17" width="10" bestFit="1" customWidth="1"/>
    <col min="18" max="18" width="14.44140625" bestFit="1" customWidth="1"/>
    <col min="19" max="19" width="28.88671875" bestFit="1" customWidth="1"/>
    <col min="20" max="20" width="9" bestFit="1" customWidth="1"/>
    <col min="21" max="21" width="29.109375" bestFit="1" customWidth="1"/>
    <col min="22" max="22" width="26.6640625" bestFit="1" customWidth="1"/>
    <col min="23" max="23" width="11.6640625" bestFit="1" customWidth="1"/>
    <col min="24" max="24" width="24.5546875" bestFit="1" customWidth="1"/>
    <col min="25" max="25" width="15.109375" bestFit="1" customWidth="1"/>
    <col min="26" max="26" width="14.6640625" bestFit="1" customWidth="1"/>
    <col min="27" max="27" width="9" bestFit="1" customWidth="1"/>
    <col min="28" max="28" width="13.33203125" bestFit="1" customWidth="1"/>
    <col min="29" max="29" width="15.77734375" bestFit="1" customWidth="1"/>
    <col min="30" max="30" width="10.44140625" bestFit="1" customWidth="1"/>
    <col min="31" max="31" width="12.21875" bestFit="1" customWidth="1"/>
    <col min="32" max="32" width="23.77734375" bestFit="1" customWidth="1"/>
    <col min="33" max="33" width="9" bestFit="1" customWidth="1"/>
    <col min="34" max="34" width="19.109375" style="17" customWidth="1"/>
  </cols>
  <sheetData>
    <row r="1" spans="1:34" x14ac:dyDescent="0.3">
      <c r="A1" s="16" t="s">
        <v>56</v>
      </c>
    </row>
    <row r="3" spans="1:34" x14ac:dyDescent="0.3">
      <c r="A3" t="s">
        <v>71</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s="18" t="s">
        <v>66</v>
      </c>
    </row>
    <row r="4" spans="1:34" hidden="1" x14ac:dyDescent="0.3">
      <c r="A4" t="s">
        <v>36</v>
      </c>
      <c r="B4">
        <v>2013</v>
      </c>
      <c r="C4" t="s">
        <v>38</v>
      </c>
      <c r="D4">
        <v>120.5</v>
      </c>
      <c r="E4">
        <v>118.1</v>
      </c>
      <c r="F4">
        <v>128.5</v>
      </c>
      <c r="G4">
        <v>112.8</v>
      </c>
      <c r="H4">
        <v>103.4</v>
      </c>
      <c r="I4">
        <v>110.7</v>
      </c>
      <c r="J4">
        <v>144.80000000000001</v>
      </c>
      <c r="K4">
        <v>107.1</v>
      </c>
      <c r="L4">
        <v>98.6</v>
      </c>
      <c r="M4">
        <v>111.9</v>
      </c>
      <c r="N4">
        <v>112.1</v>
      </c>
      <c r="O4">
        <v>118.1</v>
      </c>
      <c r="P4">
        <v>117.8</v>
      </c>
      <c r="Q4">
        <v>110.7</v>
      </c>
      <c r="R4">
        <v>110.4</v>
      </c>
      <c r="S4">
        <v>111.3</v>
      </c>
      <c r="T4">
        <v>109</v>
      </c>
      <c r="U4">
        <v>109.7</v>
      </c>
      <c r="V4">
        <v>108.9</v>
      </c>
      <c r="W4">
        <v>111.4</v>
      </c>
      <c r="X4">
        <v>107.7</v>
      </c>
      <c r="Y4">
        <v>109.8</v>
      </c>
      <c r="Z4">
        <v>113.3</v>
      </c>
      <c r="AA4">
        <v>115.72307692307693</v>
      </c>
      <c r="AB4">
        <v>110.4</v>
      </c>
      <c r="AC4">
        <v>109.7</v>
      </c>
      <c r="AD4">
        <v>111</v>
      </c>
      <c r="AE4">
        <v>109</v>
      </c>
      <c r="AF4">
        <v>110.15</v>
      </c>
      <c r="AG4">
        <v>108.75</v>
      </c>
      <c r="AH4" s="17">
        <f t="shared" ref="AH4:AH18" si="0">Z23-Z20/Z20*100</f>
        <v>50.400000000000006</v>
      </c>
    </row>
    <row r="5" spans="1:34" hidden="1" x14ac:dyDescent="0.3">
      <c r="A5" t="s">
        <v>35</v>
      </c>
      <c r="B5">
        <v>2013</v>
      </c>
      <c r="C5" t="s">
        <v>38</v>
      </c>
      <c r="D5">
        <v>119.1</v>
      </c>
      <c r="E5">
        <v>116.7</v>
      </c>
      <c r="F5">
        <v>123.5</v>
      </c>
      <c r="G5">
        <v>113.4</v>
      </c>
      <c r="H5">
        <v>107.3</v>
      </c>
      <c r="I5">
        <v>113.3</v>
      </c>
      <c r="J5">
        <v>145.4</v>
      </c>
      <c r="K5">
        <v>108.7</v>
      </c>
      <c r="L5">
        <v>101.5</v>
      </c>
      <c r="M5">
        <v>110.5</v>
      </c>
      <c r="N5">
        <v>112.1</v>
      </c>
      <c r="O5">
        <v>117.4</v>
      </c>
      <c r="P5">
        <v>118.4</v>
      </c>
      <c r="Q5">
        <v>110.7</v>
      </c>
      <c r="R5">
        <v>111.9</v>
      </c>
      <c r="S5">
        <v>111.7</v>
      </c>
      <c r="T5">
        <v>109.7</v>
      </c>
      <c r="U5">
        <v>109.8</v>
      </c>
      <c r="V5">
        <v>109</v>
      </c>
      <c r="W5">
        <v>111.5</v>
      </c>
      <c r="X5">
        <v>107.9</v>
      </c>
      <c r="Y5">
        <v>110</v>
      </c>
      <c r="Z5">
        <v>114.5</v>
      </c>
      <c r="AA5">
        <v>115.94615384615386</v>
      </c>
      <c r="AB5">
        <v>111.9</v>
      </c>
      <c r="AC5">
        <v>109.8</v>
      </c>
      <c r="AD5">
        <v>111.2</v>
      </c>
      <c r="AE5">
        <v>109.7</v>
      </c>
      <c r="AF5">
        <v>110.25</v>
      </c>
      <c r="AG5">
        <v>108.95</v>
      </c>
      <c r="AH5" s="17">
        <f t="shared" si="0"/>
        <v>58.900000000000006</v>
      </c>
    </row>
    <row r="6" spans="1:34" x14ac:dyDescent="0.3">
      <c r="A6" t="s">
        <v>33</v>
      </c>
      <c r="B6">
        <v>2013</v>
      </c>
      <c r="C6" t="s">
        <v>38</v>
      </c>
      <c r="D6">
        <v>118.4</v>
      </c>
      <c r="E6">
        <v>115.9</v>
      </c>
      <c r="F6">
        <v>120.4</v>
      </c>
      <c r="G6">
        <v>113.8</v>
      </c>
      <c r="H6">
        <v>109.5</v>
      </c>
      <c r="I6">
        <v>115.5</v>
      </c>
      <c r="J6">
        <v>145.69999999999999</v>
      </c>
      <c r="K6">
        <v>109.5</v>
      </c>
      <c r="L6">
        <v>102.9</v>
      </c>
      <c r="M6">
        <v>109.8</v>
      </c>
      <c r="N6">
        <v>112.1</v>
      </c>
      <c r="O6">
        <v>116.8</v>
      </c>
      <c r="P6">
        <v>118.7</v>
      </c>
      <c r="Q6">
        <v>110.7</v>
      </c>
      <c r="R6">
        <v>112.8</v>
      </c>
      <c r="S6">
        <v>112.1</v>
      </c>
      <c r="T6">
        <v>110.1</v>
      </c>
      <c r="U6">
        <v>109.9</v>
      </c>
      <c r="V6">
        <v>109.2</v>
      </c>
      <c r="W6">
        <v>111.6</v>
      </c>
      <c r="X6">
        <v>108.1</v>
      </c>
      <c r="Y6">
        <v>110.1</v>
      </c>
      <c r="Z6">
        <v>115.5</v>
      </c>
      <c r="AA6">
        <v>116.07692307692308</v>
      </c>
      <c r="AB6">
        <v>112.8</v>
      </c>
      <c r="AC6">
        <v>109.9</v>
      </c>
      <c r="AD6">
        <v>111.4</v>
      </c>
      <c r="AE6">
        <v>110.1</v>
      </c>
      <c r="AF6">
        <v>110.4</v>
      </c>
      <c r="AG6">
        <v>109.1</v>
      </c>
      <c r="AH6" s="17">
        <f t="shared" si="0"/>
        <v>60.699999999999989</v>
      </c>
    </row>
    <row r="7" spans="1:34" hidden="1" x14ac:dyDescent="0.3">
      <c r="A7" t="s">
        <v>36</v>
      </c>
      <c r="B7">
        <v>2014</v>
      </c>
      <c r="C7" t="s">
        <v>38</v>
      </c>
      <c r="D7">
        <v>124</v>
      </c>
      <c r="E7">
        <v>124.7</v>
      </c>
      <c r="F7">
        <v>126.3</v>
      </c>
      <c r="G7">
        <v>124.9</v>
      </c>
      <c r="H7">
        <v>103</v>
      </c>
      <c r="I7">
        <v>122.3</v>
      </c>
      <c r="J7">
        <v>141</v>
      </c>
      <c r="K7">
        <v>120.1</v>
      </c>
      <c r="L7">
        <v>97.8</v>
      </c>
      <c r="M7">
        <v>125.4</v>
      </c>
      <c r="N7">
        <v>116.1</v>
      </c>
      <c r="O7">
        <v>127.6</v>
      </c>
      <c r="P7">
        <v>124</v>
      </c>
      <c r="Q7">
        <v>116.5</v>
      </c>
      <c r="R7">
        <v>113</v>
      </c>
      <c r="S7">
        <v>116.8</v>
      </c>
      <c r="T7">
        <v>113.2</v>
      </c>
      <c r="U7">
        <v>108.8</v>
      </c>
      <c r="V7">
        <v>114.3</v>
      </c>
      <c r="W7">
        <v>120.7</v>
      </c>
      <c r="X7">
        <v>110.4</v>
      </c>
      <c r="Y7">
        <v>113.4</v>
      </c>
      <c r="Z7">
        <v>118.4</v>
      </c>
      <c r="AA7">
        <v>121.32307692307691</v>
      </c>
      <c r="AB7">
        <v>113</v>
      </c>
      <c r="AC7">
        <v>108.8</v>
      </c>
      <c r="AD7">
        <v>116.65</v>
      </c>
      <c r="AE7">
        <v>113.2</v>
      </c>
      <c r="AF7">
        <v>117.5</v>
      </c>
      <c r="AG7">
        <v>111.9</v>
      </c>
      <c r="AH7" s="17">
        <f t="shared" si="0"/>
        <v>41.900000000000006</v>
      </c>
    </row>
    <row r="8" spans="1:34" hidden="1" x14ac:dyDescent="0.3">
      <c r="A8" t="s">
        <v>35</v>
      </c>
      <c r="B8">
        <v>2014</v>
      </c>
      <c r="C8" t="s">
        <v>38</v>
      </c>
      <c r="D8">
        <v>122.9</v>
      </c>
      <c r="E8">
        <v>123.2</v>
      </c>
      <c r="F8">
        <v>123.5</v>
      </c>
      <c r="G8">
        <v>124.5</v>
      </c>
      <c r="H8">
        <v>107.6</v>
      </c>
      <c r="I8">
        <v>125.7</v>
      </c>
      <c r="J8">
        <v>140.5</v>
      </c>
      <c r="K8">
        <v>117.6</v>
      </c>
      <c r="L8">
        <v>100.6</v>
      </c>
      <c r="M8">
        <v>119.1</v>
      </c>
      <c r="N8">
        <v>116.8</v>
      </c>
      <c r="O8">
        <v>126.1</v>
      </c>
      <c r="P8">
        <v>123.6</v>
      </c>
      <c r="Q8">
        <v>116.5</v>
      </c>
      <c r="R8">
        <v>115.7</v>
      </c>
      <c r="S8">
        <v>117.5</v>
      </c>
      <c r="T8">
        <v>115.1</v>
      </c>
      <c r="U8">
        <v>110.1</v>
      </c>
      <c r="V8">
        <v>113.9</v>
      </c>
      <c r="W8">
        <v>119.5</v>
      </c>
      <c r="X8">
        <v>109.8</v>
      </c>
      <c r="Y8">
        <v>113.8</v>
      </c>
      <c r="Z8">
        <v>119.4</v>
      </c>
      <c r="AA8">
        <v>120.89999999999999</v>
      </c>
      <c r="AB8">
        <v>115.7</v>
      </c>
      <c r="AC8">
        <v>110.1</v>
      </c>
      <c r="AD8">
        <v>117</v>
      </c>
      <c r="AE8">
        <v>115.1</v>
      </c>
      <c r="AF8">
        <v>116.7</v>
      </c>
      <c r="AG8">
        <v>111.8</v>
      </c>
      <c r="AH8" s="17">
        <f t="shared" si="0"/>
        <v>52.300000000000011</v>
      </c>
    </row>
    <row r="9" spans="1:34" hidden="1" x14ac:dyDescent="0.3">
      <c r="A9" t="s">
        <v>36</v>
      </c>
      <c r="B9">
        <v>2015</v>
      </c>
      <c r="C9" t="s">
        <v>38</v>
      </c>
      <c r="D9">
        <v>124.3</v>
      </c>
      <c r="E9">
        <v>131.69999999999999</v>
      </c>
      <c r="F9">
        <v>127.1</v>
      </c>
      <c r="G9">
        <v>128.6</v>
      </c>
      <c r="H9">
        <v>110</v>
      </c>
      <c r="I9">
        <v>120.8</v>
      </c>
      <c r="J9">
        <v>149</v>
      </c>
      <c r="K9">
        <v>190.1</v>
      </c>
      <c r="L9">
        <v>92.7</v>
      </c>
      <c r="M9">
        <v>138.6</v>
      </c>
      <c r="N9">
        <v>120.2</v>
      </c>
      <c r="O9">
        <v>134.19999999999999</v>
      </c>
      <c r="P9">
        <v>131.5</v>
      </c>
      <c r="Q9">
        <v>122.4</v>
      </c>
      <c r="R9">
        <v>116</v>
      </c>
      <c r="S9">
        <v>121</v>
      </c>
      <c r="T9">
        <v>118.6</v>
      </c>
      <c r="U9">
        <v>109.3</v>
      </c>
      <c r="V9">
        <v>118.1</v>
      </c>
      <c r="W9">
        <v>126.6</v>
      </c>
      <c r="X9">
        <v>113.2</v>
      </c>
      <c r="Y9">
        <v>116.7</v>
      </c>
      <c r="Z9">
        <v>124</v>
      </c>
      <c r="AA9">
        <v>130.67692307692306</v>
      </c>
      <c r="AB9">
        <v>116</v>
      </c>
      <c r="AC9">
        <v>109.3</v>
      </c>
      <c r="AD9">
        <v>121.7</v>
      </c>
      <c r="AE9">
        <v>118.6</v>
      </c>
      <c r="AF9">
        <v>122.35</v>
      </c>
      <c r="AG9">
        <v>114.95</v>
      </c>
      <c r="AH9" s="17">
        <f t="shared" si="0"/>
        <v>65.199999999999989</v>
      </c>
    </row>
    <row r="10" spans="1:34" x14ac:dyDescent="0.3">
      <c r="A10" t="s">
        <v>33</v>
      </c>
      <c r="B10">
        <v>2014</v>
      </c>
      <c r="C10" t="s">
        <v>38</v>
      </c>
      <c r="D10">
        <v>122.4</v>
      </c>
      <c r="E10">
        <v>122.4</v>
      </c>
      <c r="F10">
        <v>121.8</v>
      </c>
      <c r="G10">
        <v>124.2</v>
      </c>
      <c r="H10">
        <v>110.2</v>
      </c>
      <c r="I10">
        <v>128.6</v>
      </c>
      <c r="J10">
        <v>140.30000000000001</v>
      </c>
      <c r="K10">
        <v>116.3</v>
      </c>
      <c r="L10">
        <v>102</v>
      </c>
      <c r="M10">
        <v>116</v>
      </c>
      <c r="N10">
        <v>117.3</v>
      </c>
      <c r="O10">
        <v>124.8</v>
      </c>
      <c r="P10">
        <v>123.3</v>
      </c>
      <c r="Q10">
        <v>116.5</v>
      </c>
      <c r="R10">
        <v>117.4</v>
      </c>
      <c r="S10">
        <v>118.2</v>
      </c>
      <c r="T10">
        <v>116.2</v>
      </c>
      <c r="U10">
        <v>111.5</v>
      </c>
      <c r="V10">
        <v>113.3</v>
      </c>
      <c r="W10">
        <v>117.7</v>
      </c>
      <c r="X10">
        <v>109.4</v>
      </c>
      <c r="Y10">
        <v>114.2</v>
      </c>
      <c r="Z10">
        <v>120.3</v>
      </c>
      <c r="AA10">
        <v>120.73846153846154</v>
      </c>
      <c r="AB10">
        <v>117.4</v>
      </c>
      <c r="AC10">
        <v>111.5</v>
      </c>
      <c r="AD10">
        <v>117.35</v>
      </c>
      <c r="AE10">
        <v>116.2</v>
      </c>
      <c r="AF10">
        <v>115.5</v>
      </c>
      <c r="AG10">
        <v>111.80000000000001</v>
      </c>
      <c r="AH10" s="17">
        <f t="shared" si="0"/>
        <v>66.199999999999989</v>
      </c>
    </row>
    <row r="11" spans="1:34" hidden="1" x14ac:dyDescent="0.3">
      <c r="A11" t="s">
        <v>36</v>
      </c>
      <c r="B11">
        <v>2016</v>
      </c>
      <c r="C11" t="s">
        <v>38</v>
      </c>
      <c r="D11">
        <v>131.6</v>
      </c>
      <c r="E11">
        <v>138.19999999999999</v>
      </c>
      <c r="F11">
        <v>134.9</v>
      </c>
      <c r="G11">
        <v>133.1</v>
      </c>
      <c r="H11">
        <v>113.5</v>
      </c>
      <c r="I11">
        <v>129.30000000000001</v>
      </c>
      <c r="J11">
        <v>121.1</v>
      </c>
      <c r="K11">
        <v>170.3</v>
      </c>
      <c r="L11">
        <v>115.5</v>
      </c>
      <c r="M11">
        <v>145.5</v>
      </c>
      <c r="N11">
        <v>123.1</v>
      </c>
      <c r="O11">
        <v>140.9</v>
      </c>
      <c r="P11">
        <v>132.80000000000001</v>
      </c>
      <c r="Q11">
        <v>128.5</v>
      </c>
      <c r="R11">
        <v>117.8</v>
      </c>
      <c r="S11">
        <v>125</v>
      </c>
      <c r="T11">
        <v>122.3</v>
      </c>
      <c r="U11">
        <v>113.7</v>
      </c>
      <c r="V11">
        <v>121.8</v>
      </c>
      <c r="W11">
        <v>132.30000000000001</v>
      </c>
      <c r="X11">
        <v>119.9</v>
      </c>
      <c r="Y11">
        <v>121.4</v>
      </c>
      <c r="Z11">
        <v>127.6</v>
      </c>
      <c r="AA11">
        <v>133.06153846153845</v>
      </c>
      <c r="AB11">
        <v>117.8</v>
      </c>
      <c r="AC11">
        <v>113.7</v>
      </c>
      <c r="AD11">
        <v>126.75</v>
      </c>
      <c r="AE11">
        <v>122.3</v>
      </c>
      <c r="AF11">
        <v>127.05000000000001</v>
      </c>
      <c r="AG11">
        <v>120.65</v>
      </c>
      <c r="AH11" s="17">
        <f t="shared" si="0"/>
        <v>67</v>
      </c>
    </row>
    <row r="12" spans="1:34" hidden="1" x14ac:dyDescent="0.3">
      <c r="A12" t="s">
        <v>35</v>
      </c>
      <c r="B12">
        <v>2015</v>
      </c>
      <c r="C12" t="s">
        <v>38</v>
      </c>
      <c r="D12">
        <v>125.7</v>
      </c>
      <c r="E12">
        <v>131.4</v>
      </c>
      <c r="F12">
        <v>124.8</v>
      </c>
      <c r="G12">
        <v>129.4</v>
      </c>
      <c r="H12">
        <v>115.3</v>
      </c>
      <c r="I12">
        <v>126.6</v>
      </c>
      <c r="J12">
        <v>146.69999999999999</v>
      </c>
      <c r="K12">
        <v>171.5</v>
      </c>
      <c r="L12">
        <v>94.5</v>
      </c>
      <c r="M12">
        <v>132.1</v>
      </c>
      <c r="N12">
        <v>122</v>
      </c>
      <c r="O12">
        <v>134.69999999999999</v>
      </c>
      <c r="P12">
        <v>131.4</v>
      </c>
      <c r="Q12">
        <v>122.4</v>
      </c>
      <c r="R12">
        <v>122</v>
      </c>
      <c r="S12">
        <v>123.6</v>
      </c>
      <c r="T12">
        <v>121.4</v>
      </c>
      <c r="U12">
        <v>111.5</v>
      </c>
      <c r="V12">
        <v>119.6</v>
      </c>
      <c r="W12">
        <v>126.2</v>
      </c>
      <c r="X12">
        <v>113.7</v>
      </c>
      <c r="Y12">
        <v>118.3</v>
      </c>
      <c r="Z12">
        <v>126.1</v>
      </c>
      <c r="AA12">
        <v>129.70000000000002</v>
      </c>
      <c r="AB12">
        <v>122</v>
      </c>
      <c r="AC12">
        <v>111.5</v>
      </c>
      <c r="AD12">
        <v>123</v>
      </c>
      <c r="AE12">
        <v>121.4</v>
      </c>
      <c r="AF12">
        <v>122.9</v>
      </c>
      <c r="AG12">
        <v>116</v>
      </c>
      <c r="AH12" s="17">
        <f t="shared" si="0"/>
        <v>74.099999999999994</v>
      </c>
    </row>
    <row r="13" spans="1:34" x14ac:dyDescent="0.3">
      <c r="A13" t="s">
        <v>33</v>
      </c>
      <c r="B13">
        <v>2015</v>
      </c>
      <c r="C13" t="s">
        <v>38</v>
      </c>
      <c r="D13">
        <v>126.3</v>
      </c>
      <c r="E13">
        <v>131.30000000000001</v>
      </c>
      <c r="F13">
        <v>123.3</v>
      </c>
      <c r="G13">
        <v>129.80000000000001</v>
      </c>
      <c r="H13">
        <v>118.3</v>
      </c>
      <c r="I13">
        <v>131.6</v>
      </c>
      <c r="J13">
        <v>145.5</v>
      </c>
      <c r="K13">
        <v>162.1</v>
      </c>
      <c r="L13">
        <v>95.4</v>
      </c>
      <c r="M13">
        <v>128.9</v>
      </c>
      <c r="N13">
        <v>123.3</v>
      </c>
      <c r="O13">
        <v>135.1</v>
      </c>
      <c r="P13">
        <v>131.4</v>
      </c>
      <c r="Q13">
        <v>122.4</v>
      </c>
      <c r="R13">
        <v>125.7</v>
      </c>
      <c r="S13">
        <v>126</v>
      </c>
      <c r="T13">
        <v>123.1</v>
      </c>
      <c r="U13">
        <v>114</v>
      </c>
      <c r="V13">
        <v>121.6</v>
      </c>
      <c r="W13">
        <v>125.6</v>
      </c>
      <c r="X13">
        <v>114.1</v>
      </c>
      <c r="Y13">
        <v>119.8</v>
      </c>
      <c r="Z13">
        <v>127.9</v>
      </c>
      <c r="AA13">
        <v>129.40769230769232</v>
      </c>
      <c r="AB13">
        <v>125.7</v>
      </c>
      <c r="AC13">
        <v>114</v>
      </c>
      <c r="AD13">
        <v>124.2</v>
      </c>
      <c r="AE13">
        <v>123.1</v>
      </c>
      <c r="AF13">
        <v>123.6</v>
      </c>
      <c r="AG13">
        <v>116.94999999999999</v>
      </c>
      <c r="AH13" s="17">
        <f t="shared" si="0"/>
        <v>75.699999999999989</v>
      </c>
    </row>
    <row r="14" spans="1:34" hidden="1" x14ac:dyDescent="0.3">
      <c r="A14" t="s">
        <v>35</v>
      </c>
      <c r="B14">
        <v>2016</v>
      </c>
      <c r="C14" t="s">
        <v>38</v>
      </c>
      <c r="D14">
        <v>132.30000000000001</v>
      </c>
      <c r="E14">
        <v>137.6</v>
      </c>
      <c r="F14">
        <v>132.9</v>
      </c>
      <c r="G14">
        <v>135.1</v>
      </c>
      <c r="H14">
        <v>118.6</v>
      </c>
      <c r="I14">
        <v>132.69999999999999</v>
      </c>
      <c r="J14">
        <v>125.3</v>
      </c>
      <c r="K14">
        <v>168.7</v>
      </c>
      <c r="L14">
        <v>114.4</v>
      </c>
      <c r="M14">
        <v>140.19999999999999</v>
      </c>
      <c r="N14">
        <v>126.6</v>
      </c>
      <c r="O14">
        <v>142.30000000000001</v>
      </c>
      <c r="P14">
        <v>134</v>
      </c>
      <c r="Q14">
        <v>128.5</v>
      </c>
      <c r="R14">
        <v>126.6</v>
      </c>
      <c r="S14">
        <v>129.19999999999999</v>
      </c>
      <c r="T14">
        <v>126.9</v>
      </c>
      <c r="U14">
        <v>116</v>
      </c>
      <c r="V14">
        <v>124.2</v>
      </c>
      <c r="W14">
        <v>133.1</v>
      </c>
      <c r="X14">
        <v>121.1</v>
      </c>
      <c r="Y14">
        <v>123.9</v>
      </c>
      <c r="Z14">
        <v>130.4</v>
      </c>
      <c r="AA14">
        <v>133.9</v>
      </c>
      <c r="AB14">
        <v>126.6</v>
      </c>
      <c r="AC14">
        <v>116</v>
      </c>
      <c r="AD14">
        <v>128.85</v>
      </c>
      <c r="AE14">
        <v>126.9</v>
      </c>
      <c r="AF14">
        <v>128.65</v>
      </c>
      <c r="AG14">
        <v>122.5</v>
      </c>
      <c r="AH14" s="17">
        <f t="shared" si="0"/>
        <v>77.099999999999994</v>
      </c>
    </row>
    <row r="15" spans="1:34" hidden="1" x14ac:dyDescent="0.3">
      <c r="A15" t="s">
        <v>36</v>
      </c>
      <c r="B15">
        <v>2017</v>
      </c>
      <c r="C15" t="s">
        <v>38</v>
      </c>
      <c r="D15">
        <v>134.4</v>
      </c>
      <c r="E15">
        <v>142.6</v>
      </c>
      <c r="F15">
        <v>145.9</v>
      </c>
      <c r="G15">
        <v>139.5</v>
      </c>
      <c r="H15">
        <v>115.9</v>
      </c>
      <c r="I15">
        <v>135</v>
      </c>
      <c r="J15">
        <v>163.19999999999999</v>
      </c>
      <c r="K15">
        <v>119.8</v>
      </c>
      <c r="L15">
        <v>120.7</v>
      </c>
      <c r="M15">
        <v>139.69999999999999</v>
      </c>
      <c r="N15">
        <v>125.7</v>
      </c>
      <c r="O15">
        <v>146.30000000000001</v>
      </c>
      <c r="P15">
        <v>138.80000000000001</v>
      </c>
      <c r="Q15">
        <v>139.1</v>
      </c>
      <c r="R15">
        <v>126.8</v>
      </c>
      <c r="S15">
        <v>129.30000000000001</v>
      </c>
      <c r="T15">
        <v>128.19999999999999</v>
      </c>
      <c r="U15">
        <v>115.3</v>
      </c>
      <c r="V15">
        <v>125.6</v>
      </c>
      <c r="W15">
        <v>136.69999999999999</v>
      </c>
      <c r="X15">
        <v>124.6</v>
      </c>
      <c r="Y15">
        <v>125.1</v>
      </c>
      <c r="Z15">
        <v>134.1</v>
      </c>
      <c r="AA15">
        <v>135.96153846153845</v>
      </c>
      <c r="AB15">
        <v>126.8</v>
      </c>
      <c r="AC15">
        <v>115.3</v>
      </c>
      <c r="AD15">
        <v>134.19999999999999</v>
      </c>
      <c r="AE15">
        <v>128.19999999999999</v>
      </c>
      <c r="AF15">
        <v>131.14999999999998</v>
      </c>
      <c r="AG15">
        <v>124.85</v>
      </c>
      <c r="AH15" s="17">
        <f t="shared" si="0"/>
        <v>-100</v>
      </c>
    </row>
    <row r="16" spans="1:34" x14ac:dyDescent="0.3">
      <c r="A16" t="s">
        <v>33</v>
      </c>
      <c r="B16">
        <v>2016</v>
      </c>
      <c r="C16" t="s">
        <v>38</v>
      </c>
      <c r="D16">
        <v>132.6</v>
      </c>
      <c r="E16">
        <v>137.30000000000001</v>
      </c>
      <c r="F16">
        <v>131.6</v>
      </c>
      <c r="G16">
        <v>136.30000000000001</v>
      </c>
      <c r="H16">
        <v>121.6</v>
      </c>
      <c r="I16">
        <v>135.6</v>
      </c>
      <c r="J16">
        <v>127.5</v>
      </c>
      <c r="K16">
        <v>167.9</v>
      </c>
      <c r="L16">
        <v>113.8</v>
      </c>
      <c r="M16">
        <v>137.5</v>
      </c>
      <c r="N16">
        <v>129.1</v>
      </c>
      <c r="O16">
        <v>143.6</v>
      </c>
      <c r="P16">
        <v>134.69999999999999</v>
      </c>
      <c r="Q16">
        <v>128.5</v>
      </c>
      <c r="R16">
        <v>132</v>
      </c>
      <c r="S16">
        <v>132.9</v>
      </c>
      <c r="T16">
        <v>129.69999999999999</v>
      </c>
      <c r="U16">
        <v>118.6</v>
      </c>
      <c r="V16">
        <v>127.3</v>
      </c>
      <c r="W16">
        <v>134.19999999999999</v>
      </c>
      <c r="X16">
        <v>121.9</v>
      </c>
      <c r="Y16">
        <v>126.3</v>
      </c>
      <c r="Z16">
        <v>132.80000000000001</v>
      </c>
      <c r="AA16">
        <v>134.54615384615383</v>
      </c>
      <c r="AB16">
        <v>132</v>
      </c>
      <c r="AC16">
        <v>118.6</v>
      </c>
      <c r="AD16">
        <v>130.69999999999999</v>
      </c>
      <c r="AE16">
        <v>129.69999999999999</v>
      </c>
      <c r="AF16">
        <v>130.75</v>
      </c>
      <c r="AG16">
        <v>124.1</v>
      </c>
      <c r="AH16" s="17">
        <f t="shared" si="0"/>
        <v>-100</v>
      </c>
    </row>
    <row r="17" spans="1:34" hidden="1" x14ac:dyDescent="0.3">
      <c r="A17" t="s">
        <v>36</v>
      </c>
      <c r="B17">
        <v>2018</v>
      </c>
      <c r="C17" t="s">
        <v>38</v>
      </c>
      <c r="D17">
        <v>138.5</v>
      </c>
      <c r="E17">
        <v>147.80000000000001</v>
      </c>
      <c r="F17">
        <v>141.1</v>
      </c>
      <c r="G17">
        <v>141.6</v>
      </c>
      <c r="H17">
        <v>118.1</v>
      </c>
      <c r="I17">
        <v>138.5</v>
      </c>
      <c r="J17">
        <v>132.4</v>
      </c>
      <c r="K17">
        <v>117.5</v>
      </c>
      <c r="L17">
        <v>111</v>
      </c>
      <c r="M17">
        <v>141.5</v>
      </c>
      <c r="N17">
        <v>128.1</v>
      </c>
      <c r="O17">
        <v>152.9</v>
      </c>
      <c r="P17">
        <v>137.6</v>
      </c>
      <c r="Q17">
        <v>146.5</v>
      </c>
      <c r="R17">
        <v>132.4</v>
      </c>
      <c r="S17">
        <v>136.19999999999999</v>
      </c>
      <c r="T17">
        <v>137.30000000000001</v>
      </c>
      <c r="U17">
        <v>118.8</v>
      </c>
      <c r="V17">
        <v>131.69999999999999</v>
      </c>
      <c r="W17">
        <v>146.5</v>
      </c>
      <c r="X17">
        <v>130.80000000000001</v>
      </c>
      <c r="Y17">
        <v>131.69999999999999</v>
      </c>
      <c r="Z17">
        <v>138</v>
      </c>
      <c r="AA17">
        <v>134.35384615384615</v>
      </c>
      <c r="AB17">
        <v>132.4</v>
      </c>
      <c r="AC17">
        <v>118.8</v>
      </c>
      <c r="AD17">
        <v>141.35</v>
      </c>
      <c r="AE17">
        <v>137.30000000000001</v>
      </c>
      <c r="AF17">
        <v>139.1</v>
      </c>
      <c r="AG17">
        <v>131.25</v>
      </c>
      <c r="AH17" s="17">
        <f t="shared" si="0"/>
        <v>-100</v>
      </c>
    </row>
    <row r="18" spans="1:34" hidden="1" x14ac:dyDescent="0.3">
      <c r="A18" t="s">
        <v>36</v>
      </c>
      <c r="B18">
        <v>2019</v>
      </c>
      <c r="C18" t="s">
        <v>38</v>
      </c>
      <c r="D18">
        <v>144.9</v>
      </c>
      <c r="E18">
        <v>164.5</v>
      </c>
      <c r="F18">
        <v>153.69999999999999</v>
      </c>
      <c r="G18">
        <v>147.5</v>
      </c>
      <c r="H18">
        <v>122.7</v>
      </c>
      <c r="I18">
        <v>147.19999999999999</v>
      </c>
      <c r="J18">
        <v>231.5</v>
      </c>
      <c r="K18">
        <v>137.19999999999999</v>
      </c>
      <c r="L18">
        <v>114.7</v>
      </c>
      <c r="M18">
        <v>148</v>
      </c>
      <c r="N18">
        <v>130.80000000000001</v>
      </c>
      <c r="O18">
        <v>157.69999999999999</v>
      </c>
      <c r="P18">
        <v>156.30000000000001</v>
      </c>
      <c r="Q18">
        <v>152.80000000000001</v>
      </c>
      <c r="R18">
        <v>133.6</v>
      </c>
      <c r="S18">
        <v>139.80000000000001</v>
      </c>
      <c r="T18">
        <v>143.19999999999999</v>
      </c>
      <c r="U18">
        <v>125.2</v>
      </c>
      <c r="V18">
        <v>136.80000000000001</v>
      </c>
      <c r="W18">
        <v>151.9</v>
      </c>
      <c r="X18">
        <v>140.19999999999999</v>
      </c>
      <c r="Y18">
        <v>137.69999999999999</v>
      </c>
      <c r="Z18">
        <v>148.30000000000001</v>
      </c>
      <c r="AA18">
        <v>150.51538461538462</v>
      </c>
      <c r="AB18">
        <v>133.6</v>
      </c>
      <c r="AC18">
        <v>125.2</v>
      </c>
      <c r="AD18">
        <v>146.30000000000001</v>
      </c>
      <c r="AE18">
        <v>143.19999999999999</v>
      </c>
      <c r="AF18">
        <v>144.35000000000002</v>
      </c>
      <c r="AG18">
        <v>138.94999999999999</v>
      </c>
      <c r="AH18" s="17" t="e">
        <f t="shared" si="0"/>
        <v>#DIV/0!</v>
      </c>
    </row>
    <row r="19" spans="1:34" hidden="1" x14ac:dyDescent="0.3">
      <c r="A19" t="s">
        <v>35</v>
      </c>
      <c r="B19">
        <v>2017</v>
      </c>
      <c r="C19" t="s">
        <v>38</v>
      </c>
      <c r="D19">
        <v>135.80000000000001</v>
      </c>
      <c r="E19">
        <v>143.30000000000001</v>
      </c>
      <c r="F19">
        <v>145.19999999999999</v>
      </c>
      <c r="G19">
        <v>141</v>
      </c>
      <c r="H19">
        <v>120.5</v>
      </c>
      <c r="I19">
        <v>141.5</v>
      </c>
      <c r="J19">
        <v>161.69999999999999</v>
      </c>
      <c r="K19">
        <v>129.1</v>
      </c>
      <c r="L19">
        <v>121.5</v>
      </c>
      <c r="M19">
        <v>137.1</v>
      </c>
      <c r="N19">
        <v>128.80000000000001</v>
      </c>
      <c r="O19">
        <v>149</v>
      </c>
      <c r="P19">
        <v>140.5</v>
      </c>
      <c r="Q19">
        <v>139.1</v>
      </c>
      <c r="R19">
        <v>136.6</v>
      </c>
      <c r="S19">
        <v>134.69999999999999</v>
      </c>
      <c r="T19">
        <v>133.1</v>
      </c>
      <c r="U19">
        <v>118.5</v>
      </c>
      <c r="V19">
        <v>129</v>
      </c>
      <c r="W19">
        <v>138.5</v>
      </c>
      <c r="X19">
        <v>126.5</v>
      </c>
      <c r="Y19">
        <v>128.6</v>
      </c>
      <c r="Z19">
        <v>137.19999999999999</v>
      </c>
      <c r="AA19">
        <v>138.07692307692307</v>
      </c>
      <c r="AB19">
        <v>136.6</v>
      </c>
      <c r="AC19">
        <v>118.5</v>
      </c>
      <c r="AD19">
        <v>136.89999999999998</v>
      </c>
      <c r="AE19">
        <v>133.1</v>
      </c>
      <c r="AF19">
        <v>133.75</v>
      </c>
      <c r="AG19">
        <v>127.55</v>
      </c>
      <c r="AH19" s="17">
        <f>Z22-Z19/Z19* 100</f>
        <v>40.099999999999994</v>
      </c>
    </row>
    <row r="20" spans="1:34" hidden="1" x14ac:dyDescent="0.3">
      <c r="A20" t="s">
        <v>36</v>
      </c>
      <c r="B20">
        <v>2020</v>
      </c>
      <c r="C20" t="s">
        <v>38</v>
      </c>
      <c r="D20">
        <v>149</v>
      </c>
      <c r="E20">
        <v>195.7</v>
      </c>
      <c r="F20">
        <v>178.3</v>
      </c>
      <c r="G20">
        <v>154.19999999999999</v>
      </c>
      <c r="H20">
        <v>140.69999999999999</v>
      </c>
      <c r="I20">
        <v>149.69999999999999</v>
      </c>
      <c r="J20">
        <v>240.9</v>
      </c>
      <c r="K20">
        <v>161.5</v>
      </c>
      <c r="L20">
        <v>117.1</v>
      </c>
      <c r="M20">
        <v>161.9</v>
      </c>
      <c r="N20">
        <v>143.30000000000001</v>
      </c>
      <c r="O20">
        <v>166.1</v>
      </c>
      <c r="P20">
        <v>167</v>
      </c>
      <c r="Q20">
        <v>158.4</v>
      </c>
      <c r="R20">
        <v>137.9</v>
      </c>
      <c r="S20">
        <v>145.5</v>
      </c>
      <c r="T20">
        <v>152.9</v>
      </c>
      <c r="U20">
        <v>135.5</v>
      </c>
      <c r="V20">
        <v>144.30000000000001</v>
      </c>
      <c r="W20">
        <v>156.9</v>
      </c>
      <c r="X20">
        <v>157.9</v>
      </c>
      <c r="Y20">
        <v>146.9</v>
      </c>
      <c r="Z20">
        <v>156.9</v>
      </c>
      <c r="AA20">
        <v>163.49230769230769</v>
      </c>
      <c r="AB20">
        <v>137.9</v>
      </c>
      <c r="AC20">
        <v>135.5</v>
      </c>
      <c r="AD20">
        <v>151.94999999999999</v>
      </c>
      <c r="AE20">
        <v>152.9</v>
      </c>
      <c r="AF20">
        <v>150.60000000000002</v>
      </c>
      <c r="AG20">
        <v>152.4</v>
      </c>
      <c r="AH20" s="17">
        <f t="shared" ref="AH20:AH32" si="1">Z23-Z20/Z20* 100</f>
        <v>50.400000000000006</v>
      </c>
    </row>
    <row r="21" spans="1:34" x14ac:dyDescent="0.3">
      <c r="A21" t="s">
        <v>33</v>
      </c>
      <c r="B21">
        <v>2017</v>
      </c>
      <c r="C21" t="s">
        <v>38</v>
      </c>
      <c r="D21">
        <v>136.4</v>
      </c>
      <c r="E21">
        <v>143.69999999999999</v>
      </c>
      <c r="F21">
        <v>144.80000000000001</v>
      </c>
      <c r="G21">
        <v>141.9</v>
      </c>
      <c r="H21">
        <v>123.1</v>
      </c>
      <c r="I21">
        <v>147.19999999999999</v>
      </c>
      <c r="J21">
        <v>161</v>
      </c>
      <c r="K21">
        <v>133.80000000000001</v>
      </c>
      <c r="L21">
        <v>121.9</v>
      </c>
      <c r="M21">
        <v>135.80000000000001</v>
      </c>
      <c r="N21">
        <v>131.1</v>
      </c>
      <c r="O21">
        <v>151.4</v>
      </c>
      <c r="P21">
        <v>141.5</v>
      </c>
      <c r="Q21">
        <v>139.1</v>
      </c>
      <c r="R21">
        <v>142.6</v>
      </c>
      <c r="S21">
        <v>139.5</v>
      </c>
      <c r="T21">
        <v>136.1</v>
      </c>
      <c r="U21">
        <v>122</v>
      </c>
      <c r="V21">
        <v>133.4</v>
      </c>
      <c r="W21">
        <v>141.1</v>
      </c>
      <c r="X21">
        <v>127.8</v>
      </c>
      <c r="Y21">
        <v>131.9</v>
      </c>
      <c r="Z21">
        <v>139.80000000000001</v>
      </c>
      <c r="AA21">
        <v>139.50769230769231</v>
      </c>
      <c r="AB21">
        <v>142.6</v>
      </c>
      <c r="AC21">
        <v>122</v>
      </c>
      <c r="AD21">
        <v>139.30000000000001</v>
      </c>
      <c r="AE21">
        <v>136.1</v>
      </c>
      <c r="AF21">
        <v>137.25</v>
      </c>
      <c r="AG21">
        <v>129.85</v>
      </c>
      <c r="AH21" s="17">
        <f t="shared" si="1"/>
        <v>58.900000000000006</v>
      </c>
    </row>
    <row r="22" spans="1:34" hidden="1" x14ac:dyDescent="0.3">
      <c r="A22" t="s">
        <v>35</v>
      </c>
      <c r="B22">
        <v>2018</v>
      </c>
      <c r="C22" t="s">
        <v>38</v>
      </c>
      <c r="D22">
        <v>137.5</v>
      </c>
      <c r="E22">
        <v>150.5</v>
      </c>
      <c r="F22">
        <v>138.80000000000001</v>
      </c>
      <c r="G22">
        <v>142.1</v>
      </c>
      <c r="H22">
        <v>122</v>
      </c>
      <c r="I22">
        <v>139.4</v>
      </c>
      <c r="J22">
        <v>135.19999999999999</v>
      </c>
      <c r="K22">
        <v>119.8</v>
      </c>
      <c r="L22">
        <v>110.3</v>
      </c>
      <c r="M22">
        <v>140.6</v>
      </c>
      <c r="N22">
        <v>133.80000000000001</v>
      </c>
      <c r="O22">
        <v>154.6</v>
      </c>
      <c r="P22">
        <v>138.19999999999999</v>
      </c>
      <c r="Q22">
        <v>146.5</v>
      </c>
      <c r="R22">
        <v>142.69999999999999</v>
      </c>
      <c r="S22">
        <v>143.19999999999999</v>
      </c>
      <c r="T22">
        <v>144.9</v>
      </c>
      <c r="U22">
        <v>123.6</v>
      </c>
      <c r="V22">
        <v>136.80000000000001</v>
      </c>
      <c r="W22">
        <v>150.1</v>
      </c>
      <c r="X22">
        <v>132.19999999999999</v>
      </c>
      <c r="Y22">
        <v>136.80000000000001</v>
      </c>
      <c r="Z22">
        <v>140.1</v>
      </c>
      <c r="AA22">
        <v>135.59999999999997</v>
      </c>
      <c r="AB22">
        <v>142.69999999999999</v>
      </c>
      <c r="AC22">
        <v>123.6</v>
      </c>
      <c r="AD22">
        <v>144.85</v>
      </c>
      <c r="AE22">
        <v>144.9</v>
      </c>
      <c r="AF22">
        <v>143.44999999999999</v>
      </c>
      <c r="AG22">
        <v>134.5</v>
      </c>
      <c r="AH22" s="17">
        <f t="shared" si="1"/>
        <v>60.699999999999989</v>
      </c>
    </row>
    <row r="23" spans="1:34" hidden="1" x14ac:dyDescent="0.3">
      <c r="A23" t="s">
        <v>35</v>
      </c>
      <c r="B23">
        <v>2019</v>
      </c>
      <c r="C23" t="s">
        <v>38</v>
      </c>
      <c r="D23">
        <v>143.5</v>
      </c>
      <c r="E23">
        <v>165</v>
      </c>
      <c r="F23">
        <v>151.1</v>
      </c>
      <c r="G23">
        <v>148.30000000000001</v>
      </c>
      <c r="H23">
        <v>125.7</v>
      </c>
      <c r="I23">
        <v>145.69999999999999</v>
      </c>
      <c r="J23">
        <v>217</v>
      </c>
      <c r="K23">
        <v>138.30000000000001</v>
      </c>
      <c r="L23">
        <v>114</v>
      </c>
      <c r="M23">
        <v>148.69999999999999</v>
      </c>
      <c r="N23">
        <v>135.80000000000001</v>
      </c>
      <c r="O23">
        <v>158</v>
      </c>
      <c r="P23">
        <v>155</v>
      </c>
      <c r="Q23">
        <v>152.80000000000001</v>
      </c>
      <c r="R23">
        <v>143.69999999999999</v>
      </c>
      <c r="S23">
        <v>145.80000000000001</v>
      </c>
      <c r="T23">
        <v>150.4</v>
      </c>
      <c r="U23">
        <v>129.80000000000001</v>
      </c>
      <c r="V23">
        <v>142.30000000000001</v>
      </c>
      <c r="W23">
        <v>155.69999999999999</v>
      </c>
      <c r="X23">
        <v>140.4</v>
      </c>
      <c r="Y23">
        <v>142.5</v>
      </c>
      <c r="Z23">
        <v>150.4</v>
      </c>
      <c r="AA23">
        <v>149.70000000000002</v>
      </c>
      <c r="AB23">
        <v>143.69999999999999</v>
      </c>
      <c r="AC23">
        <v>129.80000000000001</v>
      </c>
      <c r="AD23">
        <v>149.30000000000001</v>
      </c>
      <c r="AE23">
        <v>150.4</v>
      </c>
      <c r="AF23">
        <v>149</v>
      </c>
      <c r="AG23">
        <v>141.44999999999999</v>
      </c>
      <c r="AH23" s="17">
        <f t="shared" si="1"/>
        <v>41.900000000000006</v>
      </c>
    </row>
    <row r="24" spans="1:34" hidden="1" x14ac:dyDescent="0.3">
      <c r="A24" t="s">
        <v>35</v>
      </c>
      <c r="B24">
        <v>2020</v>
      </c>
      <c r="C24" t="s">
        <v>38</v>
      </c>
      <c r="D24">
        <v>146</v>
      </c>
      <c r="E24">
        <v>191</v>
      </c>
      <c r="F24">
        <v>175.3</v>
      </c>
      <c r="G24">
        <v>154.1</v>
      </c>
      <c r="H24">
        <v>146.6</v>
      </c>
      <c r="I24">
        <v>147.69999999999999</v>
      </c>
      <c r="J24">
        <v>230.5</v>
      </c>
      <c r="K24">
        <v>160.19999999999999</v>
      </c>
      <c r="L24">
        <v>115.3</v>
      </c>
      <c r="M24">
        <v>163</v>
      </c>
      <c r="N24">
        <v>149.19999999999999</v>
      </c>
      <c r="O24">
        <v>164.8</v>
      </c>
      <c r="P24">
        <v>165.4</v>
      </c>
      <c r="Q24">
        <v>158.4</v>
      </c>
      <c r="R24">
        <v>144.6</v>
      </c>
      <c r="S24">
        <v>149.69999999999999</v>
      </c>
      <c r="T24">
        <v>158.30000000000001</v>
      </c>
      <c r="U24">
        <v>140.69999999999999</v>
      </c>
      <c r="V24">
        <v>148.5</v>
      </c>
      <c r="W24">
        <v>159.4</v>
      </c>
      <c r="X24">
        <v>157.1</v>
      </c>
      <c r="Y24">
        <v>151.19999999999999</v>
      </c>
      <c r="Z24">
        <v>158.9</v>
      </c>
      <c r="AA24">
        <v>162.23846153846154</v>
      </c>
      <c r="AB24">
        <v>144.6</v>
      </c>
      <c r="AC24">
        <v>140.69999999999999</v>
      </c>
      <c r="AD24">
        <v>154.05000000000001</v>
      </c>
      <c r="AE24">
        <v>158.30000000000001</v>
      </c>
      <c r="AF24">
        <v>153.94999999999999</v>
      </c>
      <c r="AG24">
        <v>154.14999999999998</v>
      </c>
      <c r="AH24" s="17">
        <f t="shared" si="1"/>
        <v>52.300000000000011</v>
      </c>
    </row>
    <row r="25" spans="1:34" x14ac:dyDescent="0.3">
      <c r="A25" t="s">
        <v>33</v>
      </c>
      <c r="B25">
        <v>2020</v>
      </c>
      <c r="C25" t="s">
        <v>38</v>
      </c>
      <c r="D25">
        <v>144.6</v>
      </c>
      <c r="E25">
        <v>188.5</v>
      </c>
      <c r="F25">
        <v>173.4</v>
      </c>
      <c r="G25">
        <v>154</v>
      </c>
      <c r="H25">
        <v>150</v>
      </c>
      <c r="I25">
        <v>145.9</v>
      </c>
      <c r="J25">
        <v>225.2</v>
      </c>
      <c r="K25">
        <v>159.5</v>
      </c>
      <c r="L25">
        <v>114.4</v>
      </c>
      <c r="M25">
        <v>163.5</v>
      </c>
      <c r="N25">
        <v>153.4</v>
      </c>
      <c r="O25">
        <v>163.6</v>
      </c>
      <c r="P25">
        <v>164.5</v>
      </c>
      <c r="Q25">
        <v>158.4</v>
      </c>
      <c r="R25">
        <v>148.69999999999999</v>
      </c>
      <c r="S25">
        <v>153.4</v>
      </c>
      <c r="T25">
        <v>161.6</v>
      </c>
      <c r="U25">
        <v>146.4</v>
      </c>
      <c r="V25">
        <v>153.9</v>
      </c>
      <c r="W25">
        <v>162.9</v>
      </c>
      <c r="X25">
        <v>156.6</v>
      </c>
      <c r="Y25">
        <v>155.19999999999999</v>
      </c>
      <c r="Z25">
        <v>160.69999999999999</v>
      </c>
      <c r="AA25">
        <v>161.57692307692307</v>
      </c>
      <c r="AB25">
        <v>148.69999999999999</v>
      </c>
      <c r="AC25">
        <v>146.4</v>
      </c>
      <c r="AD25">
        <v>155.9</v>
      </c>
      <c r="AE25">
        <v>161.6</v>
      </c>
      <c r="AF25">
        <v>158.4</v>
      </c>
      <c r="AG25">
        <v>155.89999999999998</v>
      </c>
      <c r="AH25" s="17">
        <f t="shared" si="1"/>
        <v>65.199999999999989</v>
      </c>
    </row>
    <row r="26" spans="1:34" x14ac:dyDescent="0.3">
      <c r="A26" t="s">
        <v>33</v>
      </c>
      <c r="B26">
        <v>2018</v>
      </c>
      <c r="C26" t="s">
        <v>38</v>
      </c>
      <c r="D26">
        <v>137.1</v>
      </c>
      <c r="E26">
        <v>151.9</v>
      </c>
      <c r="F26">
        <v>137.4</v>
      </c>
      <c r="G26">
        <v>142.4</v>
      </c>
      <c r="H26">
        <v>124.2</v>
      </c>
      <c r="I26">
        <v>140.19999999999999</v>
      </c>
      <c r="J26">
        <v>136.6</v>
      </c>
      <c r="K26">
        <v>120.9</v>
      </c>
      <c r="L26">
        <v>109.9</v>
      </c>
      <c r="M26">
        <v>140.19999999999999</v>
      </c>
      <c r="N26">
        <v>137.80000000000001</v>
      </c>
      <c r="O26">
        <v>156</v>
      </c>
      <c r="P26">
        <v>138.5</v>
      </c>
      <c r="Q26">
        <v>146.5</v>
      </c>
      <c r="R26">
        <v>149</v>
      </c>
      <c r="S26">
        <v>149.5</v>
      </c>
      <c r="T26">
        <v>149.6</v>
      </c>
      <c r="U26">
        <v>128.9</v>
      </c>
      <c r="V26">
        <v>143.30000000000001</v>
      </c>
      <c r="W26">
        <v>155.1</v>
      </c>
      <c r="X26">
        <v>133.19999999999999</v>
      </c>
      <c r="Y26">
        <v>141.6</v>
      </c>
      <c r="Z26">
        <v>141.9</v>
      </c>
      <c r="AA26">
        <v>136.3923076923077</v>
      </c>
      <c r="AB26">
        <v>149</v>
      </c>
      <c r="AC26">
        <v>128.9</v>
      </c>
      <c r="AD26">
        <v>148</v>
      </c>
      <c r="AE26">
        <v>149.6</v>
      </c>
      <c r="AF26">
        <v>149.19999999999999</v>
      </c>
      <c r="AG26">
        <v>137.39999999999998</v>
      </c>
      <c r="AH26" s="17">
        <f t="shared" si="1"/>
        <v>66.199999999999989</v>
      </c>
    </row>
    <row r="27" spans="1:34" x14ac:dyDescent="0.3">
      <c r="A27" t="s">
        <v>33</v>
      </c>
      <c r="B27">
        <v>2019</v>
      </c>
      <c r="C27" t="s">
        <v>38</v>
      </c>
      <c r="D27">
        <v>142.80000000000001</v>
      </c>
      <c r="E27">
        <v>165.3</v>
      </c>
      <c r="F27">
        <v>149.5</v>
      </c>
      <c r="G27">
        <v>148.69999999999999</v>
      </c>
      <c r="H27">
        <v>127.5</v>
      </c>
      <c r="I27">
        <v>144.30000000000001</v>
      </c>
      <c r="J27">
        <v>209.5</v>
      </c>
      <c r="K27">
        <v>138.80000000000001</v>
      </c>
      <c r="L27">
        <v>113.6</v>
      </c>
      <c r="M27">
        <v>149.1</v>
      </c>
      <c r="N27">
        <v>139.30000000000001</v>
      </c>
      <c r="O27">
        <v>158.30000000000001</v>
      </c>
      <c r="P27">
        <v>154.30000000000001</v>
      </c>
      <c r="Q27">
        <v>152.80000000000001</v>
      </c>
      <c r="R27">
        <v>149.9</v>
      </c>
      <c r="S27">
        <v>151.19999999999999</v>
      </c>
      <c r="T27">
        <v>154.80000000000001</v>
      </c>
      <c r="U27">
        <v>135</v>
      </c>
      <c r="V27">
        <v>149.5</v>
      </c>
      <c r="W27">
        <v>161.1</v>
      </c>
      <c r="X27">
        <v>140.6</v>
      </c>
      <c r="Y27">
        <v>147.1</v>
      </c>
      <c r="Z27">
        <v>152.30000000000001</v>
      </c>
      <c r="AA27">
        <v>149.30769230769226</v>
      </c>
      <c r="AB27">
        <v>149.9</v>
      </c>
      <c r="AC27">
        <v>135</v>
      </c>
      <c r="AD27">
        <v>152</v>
      </c>
      <c r="AE27">
        <v>154.80000000000001</v>
      </c>
      <c r="AF27">
        <v>155.30000000000001</v>
      </c>
      <c r="AG27">
        <v>143.85</v>
      </c>
      <c r="AH27" s="17">
        <f t="shared" si="1"/>
        <v>67</v>
      </c>
    </row>
    <row r="28" spans="1:34" hidden="1" x14ac:dyDescent="0.3">
      <c r="A28" t="s">
        <v>36</v>
      </c>
      <c r="B28">
        <v>2021</v>
      </c>
      <c r="C28" t="s">
        <v>38</v>
      </c>
      <c r="D28">
        <v>151.6</v>
      </c>
      <c r="E28">
        <v>202.2</v>
      </c>
      <c r="F28">
        <v>180</v>
      </c>
      <c r="G28">
        <v>160</v>
      </c>
      <c r="H28">
        <v>173.5</v>
      </c>
      <c r="I28">
        <v>158.30000000000001</v>
      </c>
      <c r="J28">
        <v>219.5</v>
      </c>
      <c r="K28">
        <v>164.2</v>
      </c>
      <c r="L28">
        <v>121.9</v>
      </c>
      <c r="M28">
        <v>168.2</v>
      </c>
      <c r="N28">
        <v>156.5</v>
      </c>
      <c r="O28">
        <v>178.2</v>
      </c>
      <c r="P28">
        <v>172.2</v>
      </c>
      <c r="Q28">
        <v>163.4</v>
      </c>
      <c r="R28">
        <v>161.69999999999999</v>
      </c>
      <c r="S28">
        <v>156</v>
      </c>
      <c r="T28">
        <v>165.1</v>
      </c>
      <c r="U28">
        <v>151.80000000000001</v>
      </c>
      <c r="V28">
        <v>157.6</v>
      </c>
      <c r="W28">
        <v>160.6</v>
      </c>
      <c r="X28">
        <v>162.4</v>
      </c>
      <c r="Y28">
        <v>157.80000000000001</v>
      </c>
      <c r="Z28">
        <v>165.2</v>
      </c>
      <c r="AA28">
        <v>169.71538461538464</v>
      </c>
      <c r="AB28">
        <v>161.69999999999999</v>
      </c>
      <c r="AC28">
        <v>151.80000000000001</v>
      </c>
      <c r="AD28">
        <v>159.69999999999999</v>
      </c>
      <c r="AE28">
        <v>165.1</v>
      </c>
      <c r="AF28">
        <v>159.1</v>
      </c>
      <c r="AG28">
        <v>160.10000000000002</v>
      </c>
      <c r="AH28" s="17">
        <f t="shared" si="1"/>
        <v>74.099999999999994</v>
      </c>
    </row>
    <row r="29" spans="1:34" hidden="1" x14ac:dyDescent="0.3">
      <c r="A29" t="s">
        <v>35</v>
      </c>
      <c r="B29">
        <v>2021</v>
      </c>
      <c r="C29" t="s">
        <v>38</v>
      </c>
      <c r="D29">
        <v>148.69999999999999</v>
      </c>
      <c r="E29">
        <v>198.8</v>
      </c>
      <c r="F29">
        <v>177.9</v>
      </c>
      <c r="G29">
        <v>159.9</v>
      </c>
      <c r="H29">
        <v>187.6</v>
      </c>
      <c r="I29">
        <v>154.9</v>
      </c>
      <c r="J29">
        <v>188.3</v>
      </c>
      <c r="K29">
        <v>164.4</v>
      </c>
      <c r="L29">
        <v>121</v>
      </c>
      <c r="M29">
        <v>170.5</v>
      </c>
      <c r="N29">
        <v>164.2</v>
      </c>
      <c r="O29">
        <v>176.5</v>
      </c>
      <c r="P29">
        <v>168.2</v>
      </c>
      <c r="Q29">
        <v>163.4</v>
      </c>
      <c r="R29">
        <v>164.1</v>
      </c>
      <c r="S29">
        <v>160.19999999999999</v>
      </c>
      <c r="T29">
        <v>170.6</v>
      </c>
      <c r="U29">
        <v>155.69999999999999</v>
      </c>
      <c r="V29">
        <v>160.6</v>
      </c>
      <c r="W29">
        <v>164.4</v>
      </c>
      <c r="X29">
        <v>162.6</v>
      </c>
      <c r="Y29">
        <v>162</v>
      </c>
      <c r="Z29">
        <v>166.2</v>
      </c>
      <c r="AA29">
        <v>167.76153846153846</v>
      </c>
      <c r="AB29">
        <v>164.1</v>
      </c>
      <c r="AC29">
        <v>155.69999999999999</v>
      </c>
      <c r="AD29">
        <v>161.80000000000001</v>
      </c>
      <c r="AE29">
        <v>170.6</v>
      </c>
      <c r="AF29">
        <v>162.5</v>
      </c>
      <c r="AG29">
        <v>162.30000000000001</v>
      </c>
      <c r="AH29" s="17">
        <f t="shared" si="1"/>
        <v>75.699999999999989</v>
      </c>
    </row>
    <row r="30" spans="1:34" x14ac:dyDescent="0.3">
      <c r="A30" t="s">
        <v>33</v>
      </c>
      <c r="B30">
        <v>2021</v>
      </c>
      <c r="C30" t="s">
        <v>38</v>
      </c>
      <c r="D30">
        <v>147.4</v>
      </c>
      <c r="E30">
        <v>197</v>
      </c>
      <c r="F30">
        <v>176.5</v>
      </c>
      <c r="G30">
        <v>159.80000000000001</v>
      </c>
      <c r="H30">
        <v>195.8</v>
      </c>
      <c r="I30">
        <v>152</v>
      </c>
      <c r="J30">
        <v>172.3</v>
      </c>
      <c r="K30">
        <v>164.5</v>
      </c>
      <c r="L30">
        <v>120.6</v>
      </c>
      <c r="M30">
        <v>171.7</v>
      </c>
      <c r="N30">
        <v>169.7</v>
      </c>
      <c r="O30">
        <v>175.1</v>
      </c>
      <c r="P30">
        <v>165.8</v>
      </c>
      <c r="Q30">
        <v>163.4</v>
      </c>
      <c r="R30">
        <v>165.6</v>
      </c>
      <c r="S30">
        <v>163.9</v>
      </c>
      <c r="T30">
        <v>174</v>
      </c>
      <c r="U30">
        <v>160.1</v>
      </c>
      <c r="V30">
        <v>164.5</v>
      </c>
      <c r="W30">
        <v>169.7</v>
      </c>
      <c r="X30">
        <v>162.80000000000001</v>
      </c>
      <c r="Y30">
        <v>166</v>
      </c>
      <c r="Z30">
        <v>167</v>
      </c>
      <c r="AA30">
        <v>166.78461538461536</v>
      </c>
      <c r="AB30">
        <v>165.6</v>
      </c>
      <c r="AC30">
        <v>160.1</v>
      </c>
      <c r="AD30">
        <v>163.65</v>
      </c>
      <c r="AE30">
        <v>174</v>
      </c>
      <c r="AF30">
        <v>167.1</v>
      </c>
      <c r="AG30">
        <v>164.4</v>
      </c>
      <c r="AH30" s="17">
        <f t="shared" si="1"/>
        <v>77.099999999999994</v>
      </c>
    </row>
    <row r="31" spans="1:34" hidden="1" x14ac:dyDescent="0.3">
      <c r="A31" t="s">
        <v>36</v>
      </c>
      <c r="B31">
        <v>2022</v>
      </c>
      <c r="C31" t="s">
        <v>38</v>
      </c>
      <c r="D31">
        <v>170.2</v>
      </c>
      <c r="E31">
        <v>212.9</v>
      </c>
      <c r="F31">
        <v>191.9</v>
      </c>
      <c r="G31">
        <v>173.9</v>
      </c>
      <c r="H31">
        <v>179.1</v>
      </c>
      <c r="I31">
        <v>159.5</v>
      </c>
      <c r="J31">
        <v>178.7</v>
      </c>
      <c r="K31">
        <v>171.3</v>
      </c>
      <c r="L31">
        <v>123.1</v>
      </c>
      <c r="M31">
        <v>200.5</v>
      </c>
      <c r="N31">
        <v>162.80000000000001</v>
      </c>
      <c r="O31">
        <v>193.3</v>
      </c>
      <c r="P31">
        <v>178.6</v>
      </c>
      <c r="Q31">
        <v>170.7</v>
      </c>
      <c r="R31">
        <v>180.6</v>
      </c>
      <c r="S31">
        <v>167.3</v>
      </c>
      <c r="T31">
        <v>177.2</v>
      </c>
      <c r="U31">
        <v>159.4</v>
      </c>
      <c r="V31">
        <v>167.1</v>
      </c>
      <c r="W31">
        <v>171.8</v>
      </c>
      <c r="X31">
        <v>176</v>
      </c>
      <c r="Y31">
        <v>168.2</v>
      </c>
      <c r="Z31">
        <v>174.1</v>
      </c>
      <c r="AA31">
        <v>176.59999999999997</v>
      </c>
      <c r="AB31">
        <v>180.6</v>
      </c>
      <c r="AC31">
        <v>159.4</v>
      </c>
      <c r="AD31">
        <v>169</v>
      </c>
      <c r="AE31">
        <v>177.2</v>
      </c>
      <c r="AF31">
        <v>169.45</v>
      </c>
      <c r="AG31">
        <v>172.1</v>
      </c>
      <c r="AH31" s="17">
        <f t="shared" si="1"/>
        <v>-100</v>
      </c>
    </row>
    <row r="32" spans="1:34" hidden="1" x14ac:dyDescent="0.3">
      <c r="A32" t="s">
        <v>35</v>
      </c>
      <c r="B32">
        <v>2022</v>
      </c>
      <c r="C32" t="s">
        <v>38</v>
      </c>
      <c r="D32">
        <v>169.2</v>
      </c>
      <c r="E32">
        <v>209</v>
      </c>
      <c r="F32">
        <v>190.2</v>
      </c>
      <c r="G32">
        <v>173.6</v>
      </c>
      <c r="H32">
        <v>188.5</v>
      </c>
      <c r="I32">
        <v>158</v>
      </c>
      <c r="J32">
        <v>159.9</v>
      </c>
      <c r="K32">
        <v>170.8</v>
      </c>
      <c r="L32">
        <v>121.8</v>
      </c>
      <c r="M32">
        <v>205.2</v>
      </c>
      <c r="N32">
        <v>171</v>
      </c>
      <c r="O32">
        <v>190.3</v>
      </c>
      <c r="P32">
        <v>175.9</v>
      </c>
      <c r="Q32">
        <v>170.7</v>
      </c>
      <c r="R32">
        <v>182</v>
      </c>
      <c r="S32">
        <v>172.1</v>
      </c>
      <c r="T32">
        <v>181.1</v>
      </c>
      <c r="U32">
        <v>163.4</v>
      </c>
      <c r="V32">
        <v>168.9</v>
      </c>
      <c r="W32">
        <v>174.1</v>
      </c>
      <c r="X32">
        <v>175.8</v>
      </c>
      <c r="Y32">
        <v>172</v>
      </c>
      <c r="Z32">
        <v>175.7</v>
      </c>
      <c r="AA32">
        <v>175.64615384615385</v>
      </c>
      <c r="AB32">
        <v>182</v>
      </c>
      <c r="AC32">
        <v>163.4</v>
      </c>
      <c r="AD32">
        <v>171.39999999999998</v>
      </c>
      <c r="AE32">
        <v>181.1</v>
      </c>
      <c r="AF32">
        <v>171.5</v>
      </c>
      <c r="AG32">
        <v>173.9</v>
      </c>
      <c r="AH32" s="17">
        <f t="shared" si="1"/>
        <v>-100</v>
      </c>
    </row>
    <row r="33" spans="1:33" x14ac:dyDescent="0.3">
      <c r="A33" t="s">
        <v>33</v>
      </c>
      <c r="B33">
        <v>2022</v>
      </c>
      <c r="C33" t="s">
        <v>38</v>
      </c>
      <c r="D33">
        <v>168.8</v>
      </c>
      <c r="E33">
        <v>206.9</v>
      </c>
      <c r="F33">
        <v>189.1</v>
      </c>
      <c r="G33">
        <v>173.4</v>
      </c>
      <c r="H33">
        <v>193.9</v>
      </c>
      <c r="I33">
        <v>156.69999999999999</v>
      </c>
      <c r="J33">
        <v>150.19999999999999</v>
      </c>
      <c r="K33">
        <v>170.5</v>
      </c>
      <c r="L33">
        <v>121.2</v>
      </c>
      <c r="M33">
        <v>207.5</v>
      </c>
      <c r="N33">
        <v>176.8</v>
      </c>
      <c r="O33">
        <v>187.7</v>
      </c>
      <c r="P33">
        <v>174.4</v>
      </c>
      <c r="Q33">
        <v>170.7</v>
      </c>
      <c r="R33">
        <v>182.8</v>
      </c>
      <c r="S33">
        <v>176.4</v>
      </c>
      <c r="T33">
        <v>183.5</v>
      </c>
      <c r="U33">
        <v>167.8</v>
      </c>
      <c r="V33">
        <v>171.2</v>
      </c>
      <c r="W33">
        <v>177.3</v>
      </c>
      <c r="X33">
        <v>175.7</v>
      </c>
      <c r="Y33">
        <v>175.5</v>
      </c>
      <c r="Z33">
        <v>177.1</v>
      </c>
      <c r="AA33">
        <v>175.16153846153844</v>
      </c>
      <c r="AB33">
        <v>182.8</v>
      </c>
      <c r="AC33">
        <v>167.8</v>
      </c>
      <c r="AD33">
        <v>173.55</v>
      </c>
      <c r="AE33">
        <v>183.5</v>
      </c>
      <c r="AF33">
        <v>174.25</v>
      </c>
      <c r="AG33">
        <v>175.6</v>
      </c>
    </row>
    <row r="36" spans="1:33" x14ac:dyDescent="0.3">
      <c r="A36" s="16" t="s">
        <v>72</v>
      </c>
    </row>
    <row r="38" spans="1:33" x14ac:dyDescent="0.3">
      <c r="A38" s="19"/>
      <c r="B38" s="21" t="s">
        <v>1</v>
      </c>
      <c r="C38" s="19"/>
      <c r="D38" s="26" t="s">
        <v>67</v>
      </c>
    </row>
    <row r="39" spans="1:33" x14ac:dyDescent="0.3">
      <c r="A39" s="19"/>
      <c r="B39" s="22">
        <v>2017</v>
      </c>
      <c r="C39" s="19"/>
      <c r="D39" s="24">
        <f>Z22-Z19/Z19 * 100</f>
        <v>40.099999999999994</v>
      </c>
    </row>
    <row r="40" spans="1:33" x14ac:dyDescent="0.3">
      <c r="A40" s="19"/>
      <c r="B40" s="23">
        <v>2018</v>
      </c>
      <c r="C40" s="19"/>
      <c r="D40" s="24">
        <f t="shared" ref="D40:D44" si="2">Z23-Z20/Z20 * 100</f>
        <v>50.400000000000006</v>
      </c>
    </row>
    <row r="41" spans="1:33" x14ac:dyDescent="0.3">
      <c r="A41" s="19"/>
      <c r="B41" s="22">
        <v>2019</v>
      </c>
      <c r="C41" s="19"/>
      <c r="D41" s="24">
        <f t="shared" si="2"/>
        <v>58.900000000000006</v>
      </c>
    </row>
    <row r="42" spans="1:33" x14ac:dyDescent="0.3">
      <c r="A42" s="28"/>
      <c r="B42" s="29">
        <v>2020</v>
      </c>
      <c r="C42" s="28" t="s">
        <v>73</v>
      </c>
      <c r="D42" s="27">
        <f>Z25-Z22/Z22 * 100</f>
        <v>60.699999999999989</v>
      </c>
    </row>
    <row r="43" spans="1:33" x14ac:dyDescent="0.3">
      <c r="A43" s="19"/>
      <c r="B43" s="22">
        <v>2021</v>
      </c>
      <c r="C43" s="19"/>
      <c r="D43" s="24">
        <f t="shared" si="2"/>
        <v>41.900000000000006</v>
      </c>
    </row>
    <row r="44" spans="1:33" x14ac:dyDescent="0.3">
      <c r="A44" s="19"/>
      <c r="B44" s="23">
        <v>2022</v>
      </c>
      <c r="C44" s="19"/>
      <c r="D44" s="24">
        <f t="shared" si="2"/>
        <v>52.300000000000011</v>
      </c>
    </row>
    <row r="45" spans="1:33" x14ac:dyDescent="0.3">
      <c r="A45" s="19"/>
      <c r="B45" s="19"/>
      <c r="C45" s="19"/>
      <c r="D45" s="19"/>
    </row>
    <row r="46" spans="1:33" x14ac:dyDescent="0.3">
      <c r="A46" s="20" t="s">
        <v>68</v>
      </c>
      <c r="B46" s="20">
        <v>2020</v>
      </c>
      <c r="C46" s="20" t="s">
        <v>70</v>
      </c>
      <c r="D46" s="20" t="s">
        <v>69</v>
      </c>
    </row>
    <row r="49" spans="4:4" x14ac:dyDescent="0.3">
      <c r="D49" t="s">
        <v>74</v>
      </c>
    </row>
    <row r="57" spans="4:4" x14ac:dyDescent="0.3">
      <c r="D57" s="25"/>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27129-39DE-40C9-A172-8C9FA5F8DB60}">
  <dimension ref="A1:C18"/>
  <sheetViews>
    <sheetView workbookViewId="0">
      <selection activeCell="R12" sqref="R12"/>
    </sheetView>
  </sheetViews>
  <sheetFormatPr defaultRowHeight="14.4" x14ac:dyDescent="0.3"/>
  <sheetData>
    <row r="1" spans="1:3" x14ac:dyDescent="0.3">
      <c r="A1" s="3"/>
      <c r="B1" s="4"/>
      <c r="C1" s="5"/>
    </row>
    <row r="2" spans="1:3" x14ac:dyDescent="0.3">
      <c r="A2" s="6"/>
      <c r="B2" s="7"/>
      <c r="C2" s="8"/>
    </row>
    <row r="3" spans="1:3" x14ac:dyDescent="0.3">
      <c r="A3" s="6"/>
      <c r="B3" s="7"/>
      <c r="C3" s="8"/>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9"/>
      <c r="B18" s="10"/>
      <c r="C18"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7807-A853-4A42-A928-6ED6102EE6D3}">
  <dimension ref="A1:I93"/>
  <sheetViews>
    <sheetView topLeftCell="AP1" workbookViewId="0">
      <selection activeCell="H4" sqref="H4"/>
    </sheetView>
  </sheetViews>
  <sheetFormatPr defaultRowHeight="14.4" x14ac:dyDescent="0.3"/>
  <cols>
    <col min="1" max="1" width="12.5546875" bestFit="1" customWidth="1"/>
    <col min="2" max="2" width="23.6640625" customWidth="1"/>
    <col min="3" max="3" width="16.109375" customWidth="1"/>
    <col min="4" max="4" width="19.21875" customWidth="1"/>
    <col min="5" max="5" width="20.109375" bestFit="1" customWidth="1"/>
    <col min="6" max="6" width="63.6640625" customWidth="1"/>
    <col min="7" max="7" width="24.88671875" customWidth="1"/>
    <col min="8" max="8" width="92.33203125" customWidth="1"/>
    <col min="9" max="9" width="44.5546875" customWidth="1"/>
    <col min="10" max="10" width="16.5546875" bestFit="1" customWidth="1"/>
    <col min="11" max="11" width="28.109375" bestFit="1" customWidth="1"/>
  </cols>
  <sheetData>
    <row r="1" spans="1:9" x14ac:dyDescent="0.3">
      <c r="A1" s="12" t="s">
        <v>2</v>
      </c>
      <c r="B1" t="s">
        <v>38</v>
      </c>
      <c r="F1" s="20" t="s">
        <v>64</v>
      </c>
      <c r="G1" s="19"/>
      <c r="H1" s="20" t="s">
        <v>60</v>
      </c>
      <c r="I1" s="20" t="s">
        <v>61</v>
      </c>
    </row>
    <row r="2" spans="1:9" x14ac:dyDescent="0.3">
      <c r="F2" s="19"/>
      <c r="G2" s="19"/>
      <c r="H2" s="19"/>
      <c r="I2" s="19"/>
    </row>
    <row r="3" spans="1:9" x14ac:dyDescent="0.3">
      <c r="A3" s="12" t="s">
        <v>51</v>
      </c>
      <c r="B3" t="s">
        <v>54</v>
      </c>
      <c r="C3" t="s">
        <v>50</v>
      </c>
      <c r="D3" t="s">
        <v>53</v>
      </c>
      <c r="F3" s="20" t="s">
        <v>62</v>
      </c>
      <c r="G3" s="19"/>
      <c r="H3" s="19"/>
      <c r="I3" s="19"/>
    </row>
    <row r="4" spans="1:9" x14ac:dyDescent="0.3">
      <c r="A4" s="13">
        <v>108.8</v>
      </c>
      <c r="B4" s="1">
        <v>108.8</v>
      </c>
      <c r="C4" s="1">
        <v>121.32307692307691</v>
      </c>
      <c r="D4" s="1">
        <v>113</v>
      </c>
      <c r="F4" s="20">
        <f>SUM(3840.8+4290.39+4146.6)</f>
        <v>12277.79</v>
      </c>
      <c r="G4" s="20" t="s">
        <v>55</v>
      </c>
      <c r="H4" s="71">
        <f>(4290.39/12277.79) * 100</f>
        <v>34.944318154977402</v>
      </c>
      <c r="I4" s="20" t="s">
        <v>65</v>
      </c>
    </row>
    <row r="5" spans="1:9" x14ac:dyDescent="0.3">
      <c r="A5" s="14">
        <v>121.32307692307691</v>
      </c>
      <c r="B5" s="1">
        <v>108.8</v>
      </c>
      <c r="C5" s="1">
        <v>121.32307692307691</v>
      </c>
      <c r="D5" s="1">
        <v>113</v>
      </c>
      <c r="F5" s="19"/>
      <c r="G5" s="19"/>
      <c r="H5" s="72">
        <f>(3840.8/12277.79* 100)</f>
        <v>31.282502795698576</v>
      </c>
      <c r="I5" s="20" t="s">
        <v>28</v>
      </c>
    </row>
    <row r="6" spans="1:9" x14ac:dyDescent="0.3">
      <c r="A6" s="15">
        <v>113</v>
      </c>
      <c r="B6" s="1">
        <v>108.8</v>
      </c>
      <c r="C6" s="1">
        <v>121.32307692307691</v>
      </c>
      <c r="D6" s="1">
        <v>113</v>
      </c>
      <c r="F6" s="20" t="s">
        <v>59</v>
      </c>
      <c r="G6" s="19"/>
      <c r="H6" s="72">
        <f>(4146.6/12277.79 *100)</f>
        <v>33.773179049324028</v>
      </c>
      <c r="I6" s="20" t="s">
        <v>27</v>
      </c>
    </row>
    <row r="7" spans="1:9" x14ac:dyDescent="0.3">
      <c r="A7" s="13">
        <v>109.3</v>
      </c>
      <c r="B7" s="1">
        <v>109.3</v>
      </c>
      <c r="C7" s="1">
        <v>130.67692307692306</v>
      </c>
      <c r="D7" s="1">
        <v>116</v>
      </c>
      <c r="F7" s="20" t="s">
        <v>57</v>
      </c>
      <c r="G7" s="19"/>
      <c r="H7" s="19"/>
      <c r="I7" s="19"/>
    </row>
    <row r="8" spans="1:9" x14ac:dyDescent="0.3">
      <c r="A8" s="14">
        <v>130.67692307692306</v>
      </c>
      <c r="B8" s="1">
        <v>109.3</v>
      </c>
      <c r="C8" s="1">
        <v>130.67692307692306</v>
      </c>
      <c r="D8" s="1">
        <v>116</v>
      </c>
      <c r="F8" s="20" t="s">
        <v>58</v>
      </c>
      <c r="G8" s="19"/>
      <c r="H8" s="19"/>
      <c r="I8" s="19"/>
    </row>
    <row r="9" spans="1:9" x14ac:dyDescent="0.3">
      <c r="A9" s="15">
        <v>116</v>
      </c>
      <c r="B9" s="1">
        <v>109.3</v>
      </c>
      <c r="C9" s="1">
        <v>130.67692307692306</v>
      </c>
      <c r="D9" s="1">
        <v>116</v>
      </c>
    </row>
    <row r="10" spans="1:9" x14ac:dyDescent="0.3">
      <c r="A10" s="13">
        <v>109.7</v>
      </c>
      <c r="B10" s="1">
        <v>109.7</v>
      </c>
      <c r="C10" s="1">
        <v>115.72307692307693</v>
      </c>
      <c r="D10" s="1">
        <v>110.4</v>
      </c>
    </row>
    <row r="11" spans="1:9" x14ac:dyDescent="0.3">
      <c r="A11" s="14">
        <v>115.72307692307693</v>
      </c>
      <c r="B11" s="1">
        <v>109.7</v>
      </c>
      <c r="C11" s="1">
        <v>115.72307692307693</v>
      </c>
      <c r="D11" s="1">
        <v>110.4</v>
      </c>
      <c r="H11" s="16" t="s">
        <v>63</v>
      </c>
    </row>
    <row r="12" spans="1:9" x14ac:dyDescent="0.3">
      <c r="A12" s="15">
        <v>110.4</v>
      </c>
      <c r="B12" s="1">
        <v>109.7</v>
      </c>
      <c r="C12" s="1">
        <v>115.72307692307693</v>
      </c>
      <c r="D12" s="1">
        <v>110.4</v>
      </c>
    </row>
    <row r="13" spans="1:9" x14ac:dyDescent="0.3">
      <c r="A13" s="13">
        <v>109.8</v>
      </c>
      <c r="B13" s="1">
        <v>109.8</v>
      </c>
      <c r="C13" s="1">
        <v>115.94615384615386</v>
      </c>
      <c r="D13" s="1">
        <v>111.9</v>
      </c>
    </row>
    <row r="14" spans="1:9" x14ac:dyDescent="0.3">
      <c r="A14" s="14">
        <v>115.94615384615386</v>
      </c>
      <c r="B14" s="1">
        <v>109.8</v>
      </c>
      <c r="C14" s="1">
        <v>115.94615384615386</v>
      </c>
      <c r="D14" s="1">
        <v>111.9</v>
      </c>
    </row>
    <row r="15" spans="1:9" x14ac:dyDescent="0.3">
      <c r="A15" s="15">
        <v>111.9</v>
      </c>
      <c r="B15" s="1">
        <v>109.8</v>
      </c>
      <c r="C15" s="1">
        <v>115.94615384615386</v>
      </c>
      <c r="D15" s="1">
        <v>111.9</v>
      </c>
    </row>
    <row r="16" spans="1:9" x14ac:dyDescent="0.3">
      <c r="A16" s="13">
        <v>109.9</v>
      </c>
      <c r="B16" s="1">
        <v>109.9</v>
      </c>
      <c r="C16" s="1">
        <v>116.07692307692308</v>
      </c>
      <c r="D16" s="1">
        <v>112.8</v>
      </c>
    </row>
    <row r="17" spans="1:4" x14ac:dyDescent="0.3">
      <c r="A17" s="14">
        <v>116.07692307692308</v>
      </c>
      <c r="B17" s="1">
        <v>109.9</v>
      </c>
      <c r="C17" s="1">
        <v>116.07692307692308</v>
      </c>
      <c r="D17" s="1">
        <v>112.8</v>
      </c>
    </row>
    <row r="18" spans="1:4" x14ac:dyDescent="0.3">
      <c r="A18" s="15">
        <v>112.8</v>
      </c>
      <c r="B18" s="1">
        <v>109.9</v>
      </c>
      <c r="C18" s="1">
        <v>116.07692307692308</v>
      </c>
      <c r="D18" s="1">
        <v>112.8</v>
      </c>
    </row>
    <row r="19" spans="1:4" x14ac:dyDescent="0.3">
      <c r="A19" s="13">
        <v>110.1</v>
      </c>
      <c r="B19" s="1">
        <v>110.1</v>
      </c>
      <c r="C19" s="1">
        <v>120.89999999999999</v>
      </c>
      <c r="D19" s="1">
        <v>115.7</v>
      </c>
    </row>
    <row r="20" spans="1:4" x14ac:dyDescent="0.3">
      <c r="A20" s="14">
        <v>120.89999999999999</v>
      </c>
      <c r="B20" s="1">
        <v>110.1</v>
      </c>
      <c r="C20" s="1">
        <v>120.89999999999999</v>
      </c>
      <c r="D20" s="1">
        <v>115.7</v>
      </c>
    </row>
    <row r="21" spans="1:4" x14ac:dyDescent="0.3">
      <c r="A21" s="15">
        <v>115.7</v>
      </c>
      <c r="B21" s="1">
        <v>110.1</v>
      </c>
      <c r="C21" s="1">
        <v>120.89999999999999</v>
      </c>
      <c r="D21" s="1">
        <v>115.7</v>
      </c>
    </row>
    <row r="22" spans="1:4" x14ac:dyDescent="0.3">
      <c r="A22" s="13">
        <v>111.5</v>
      </c>
      <c r="B22" s="1">
        <v>223</v>
      </c>
      <c r="C22" s="1">
        <v>250.43846153846155</v>
      </c>
      <c r="D22" s="1">
        <v>239.4</v>
      </c>
    </row>
    <row r="23" spans="1:4" x14ac:dyDescent="0.3">
      <c r="A23" s="14">
        <v>120.73846153846154</v>
      </c>
      <c r="B23" s="1">
        <v>111.5</v>
      </c>
      <c r="C23" s="1">
        <v>120.73846153846154</v>
      </c>
      <c r="D23" s="1">
        <v>117.4</v>
      </c>
    </row>
    <row r="24" spans="1:4" x14ac:dyDescent="0.3">
      <c r="A24" s="15">
        <v>117.4</v>
      </c>
      <c r="B24" s="1">
        <v>111.5</v>
      </c>
      <c r="C24" s="1">
        <v>120.73846153846154</v>
      </c>
      <c r="D24" s="1">
        <v>117.4</v>
      </c>
    </row>
    <row r="25" spans="1:4" x14ac:dyDescent="0.3">
      <c r="A25" s="14">
        <v>129.70000000000002</v>
      </c>
      <c r="B25" s="1">
        <v>111.5</v>
      </c>
      <c r="C25" s="1">
        <v>129.70000000000002</v>
      </c>
      <c r="D25" s="1">
        <v>122</v>
      </c>
    </row>
    <row r="26" spans="1:4" x14ac:dyDescent="0.3">
      <c r="A26" s="15">
        <v>122</v>
      </c>
      <c r="B26" s="1">
        <v>111.5</v>
      </c>
      <c r="C26" s="1">
        <v>129.70000000000002</v>
      </c>
      <c r="D26" s="1">
        <v>122</v>
      </c>
    </row>
    <row r="27" spans="1:4" x14ac:dyDescent="0.3">
      <c r="A27" s="13">
        <v>113.7</v>
      </c>
      <c r="B27" s="1">
        <v>113.7</v>
      </c>
      <c r="C27" s="1">
        <v>133.06153846153845</v>
      </c>
      <c r="D27" s="1">
        <v>117.8</v>
      </c>
    </row>
    <row r="28" spans="1:4" x14ac:dyDescent="0.3">
      <c r="A28" s="14">
        <v>133.06153846153845</v>
      </c>
      <c r="B28" s="1">
        <v>113.7</v>
      </c>
      <c r="C28" s="1">
        <v>133.06153846153845</v>
      </c>
      <c r="D28" s="1">
        <v>117.8</v>
      </c>
    </row>
    <row r="29" spans="1:4" x14ac:dyDescent="0.3">
      <c r="A29" s="15">
        <v>117.8</v>
      </c>
      <c r="B29" s="1">
        <v>113.7</v>
      </c>
      <c r="C29" s="1">
        <v>133.06153846153845</v>
      </c>
      <c r="D29" s="1">
        <v>117.8</v>
      </c>
    </row>
    <row r="30" spans="1:4" x14ac:dyDescent="0.3">
      <c r="A30" s="13">
        <v>114</v>
      </c>
      <c r="B30" s="1">
        <v>114</v>
      </c>
      <c r="C30" s="1">
        <v>129.40769230769232</v>
      </c>
      <c r="D30" s="1">
        <v>125.7</v>
      </c>
    </row>
    <row r="31" spans="1:4" x14ac:dyDescent="0.3">
      <c r="A31" s="14">
        <v>129.40769230769232</v>
      </c>
      <c r="B31" s="1">
        <v>114</v>
      </c>
      <c r="C31" s="1">
        <v>129.40769230769232</v>
      </c>
      <c r="D31" s="1">
        <v>125.7</v>
      </c>
    </row>
    <row r="32" spans="1:4" x14ac:dyDescent="0.3">
      <c r="A32" s="15">
        <v>125.7</v>
      </c>
      <c r="B32" s="1">
        <v>114</v>
      </c>
      <c r="C32" s="1">
        <v>129.40769230769232</v>
      </c>
      <c r="D32" s="1">
        <v>125.7</v>
      </c>
    </row>
    <row r="33" spans="1:4" x14ac:dyDescent="0.3">
      <c r="A33" s="13">
        <v>115.3</v>
      </c>
      <c r="B33" s="1">
        <v>115.3</v>
      </c>
      <c r="C33" s="1">
        <v>135.96153846153845</v>
      </c>
      <c r="D33" s="1">
        <v>126.8</v>
      </c>
    </row>
    <row r="34" spans="1:4" x14ac:dyDescent="0.3">
      <c r="A34" s="14">
        <v>135.96153846153845</v>
      </c>
      <c r="B34" s="1">
        <v>115.3</v>
      </c>
      <c r="C34" s="1">
        <v>135.96153846153845</v>
      </c>
      <c r="D34" s="1">
        <v>126.8</v>
      </c>
    </row>
    <row r="35" spans="1:4" x14ac:dyDescent="0.3">
      <c r="A35" s="15">
        <v>126.8</v>
      </c>
      <c r="B35" s="1">
        <v>115.3</v>
      </c>
      <c r="C35" s="1">
        <v>135.96153846153845</v>
      </c>
      <c r="D35" s="1">
        <v>126.8</v>
      </c>
    </row>
    <row r="36" spans="1:4" x14ac:dyDescent="0.3">
      <c r="A36" s="13">
        <v>116</v>
      </c>
      <c r="B36" s="1">
        <v>116</v>
      </c>
      <c r="C36" s="1">
        <v>133.9</v>
      </c>
      <c r="D36" s="1">
        <v>126.6</v>
      </c>
    </row>
    <row r="37" spans="1:4" x14ac:dyDescent="0.3">
      <c r="A37" s="14">
        <v>133.9</v>
      </c>
      <c r="B37" s="1">
        <v>116</v>
      </c>
      <c r="C37" s="1">
        <v>133.9</v>
      </c>
      <c r="D37" s="1">
        <v>126.6</v>
      </c>
    </row>
    <row r="38" spans="1:4" x14ac:dyDescent="0.3">
      <c r="A38" s="15">
        <v>126.6</v>
      </c>
      <c r="B38" s="1">
        <v>116</v>
      </c>
      <c r="C38" s="1">
        <v>133.9</v>
      </c>
      <c r="D38" s="1">
        <v>126.6</v>
      </c>
    </row>
    <row r="39" spans="1:4" x14ac:dyDescent="0.3">
      <c r="A39" s="13">
        <v>118.5</v>
      </c>
      <c r="B39" s="1">
        <v>118.5</v>
      </c>
      <c r="C39" s="1">
        <v>138.07692307692307</v>
      </c>
      <c r="D39" s="1">
        <v>136.6</v>
      </c>
    </row>
    <row r="40" spans="1:4" x14ac:dyDescent="0.3">
      <c r="A40" s="14">
        <v>138.07692307692307</v>
      </c>
      <c r="B40" s="1">
        <v>118.5</v>
      </c>
      <c r="C40" s="1">
        <v>138.07692307692307</v>
      </c>
      <c r="D40" s="1">
        <v>136.6</v>
      </c>
    </row>
    <row r="41" spans="1:4" x14ac:dyDescent="0.3">
      <c r="A41" s="15">
        <v>136.6</v>
      </c>
      <c r="B41" s="1">
        <v>118.5</v>
      </c>
      <c r="C41" s="1">
        <v>138.07692307692307</v>
      </c>
      <c r="D41" s="1">
        <v>136.6</v>
      </c>
    </row>
    <row r="42" spans="1:4" x14ac:dyDescent="0.3">
      <c r="A42" s="13">
        <v>118.6</v>
      </c>
      <c r="B42" s="1">
        <v>118.6</v>
      </c>
      <c r="C42" s="1">
        <v>134.54615384615383</v>
      </c>
      <c r="D42" s="1">
        <v>132</v>
      </c>
    </row>
    <row r="43" spans="1:4" x14ac:dyDescent="0.3">
      <c r="A43" s="14">
        <v>134.54615384615383</v>
      </c>
      <c r="B43" s="1">
        <v>118.6</v>
      </c>
      <c r="C43" s="1">
        <v>134.54615384615383</v>
      </c>
      <c r="D43" s="1">
        <v>132</v>
      </c>
    </row>
    <row r="44" spans="1:4" x14ac:dyDescent="0.3">
      <c r="A44" s="15">
        <v>132</v>
      </c>
      <c r="B44" s="1">
        <v>118.6</v>
      </c>
      <c r="C44" s="1">
        <v>134.54615384615383</v>
      </c>
      <c r="D44" s="1">
        <v>132</v>
      </c>
    </row>
    <row r="45" spans="1:4" x14ac:dyDescent="0.3">
      <c r="A45" s="13">
        <v>118.8</v>
      </c>
      <c r="B45" s="1">
        <v>118.8</v>
      </c>
      <c r="C45" s="1">
        <v>134.35384615384615</v>
      </c>
      <c r="D45" s="1">
        <v>132.4</v>
      </c>
    </row>
    <row r="46" spans="1:4" x14ac:dyDescent="0.3">
      <c r="A46" s="14">
        <v>134.35384615384615</v>
      </c>
      <c r="B46" s="1">
        <v>118.8</v>
      </c>
      <c r="C46" s="1">
        <v>134.35384615384615</v>
      </c>
      <c r="D46" s="1">
        <v>132.4</v>
      </c>
    </row>
    <row r="47" spans="1:4" x14ac:dyDescent="0.3">
      <c r="A47" s="15">
        <v>132.4</v>
      </c>
      <c r="B47" s="1">
        <v>118.8</v>
      </c>
      <c r="C47" s="1">
        <v>134.35384615384615</v>
      </c>
      <c r="D47" s="1">
        <v>132.4</v>
      </c>
    </row>
    <row r="48" spans="1:4" x14ac:dyDescent="0.3">
      <c r="A48" s="13">
        <v>122</v>
      </c>
      <c r="B48" s="1">
        <v>122</v>
      </c>
      <c r="C48" s="1">
        <v>139.50769230769231</v>
      </c>
      <c r="D48" s="1">
        <v>142.6</v>
      </c>
    </row>
    <row r="49" spans="1:4" x14ac:dyDescent="0.3">
      <c r="A49" s="14">
        <v>139.50769230769231</v>
      </c>
      <c r="B49" s="1">
        <v>122</v>
      </c>
      <c r="C49" s="1">
        <v>139.50769230769231</v>
      </c>
      <c r="D49" s="1">
        <v>142.6</v>
      </c>
    </row>
    <row r="50" spans="1:4" x14ac:dyDescent="0.3">
      <c r="A50" s="15">
        <v>142.6</v>
      </c>
      <c r="B50" s="1">
        <v>122</v>
      </c>
      <c r="C50" s="1">
        <v>139.50769230769231</v>
      </c>
      <c r="D50" s="1">
        <v>142.6</v>
      </c>
    </row>
    <row r="51" spans="1:4" x14ac:dyDescent="0.3">
      <c r="A51" s="13">
        <v>123.6</v>
      </c>
      <c r="B51" s="1">
        <v>123.6</v>
      </c>
      <c r="C51" s="1">
        <v>135.59999999999997</v>
      </c>
      <c r="D51" s="1">
        <v>142.69999999999999</v>
      </c>
    </row>
    <row r="52" spans="1:4" x14ac:dyDescent="0.3">
      <c r="A52" s="14">
        <v>135.59999999999997</v>
      </c>
      <c r="B52" s="1">
        <v>123.6</v>
      </c>
      <c r="C52" s="1">
        <v>135.59999999999997</v>
      </c>
      <c r="D52" s="1">
        <v>142.69999999999999</v>
      </c>
    </row>
    <row r="53" spans="1:4" x14ac:dyDescent="0.3">
      <c r="A53" s="15">
        <v>142.69999999999999</v>
      </c>
      <c r="B53" s="1">
        <v>123.6</v>
      </c>
      <c r="C53" s="1">
        <v>135.59999999999997</v>
      </c>
      <c r="D53" s="1">
        <v>142.69999999999999</v>
      </c>
    </row>
    <row r="54" spans="1:4" x14ac:dyDescent="0.3">
      <c r="A54" s="13">
        <v>125.2</v>
      </c>
      <c r="B54" s="1">
        <v>125.2</v>
      </c>
      <c r="C54" s="1">
        <v>150.51538461538462</v>
      </c>
      <c r="D54" s="1">
        <v>133.6</v>
      </c>
    </row>
    <row r="55" spans="1:4" x14ac:dyDescent="0.3">
      <c r="A55" s="14">
        <v>150.51538461538462</v>
      </c>
      <c r="B55" s="1">
        <v>125.2</v>
      </c>
      <c r="C55" s="1">
        <v>150.51538461538462</v>
      </c>
      <c r="D55" s="1">
        <v>133.6</v>
      </c>
    </row>
    <row r="56" spans="1:4" x14ac:dyDescent="0.3">
      <c r="A56" s="15">
        <v>133.6</v>
      </c>
      <c r="B56" s="1">
        <v>125.2</v>
      </c>
      <c r="C56" s="1">
        <v>150.51538461538462</v>
      </c>
      <c r="D56" s="1">
        <v>133.6</v>
      </c>
    </row>
    <row r="57" spans="1:4" x14ac:dyDescent="0.3">
      <c r="A57" s="13">
        <v>128.9</v>
      </c>
      <c r="B57" s="1">
        <v>128.9</v>
      </c>
      <c r="C57" s="1">
        <v>136.3923076923077</v>
      </c>
      <c r="D57" s="1">
        <v>149</v>
      </c>
    </row>
    <row r="58" spans="1:4" x14ac:dyDescent="0.3">
      <c r="A58" s="14">
        <v>136.3923076923077</v>
      </c>
      <c r="B58" s="1">
        <v>128.9</v>
      </c>
      <c r="C58" s="1">
        <v>136.3923076923077</v>
      </c>
      <c r="D58" s="1">
        <v>149</v>
      </c>
    </row>
    <row r="59" spans="1:4" x14ac:dyDescent="0.3">
      <c r="A59" s="15">
        <v>149</v>
      </c>
      <c r="B59" s="1">
        <v>128.9</v>
      </c>
      <c r="C59" s="1">
        <v>136.3923076923077</v>
      </c>
      <c r="D59" s="1">
        <v>149</v>
      </c>
    </row>
    <row r="60" spans="1:4" x14ac:dyDescent="0.3">
      <c r="A60" s="13">
        <v>129.80000000000001</v>
      </c>
      <c r="B60" s="1">
        <v>129.80000000000001</v>
      </c>
      <c r="C60" s="1">
        <v>149.70000000000002</v>
      </c>
      <c r="D60" s="1">
        <v>143.69999999999999</v>
      </c>
    </row>
    <row r="61" spans="1:4" x14ac:dyDescent="0.3">
      <c r="A61" s="14">
        <v>149.70000000000002</v>
      </c>
      <c r="B61" s="1">
        <v>129.80000000000001</v>
      </c>
      <c r="C61" s="1">
        <v>149.70000000000002</v>
      </c>
      <c r="D61" s="1">
        <v>143.69999999999999</v>
      </c>
    </row>
    <row r="62" spans="1:4" x14ac:dyDescent="0.3">
      <c r="A62" s="15">
        <v>143.69999999999999</v>
      </c>
      <c r="B62" s="1">
        <v>129.80000000000001</v>
      </c>
      <c r="C62" s="1">
        <v>149.70000000000002</v>
      </c>
      <c r="D62" s="1">
        <v>143.69999999999999</v>
      </c>
    </row>
    <row r="63" spans="1:4" x14ac:dyDescent="0.3">
      <c r="A63" s="13">
        <v>135</v>
      </c>
      <c r="B63" s="1">
        <v>135</v>
      </c>
      <c r="C63" s="1">
        <v>149.30769230769226</v>
      </c>
      <c r="D63" s="1">
        <v>149.9</v>
      </c>
    </row>
    <row r="64" spans="1:4" x14ac:dyDescent="0.3">
      <c r="A64" s="14">
        <v>149.30769230769226</v>
      </c>
      <c r="B64" s="1">
        <v>135</v>
      </c>
      <c r="C64" s="1">
        <v>149.30769230769226</v>
      </c>
      <c r="D64" s="1">
        <v>149.9</v>
      </c>
    </row>
    <row r="65" spans="1:4" x14ac:dyDescent="0.3">
      <c r="A65" s="15">
        <v>149.9</v>
      </c>
      <c r="B65" s="1">
        <v>135</v>
      </c>
      <c r="C65" s="1">
        <v>149.30769230769226</v>
      </c>
      <c r="D65" s="1">
        <v>149.9</v>
      </c>
    </row>
    <row r="66" spans="1:4" x14ac:dyDescent="0.3">
      <c r="A66" s="13">
        <v>135.5</v>
      </c>
      <c r="B66" s="1">
        <v>135.5</v>
      </c>
      <c r="C66" s="1">
        <v>163.49230769230769</v>
      </c>
      <c r="D66" s="1">
        <v>137.9</v>
      </c>
    </row>
    <row r="67" spans="1:4" x14ac:dyDescent="0.3">
      <c r="A67" s="14">
        <v>163.49230769230769</v>
      </c>
      <c r="B67" s="1">
        <v>135.5</v>
      </c>
      <c r="C67" s="1">
        <v>163.49230769230769</v>
      </c>
      <c r="D67" s="1">
        <v>137.9</v>
      </c>
    </row>
    <row r="68" spans="1:4" x14ac:dyDescent="0.3">
      <c r="A68" s="15">
        <v>137.9</v>
      </c>
      <c r="B68" s="1">
        <v>135.5</v>
      </c>
      <c r="C68" s="1">
        <v>163.49230769230769</v>
      </c>
      <c r="D68" s="1">
        <v>137.9</v>
      </c>
    </row>
    <row r="69" spans="1:4" x14ac:dyDescent="0.3">
      <c r="A69" s="13">
        <v>140.69999999999999</v>
      </c>
      <c r="B69" s="1">
        <v>140.69999999999999</v>
      </c>
      <c r="C69" s="1">
        <v>162.23846153846154</v>
      </c>
      <c r="D69" s="1">
        <v>144.6</v>
      </c>
    </row>
    <row r="70" spans="1:4" x14ac:dyDescent="0.3">
      <c r="A70" s="14">
        <v>162.23846153846154</v>
      </c>
      <c r="B70" s="1">
        <v>140.69999999999999</v>
      </c>
      <c r="C70" s="1">
        <v>162.23846153846154</v>
      </c>
      <c r="D70" s="1">
        <v>144.6</v>
      </c>
    </row>
    <row r="71" spans="1:4" x14ac:dyDescent="0.3">
      <c r="A71" s="15">
        <v>144.6</v>
      </c>
      <c r="B71" s="1">
        <v>140.69999999999999</v>
      </c>
      <c r="C71" s="1">
        <v>162.23846153846154</v>
      </c>
      <c r="D71" s="1">
        <v>144.6</v>
      </c>
    </row>
    <row r="72" spans="1:4" x14ac:dyDescent="0.3">
      <c r="A72" s="13">
        <v>146.4</v>
      </c>
      <c r="B72" s="1">
        <v>146.4</v>
      </c>
      <c r="C72" s="1">
        <v>161.57692307692307</v>
      </c>
      <c r="D72" s="1">
        <v>148.69999999999999</v>
      </c>
    </row>
    <row r="73" spans="1:4" x14ac:dyDescent="0.3">
      <c r="A73" s="14">
        <v>161.57692307692307</v>
      </c>
      <c r="B73" s="1">
        <v>146.4</v>
      </c>
      <c r="C73" s="1">
        <v>161.57692307692307</v>
      </c>
      <c r="D73" s="1">
        <v>148.69999999999999</v>
      </c>
    </row>
    <row r="74" spans="1:4" x14ac:dyDescent="0.3">
      <c r="A74" s="15">
        <v>148.69999999999999</v>
      </c>
      <c r="B74" s="1">
        <v>146.4</v>
      </c>
      <c r="C74" s="1">
        <v>161.57692307692307</v>
      </c>
      <c r="D74" s="1">
        <v>148.69999999999999</v>
      </c>
    </row>
    <row r="75" spans="1:4" x14ac:dyDescent="0.3">
      <c r="A75" s="13">
        <v>151.80000000000001</v>
      </c>
      <c r="B75" s="1">
        <v>151.80000000000001</v>
      </c>
      <c r="C75" s="1">
        <v>169.71538461538464</v>
      </c>
      <c r="D75" s="1">
        <v>161.69999999999999</v>
      </c>
    </row>
    <row r="76" spans="1:4" x14ac:dyDescent="0.3">
      <c r="A76" s="14">
        <v>169.71538461538464</v>
      </c>
      <c r="B76" s="1">
        <v>151.80000000000001</v>
      </c>
      <c r="C76" s="1">
        <v>169.71538461538464</v>
      </c>
      <c r="D76" s="1">
        <v>161.69999999999999</v>
      </c>
    </row>
    <row r="77" spans="1:4" x14ac:dyDescent="0.3">
      <c r="A77" s="15">
        <v>161.69999999999999</v>
      </c>
      <c r="B77" s="1">
        <v>151.80000000000001</v>
      </c>
      <c r="C77" s="1">
        <v>169.71538461538464</v>
      </c>
      <c r="D77" s="1">
        <v>161.69999999999999</v>
      </c>
    </row>
    <row r="78" spans="1:4" x14ac:dyDescent="0.3">
      <c r="A78" s="13">
        <v>155.69999999999999</v>
      </c>
      <c r="B78" s="1">
        <v>155.69999999999999</v>
      </c>
      <c r="C78" s="1">
        <v>167.76153846153846</v>
      </c>
      <c r="D78" s="1">
        <v>164.1</v>
      </c>
    </row>
    <row r="79" spans="1:4" x14ac:dyDescent="0.3">
      <c r="A79" s="14">
        <v>167.76153846153846</v>
      </c>
      <c r="B79" s="1">
        <v>155.69999999999999</v>
      </c>
      <c r="C79" s="1">
        <v>167.76153846153846</v>
      </c>
      <c r="D79" s="1">
        <v>164.1</v>
      </c>
    </row>
    <row r="80" spans="1:4" x14ac:dyDescent="0.3">
      <c r="A80" s="15">
        <v>164.1</v>
      </c>
      <c r="B80" s="1">
        <v>155.69999999999999</v>
      </c>
      <c r="C80" s="1">
        <v>167.76153846153846</v>
      </c>
      <c r="D80" s="1">
        <v>164.1</v>
      </c>
    </row>
    <row r="81" spans="1:6" x14ac:dyDescent="0.3">
      <c r="A81" s="13">
        <v>159.4</v>
      </c>
      <c r="B81" s="1">
        <v>159.4</v>
      </c>
      <c r="C81" s="1">
        <v>176.59999999999997</v>
      </c>
      <c r="D81" s="1">
        <v>180.6</v>
      </c>
    </row>
    <row r="82" spans="1:6" x14ac:dyDescent="0.3">
      <c r="A82" s="14">
        <v>176.59999999999997</v>
      </c>
      <c r="B82" s="1">
        <v>159.4</v>
      </c>
      <c r="C82" s="1">
        <v>176.59999999999997</v>
      </c>
      <c r="D82" s="1">
        <v>180.6</v>
      </c>
    </row>
    <row r="83" spans="1:6" x14ac:dyDescent="0.3">
      <c r="A83" s="15">
        <v>180.6</v>
      </c>
      <c r="B83" s="1">
        <v>159.4</v>
      </c>
      <c r="C83" s="1">
        <v>176.59999999999997</v>
      </c>
      <c r="D83" s="1">
        <v>180.6</v>
      </c>
    </row>
    <row r="84" spans="1:6" x14ac:dyDescent="0.3">
      <c r="A84" s="13">
        <v>160.1</v>
      </c>
      <c r="B84" s="1">
        <v>160.1</v>
      </c>
      <c r="C84" s="1">
        <v>166.78461538461536</v>
      </c>
      <c r="D84" s="1">
        <v>165.6</v>
      </c>
    </row>
    <row r="85" spans="1:6" x14ac:dyDescent="0.3">
      <c r="A85" s="14">
        <v>166.78461538461536</v>
      </c>
      <c r="B85" s="1">
        <v>160.1</v>
      </c>
      <c r="C85" s="1">
        <v>166.78461538461536</v>
      </c>
      <c r="D85" s="1">
        <v>165.6</v>
      </c>
    </row>
    <row r="86" spans="1:6" x14ac:dyDescent="0.3">
      <c r="A86" s="15">
        <v>165.6</v>
      </c>
      <c r="B86" s="1">
        <v>160.1</v>
      </c>
      <c r="C86" s="1">
        <v>166.78461538461536</v>
      </c>
      <c r="D86" s="1">
        <v>165.6</v>
      </c>
    </row>
    <row r="87" spans="1:6" x14ac:dyDescent="0.3">
      <c r="A87" s="13">
        <v>163.4</v>
      </c>
      <c r="B87" s="1">
        <v>163.4</v>
      </c>
      <c r="C87" s="1">
        <v>175.64615384615385</v>
      </c>
      <c r="D87" s="1">
        <v>182</v>
      </c>
    </row>
    <row r="88" spans="1:6" x14ac:dyDescent="0.3">
      <c r="A88" s="14">
        <v>175.64615384615385</v>
      </c>
      <c r="B88" s="1">
        <v>163.4</v>
      </c>
      <c r="C88" s="1">
        <v>175.64615384615385</v>
      </c>
      <c r="D88" s="1">
        <v>182</v>
      </c>
    </row>
    <row r="89" spans="1:6" x14ac:dyDescent="0.3">
      <c r="A89" s="15">
        <v>182</v>
      </c>
      <c r="B89" s="1">
        <v>163.4</v>
      </c>
      <c r="C89" s="1">
        <v>175.64615384615385</v>
      </c>
      <c r="D89" s="1">
        <v>182</v>
      </c>
    </row>
    <row r="90" spans="1:6" x14ac:dyDescent="0.3">
      <c r="A90" s="13">
        <v>167.8</v>
      </c>
      <c r="B90" s="1">
        <v>167.8</v>
      </c>
      <c r="C90" s="1">
        <v>175.16153846153844</v>
      </c>
      <c r="D90" s="1">
        <v>182.8</v>
      </c>
    </row>
    <row r="91" spans="1:6" x14ac:dyDescent="0.3">
      <c r="A91" s="14">
        <v>175.16153846153844</v>
      </c>
      <c r="B91" s="1">
        <v>167.8</v>
      </c>
      <c r="C91" s="1">
        <v>175.16153846153844</v>
      </c>
      <c r="D91" s="1">
        <v>182.8</v>
      </c>
    </row>
    <row r="92" spans="1:6" x14ac:dyDescent="0.3">
      <c r="A92" s="15">
        <v>182.8</v>
      </c>
      <c r="B92" s="1">
        <v>167.8</v>
      </c>
      <c r="C92" s="1">
        <v>175.16153846153844</v>
      </c>
      <c r="D92" s="1">
        <v>182.8</v>
      </c>
    </row>
    <row r="93" spans="1:6" x14ac:dyDescent="0.3">
      <c r="A93" s="13" t="s">
        <v>52</v>
      </c>
      <c r="B93" s="1">
        <v>3840.8</v>
      </c>
      <c r="C93" s="1">
        <v>4290.3923076923083</v>
      </c>
      <c r="D93" s="1">
        <v>4146.5999999999985</v>
      </c>
      <c r="F93"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DBC6-9F48-4639-866F-83463606C642}">
  <dimension ref="A1:AG373"/>
  <sheetViews>
    <sheetView topLeftCell="T1" workbookViewId="0">
      <selection activeCell="AF389" sqref="AF389"/>
    </sheetView>
  </sheetViews>
  <sheetFormatPr defaultRowHeight="14.4" x14ac:dyDescent="0.3"/>
  <cols>
    <col min="1" max="1" width="16.109375" customWidth="1"/>
    <col min="3" max="3" width="12.77734375" customWidth="1"/>
    <col min="4" max="4" width="18.5546875" customWidth="1"/>
    <col min="5" max="5" width="12.5546875" customWidth="1"/>
    <col min="7" max="7" width="17.88671875" customWidth="1"/>
    <col min="8" max="8" width="13.44140625" customWidth="1"/>
    <col min="10" max="10" width="12.33203125" customWidth="1"/>
    <col min="11" max="11" width="18.77734375" customWidth="1"/>
    <col min="12" max="12" width="21.33203125" customWidth="1"/>
    <col min="13" max="13" width="11.109375" customWidth="1"/>
    <col min="14" max="14" width="23.109375" customWidth="1"/>
    <col min="15" max="15" width="32.109375" customWidth="1"/>
    <col min="16" max="16" width="19.44140625" customWidth="1"/>
    <col min="18" max="18" width="12.44140625" customWidth="1"/>
    <col min="19" max="19" width="26.44140625" customWidth="1"/>
    <col min="20" max="20" width="10.88671875" customWidth="1"/>
    <col min="21" max="21" width="28.88671875" customWidth="1"/>
    <col min="22" max="22" width="23.88671875" customWidth="1"/>
    <col min="23" max="23" width="9.21875" customWidth="1"/>
    <col min="24" max="24" width="21.5546875" customWidth="1"/>
    <col min="25" max="25" width="15.6640625" customWidth="1"/>
    <col min="26" max="26" width="13.109375" customWidth="1"/>
    <col min="28" max="28" width="14" customWidth="1"/>
    <col min="29" max="29" width="16.44140625" customWidth="1"/>
    <col min="31" max="31" width="11.109375" customWidth="1"/>
    <col min="32" max="32" width="20.88671875"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2" t="s">
        <v>26</v>
      </c>
      <c r="AB1" s="2" t="s">
        <v>27</v>
      </c>
      <c r="AC1" s="2" t="s">
        <v>28</v>
      </c>
      <c r="AD1" s="2" t="s">
        <v>29</v>
      </c>
      <c r="AE1" s="2" t="s">
        <v>30</v>
      </c>
      <c r="AF1" s="2" t="s">
        <v>31</v>
      </c>
      <c r="AG1" s="2" t="s">
        <v>32</v>
      </c>
    </row>
    <row r="2" spans="1:33" hidden="1" x14ac:dyDescent="0.3">
      <c r="A2" t="s">
        <v>33</v>
      </c>
      <c r="B2">
        <v>2022</v>
      </c>
      <c r="C2" t="s">
        <v>34</v>
      </c>
      <c r="D2">
        <v>162.9</v>
      </c>
      <c r="E2">
        <v>206.7</v>
      </c>
      <c r="F2">
        <v>169</v>
      </c>
      <c r="G2">
        <v>169.5</v>
      </c>
      <c r="H2">
        <v>194.1</v>
      </c>
      <c r="I2">
        <v>164.1</v>
      </c>
      <c r="J2">
        <v>176.9</v>
      </c>
      <c r="K2">
        <v>169</v>
      </c>
      <c r="L2">
        <v>120.8</v>
      </c>
      <c r="M2">
        <v>199.1</v>
      </c>
      <c r="N2">
        <v>175.4</v>
      </c>
      <c r="O2">
        <v>184.8</v>
      </c>
      <c r="P2">
        <v>175.5</v>
      </c>
      <c r="Q2">
        <v>162.1</v>
      </c>
      <c r="R2">
        <v>179.7</v>
      </c>
      <c r="S2">
        <v>173.6</v>
      </c>
      <c r="T2">
        <v>180.2</v>
      </c>
      <c r="U2">
        <v>166.9</v>
      </c>
      <c r="V2">
        <v>170</v>
      </c>
      <c r="W2">
        <v>176.2</v>
      </c>
      <c r="X2">
        <v>170.8</v>
      </c>
      <c r="Y2">
        <v>173.1</v>
      </c>
      <c r="Z2">
        <v>176.4</v>
      </c>
      <c r="AA2" s="1">
        <f>SUM(Table1[[#This Row],[Cereals and products]:[Food and beverages]])/13</f>
        <v>174.44615384615386</v>
      </c>
      <c r="AB2" s="1">
        <f>SUM(Table1[[#This Row],[Fuel and light]])</f>
        <v>179.7</v>
      </c>
      <c r="AC2" s="1">
        <f>SUM(Table1[[#This Row],[Transport and communication]])</f>
        <v>166.9</v>
      </c>
      <c r="AD2" s="1">
        <f>SUM(Table1[[#This Row],[Housing]],Table1[[#This Row],[Household goods and services]])/2</f>
        <v>167.85</v>
      </c>
      <c r="AE2" s="1">
        <f>SUM(Table1[[#This Row],[Health]])</f>
        <v>180.2</v>
      </c>
      <c r="AF2" s="1">
        <f>SUM(Table1[[#This Row],[Recreation and amusement]],Table1[[#This Row],[Education]])/2</f>
        <v>173.1</v>
      </c>
      <c r="AG2" s="1">
        <f>SUM(Table1[[#This Row],[Miscellaneous]],Table1[[#This Row],[Personal care and effects]])/2</f>
        <v>171.95</v>
      </c>
    </row>
    <row r="3" spans="1:33" hidden="1" x14ac:dyDescent="0.3">
      <c r="A3" t="s">
        <v>35</v>
      </c>
      <c r="B3">
        <v>2022</v>
      </c>
      <c r="C3" t="s">
        <v>34</v>
      </c>
      <c r="D3">
        <v>163.5</v>
      </c>
      <c r="E3">
        <v>209.2</v>
      </c>
      <c r="F3">
        <v>169.7</v>
      </c>
      <c r="G3">
        <v>169.7</v>
      </c>
      <c r="H3">
        <v>188.7</v>
      </c>
      <c r="I3">
        <v>165.7</v>
      </c>
      <c r="J3">
        <v>191.8</v>
      </c>
      <c r="K3">
        <v>169.1</v>
      </c>
      <c r="L3">
        <v>121.6</v>
      </c>
      <c r="M3">
        <v>197.3</v>
      </c>
      <c r="N3">
        <v>169.4</v>
      </c>
      <c r="O3">
        <v>187.4</v>
      </c>
      <c r="P3">
        <v>177.8</v>
      </c>
      <c r="Q3">
        <v>169.5</v>
      </c>
      <c r="R3">
        <v>179.5</v>
      </c>
      <c r="S3">
        <v>169.5</v>
      </c>
      <c r="T3">
        <v>177.8</v>
      </c>
      <c r="U3">
        <v>162.30000000000001</v>
      </c>
      <c r="V3">
        <v>167.6</v>
      </c>
      <c r="W3">
        <v>173.1</v>
      </c>
      <c r="X3">
        <v>170.9</v>
      </c>
      <c r="Y3">
        <v>169.7</v>
      </c>
      <c r="Z3">
        <v>175.3</v>
      </c>
      <c r="AA3" s="1">
        <f>SUM(Table1[[#This Row],[Cereals and products]:[Food and beverages]])/13</f>
        <v>175.45384615384617</v>
      </c>
      <c r="AB3" s="1">
        <f>SUM(Table1[[#This Row],[Fuel and light]])</f>
        <v>179.5</v>
      </c>
      <c r="AC3" s="1">
        <f>SUM(Table1[[#This Row],[Transport and communication]])</f>
        <v>162.30000000000001</v>
      </c>
      <c r="AD3" s="1">
        <f>SUM(Table1[[#This Row],[Housing]],Table1[[#This Row],[Household goods and services]])/2</f>
        <v>169.5</v>
      </c>
      <c r="AE3" s="1">
        <f>SUM(Table1[[#This Row],[Health]])</f>
        <v>177.8</v>
      </c>
      <c r="AF3" s="1">
        <f>SUM(Table1[[#This Row],[Recreation and amusement]],Table1[[#This Row],[Education]])/2</f>
        <v>170.35</v>
      </c>
      <c r="AG3" s="1">
        <f>SUM(Table1[[#This Row],[Miscellaneous]],Table1[[#This Row],[Personal care and effects]])/2</f>
        <v>170.3</v>
      </c>
    </row>
    <row r="4" spans="1:33" hidden="1" x14ac:dyDescent="0.3">
      <c r="A4" t="s">
        <v>36</v>
      </c>
      <c r="B4">
        <v>2022</v>
      </c>
      <c r="C4" t="s">
        <v>34</v>
      </c>
      <c r="D4">
        <v>164.9</v>
      </c>
      <c r="E4">
        <v>213.7</v>
      </c>
      <c r="F4">
        <v>170.9</v>
      </c>
      <c r="G4">
        <v>170.1</v>
      </c>
      <c r="H4">
        <v>179.3</v>
      </c>
      <c r="I4">
        <v>167.5</v>
      </c>
      <c r="J4">
        <v>220.8</v>
      </c>
      <c r="K4">
        <v>169.2</v>
      </c>
      <c r="L4">
        <v>123.1</v>
      </c>
      <c r="M4">
        <v>193.6</v>
      </c>
      <c r="N4">
        <v>161.1</v>
      </c>
      <c r="O4">
        <v>190.4</v>
      </c>
      <c r="P4">
        <v>181.8</v>
      </c>
      <c r="Q4">
        <v>169.5</v>
      </c>
      <c r="R4">
        <v>179.2</v>
      </c>
      <c r="S4">
        <v>165</v>
      </c>
      <c r="T4">
        <v>173.8</v>
      </c>
      <c r="U4">
        <v>158.19999999999999</v>
      </c>
      <c r="V4">
        <v>165.8</v>
      </c>
      <c r="W4">
        <v>170.9</v>
      </c>
      <c r="X4">
        <v>171.1</v>
      </c>
      <c r="Y4">
        <v>166.1</v>
      </c>
      <c r="Z4">
        <v>174.1</v>
      </c>
      <c r="AA4" s="1">
        <f>SUM(Table1[[#This Row],[Cereals and products]:[Food and beverages]])/13</f>
        <v>177.41538461538462</v>
      </c>
      <c r="AB4" s="1">
        <f>SUM(Table1[[#This Row],[Fuel and light]])</f>
        <v>179.2</v>
      </c>
      <c r="AC4" s="1">
        <f>SUM(Table1[[#This Row],[Transport and communication]])</f>
        <v>158.19999999999999</v>
      </c>
      <c r="AD4" s="1">
        <f>SUM(Table1[[#This Row],[Housing]],Table1[[#This Row],[Household goods and services]])/2</f>
        <v>167.25</v>
      </c>
      <c r="AE4" s="1">
        <f>SUM(Table1[[#This Row],[Health]])</f>
        <v>173.8</v>
      </c>
      <c r="AF4" s="1">
        <f>SUM(Table1[[#This Row],[Recreation and amusement]],Table1[[#This Row],[Education]])/2</f>
        <v>168.35000000000002</v>
      </c>
      <c r="AG4" s="1">
        <f>SUM(Table1[[#This Row],[Miscellaneous]],Table1[[#This Row],[Personal care and effects]])/2</f>
        <v>168.6</v>
      </c>
    </row>
    <row r="5" spans="1:33" hidden="1" x14ac:dyDescent="0.3">
      <c r="A5" t="s">
        <v>33</v>
      </c>
      <c r="B5">
        <v>2019</v>
      </c>
      <c r="C5" t="s">
        <v>37</v>
      </c>
      <c r="D5">
        <v>139.19999999999999</v>
      </c>
      <c r="E5">
        <v>161.9</v>
      </c>
      <c r="F5">
        <v>137.1</v>
      </c>
      <c r="G5">
        <v>144.6</v>
      </c>
      <c r="H5">
        <v>124.7</v>
      </c>
      <c r="I5">
        <v>145.5</v>
      </c>
      <c r="J5">
        <v>156.19999999999999</v>
      </c>
      <c r="K5">
        <v>131.5</v>
      </c>
      <c r="L5">
        <v>111.7</v>
      </c>
      <c r="M5">
        <v>142.69999999999999</v>
      </c>
      <c r="N5">
        <v>138.5</v>
      </c>
      <c r="O5">
        <v>156.9</v>
      </c>
      <c r="P5">
        <v>144</v>
      </c>
      <c r="Q5">
        <f>AVERAGE(Q6:Q7)</f>
        <v>151.6</v>
      </c>
      <c r="R5">
        <v>146.4</v>
      </c>
      <c r="S5">
        <v>150.19999999999999</v>
      </c>
      <c r="T5">
        <v>152.69999999999999</v>
      </c>
      <c r="U5">
        <v>131.4</v>
      </c>
      <c r="V5">
        <v>148</v>
      </c>
      <c r="W5">
        <v>159.69999999999999</v>
      </c>
      <c r="X5">
        <v>138.80000000000001</v>
      </c>
      <c r="Y5">
        <v>144.9</v>
      </c>
      <c r="Z5">
        <v>145.69999999999999</v>
      </c>
      <c r="AA5" s="1">
        <f>SUM(Table1[[#This Row],[Cereals and products]:[Food and beverages]])/13</f>
        <v>141.11538461538464</v>
      </c>
      <c r="AB5" s="1">
        <f>SUM(Table1[[#This Row],[Fuel and light]])</f>
        <v>146.4</v>
      </c>
      <c r="AC5" s="1">
        <f>SUM(Table1[[#This Row],[Transport and communication]])</f>
        <v>131.4</v>
      </c>
      <c r="AD5" s="1">
        <f>SUM(Table1[[#This Row],[Housing]],Table1[[#This Row],[Household goods and services]])/2</f>
        <v>150.89999999999998</v>
      </c>
      <c r="AE5" s="1">
        <f>SUM(Table1[[#This Row],[Health]])</f>
        <v>152.69999999999999</v>
      </c>
      <c r="AF5" s="1">
        <f>SUM(Table1[[#This Row],[Recreation and amusement]],Table1[[#This Row],[Education]])/2</f>
        <v>153.85</v>
      </c>
      <c r="AG5" s="1">
        <f>SUM(Table1[[#This Row],[Miscellaneous]],Table1[[#This Row],[Personal care and effects]])/2</f>
        <v>141.85000000000002</v>
      </c>
    </row>
    <row r="6" spans="1:33" hidden="1" x14ac:dyDescent="0.3">
      <c r="A6" t="s">
        <v>35</v>
      </c>
      <c r="B6">
        <v>2019</v>
      </c>
      <c r="C6" t="s">
        <v>37</v>
      </c>
      <c r="D6">
        <v>140.1</v>
      </c>
      <c r="E6">
        <v>160.6</v>
      </c>
      <c r="F6">
        <v>138.5</v>
      </c>
      <c r="G6">
        <v>144.69999999999999</v>
      </c>
      <c r="H6">
        <v>122.9</v>
      </c>
      <c r="I6">
        <v>149.4</v>
      </c>
      <c r="J6">
        <v>167.4</v>
      </c>
      <c r="K6">
        <v>130.9</v>
      </c>
      <c r="L6">
        <v>112</v>
      </c>
      <c r="M6">
        <v>142.6</v>
      </c>
      <c r="N6">
        <v>134.9</v>
      </c>
      <c r="O6">
        <v>156.6</v>
      </c>
      <c r="P6">
        <v>145.9</v>
      </c>
      <c r="Q6">
        <v>151.6</v>
      </c>
      <c r="R6">
        <v>138.5</v>
      </c>
      <c r="S6">
        <v>144.5</v>
      </c>
      <c r="T6">
        <v>148.5</v>
      </c>
      <c r="U6">
        <v>125.8</v>
      </c>
      <c r="V6">
        <v>140.9</v>
      </c>
      <c r="W6">
        <v>154.9</v>
      </c>
      <c r="X6">
        <v>138.4</v>
      </c>
      <c r="Y6">
        <v>140.19999999999999</v>
      </c>
      <c r="Z6">
        <v>145</v>
      </c>
      <c r="AA6" s="1">
        <f>SUM(Table1[[#This Row],[Cereals and products]:[Food and beverages]])/13</f>
        <v>142.03846153846155</v>
      </c>
      <c r="AB6" s="1">
        <f>SUM(Table1[[#This Row],[Fuel and light]])</f>
        <v>138.5</v>
      </c>
      <c r="AC6" s="1">
        <f>SUM(Table1[[#This Row],[Transport and communication]])</f>
        <v>125.8</v>
      </c>
      <c r="AD6" s="1">
        <f>SUM(Table1[[#This Row],[Housing]],Table1[[#This Row],[Household goods and services]])/2</f>
        <v>148.05000000000001</v>
      </c>
      <c r="AE6" s="1">
        <f>SUM(Table1[[#This Row],[Health]])</f>
        <v>148.5</v>
      </c>
      <c r="AF6" s="1">
        <f>SUM(Table1[[#This Row],[Recreation and amusement]],Table1[[#This Row],[Education]])/2</f>
        <v>147.9</v>
      </c>
      <c r="AG6" s="1">
        <f>SUM(Table1[[#This Row],[Miscellaneous]],Table1[[#This Row],[Personal care and effects]])/2</f>
        <v>139.30000000000001</v>
      </c>
    </row>
    <row r="7" spans="1:33" hidden="1" x14ac:dyDescent="0.3">
      <c r="A7" t="s">
        <v>36</v>
      </c>
      <c r="B7">
        <v>2019</v>
      </c>
      <c r="C7" t="s">
        <v>37</v>
      </c>
      <c r="D7">
        <v>142.1</v>
      </c>
      <c r="E7">
        <v>158.30000000000001</v>
      </c>
      <c r="F7">
        <v>140.80000000000001</v>
      </c>
      <c r="G7">
        <v>144.9</v>
      </c>
      <c r="H7">
        <v>119.9</v>
      </c>
      <c r="I7">
        <v>153.9</v>
      </c>
      <c r="J7">
        <v>189.1</v>
      </c>
      <c r="K7">
        <v>129.80000000000001</v>
      </c>
      <c r="L7">
        <v>112.7</v>
      </c>
      <c r="M7">
        <v>142.5</v>
      </c>
      <c r="N7">
        <v>129.80000000000001</v>
      </c>
      <c r="O7">
        <v>156.19999999999999</v>
      </c>
      <c r="P7">
        <v>149.1</v>
      </c>
      <c r="Q7">
        <v>151.6</v>
      </c>
      <c r="R7">
        <v>125.5</v>
      </c>
      <c r="S7">
        <v>138.1</v>
      </c>
      <c r="T7">
        <v>141.5</v>
      </c>
      <c r="U7">
        <v>120.8</v>
      </c>
      <c r="V7">
        <v>135.4</v>
      </c>
      <c r="W7">
        <v>151.5</v>
      </c>
      <c r="X7">
        <v>137.80000000000001</v>
      </c>
      <c r="Y7">
        <v>135.30000000000001</v>
      </c>
      <c r="Z7">
        <v>144.19999999999999</v>
      </c>
      <c r="AA7" s="1">
        <f>SUM(Table1[[#This Row],[Cereals and products]:[Food and beverages]])/13</f>
        <v>143.77692307692308</v>
      </c>
      <c r="AB7" s="1">
        <f>SUM(Table1[[#This Row],[Fuel and light]])</f>
        <v>125.5</v>
      </c>
      <c r="AC7" s="1">
        <f>SUM(Table1[[#This Row],[Transport and communication]])</f>
        <v>120.8</v>
      </c>
      <c r="AD7" s="1">
        <f>SUM(Table1[[#This Row],[Housing]],Table1[[#This Row],[Household goods and services]])/2</f>
        <v>144.85</v>
      </c>
      <c r="AE7" s="1">
        <f>SUM(Table1[[#This Row],[Health]])</f>
        <v>141.5</v>
      </c>
      <c r="AF7" s="1">
        <f>SUM(Table1[[#This Row],[Recreation and amusement]],Table1[[#This Row],[Education]])/2</f>
        <v>143.44999999999999</v>
      </c>
      <c r="AG7" s="1">
        <f>SUM(Table1[[#This Row],[Miscellaneous]],Table1[[#This Row],[Personal care and effects]])/2</f>
        <v>136.55000000000001</v>
      </c>
    </row>
    <row r="8" spans="1:33" hidden="1" x14ac:dyDescent="0.3">
      <c r="A8" t="s">
        <v>33</v>
      </c>
      <c r="B8">
        <v>2019</v>
      </c>
      <c r="C8" t="s">
        <v>38</v>
      </c>
      <c r="D8">
        <v>142.80000000000001</v>
      </c>
      <c r="E8">
        <v>165.3</v>
      </c>
      <c r="F8">
        <v>149.5</v>
      </c>
      <c r="G8">
        <v>148.69999999999999</v>
      </c>
      <c r="H8">
        <v>127.5</v>
      </c>
      <c r="I8">
        <v>144.30000000000001</v>
      </c>
      <c r="J8">
        <v>209.5</v>
      </c>
      <c r="K8">
        <v>138.80000000000001</v>
      </c>
      <c r="L8">
        <v>113.6</v>
      </c>
      <c r="M8">
        <v>149.1</v>
      </c>
      <c r="N8">
        <v>139.30000000000001</v>
      </c>
      <c r="O8">
        <v>158.30000000000001</v>
      </c>
      <c r="P8">
        <v>154.30000000000001</v>
      </c>
      <c r="Q8">
        <f>AVERAGE(Q9:Q10)</f>
        <v>152.80000000000001</v>
      </c>
      <c r="R8">
        <v>149.9</v>
      </c>
      <c r="S8">
        <v>151.19999999999999</v>
      </c>
      <c r="T8">
        <v>154.80000000000001</v>
      </c>
      <c r="U8">
        <v>135</v>
      </c>
      <c r="V8">
        <v>149.5</v>
      </c>
      <c r="W8">
        <v>161.1</v>
      </c>
      <c r="X8">
        <v>140.6</v>
      </c>
      <c r="Y8">
        <v>147.1</v>
      </c>
      <c r="Z8">
        <v>152.30000000000001</v>
      </c>
      <c r="AA8" s="1">
        <f>SUM(Table1[[#This Row],[Cereals and products]:[Food and beverages]])/13</f>
        <v>149.30769230769226</v>
      </c>
      <c r="AB8" s="1">
        <f>SUM(Table1[[#This Row],[Fuel and light]])</f>
        <v>149.9</v>
      </c>
      <c r="AC8" s="1">
        <f>SUM(Table1[[#This Row],[Transport and communication]])</f>
        <v>135</v>
      </c>
      <c r="AD8" s="1">
        <f>SUM(Table1[[#This Row],[Housing]],Table1[[#This Row],[Household goods and services]])/2</f>
        <v>152</v>
      </c>
      <c r="AE8" s="1">
        <f>SUM(Table1[[#This Row],[Health]])</f>
        <v>154.80000000000001</v>
      </c>
      <c r="AF8" s="1">
        <f>SUM(Table1[[#This Row],[Recreation and amusement]],Table1[[#This Row],[Education]])/2</f>
        <v>155.30000000000001</v>
      </c>
      <c r="AG8" s="1">
        <f>SUM(Table1[[#This Row],[Miscellaneous]],Table1[[#This Row],[Personal care and effects]])/2</f>
        <v>143.85</v>
      </c>
    </row>
    <row r="9" spans="1:33" hidden="1" x14ac:dyDescent="0.3">
      <c r="A9" t="s">
        <v>35</v>
      </c>
      <c r="B9">
        <v>2019</v>
      </c>
      <c r="C9" t="s">
        <v>38</v>
      </c>
      <c r="D9">
        <v>143.5</v>
      </c>
      <c r="E9">
        <v>165</v>
      </c>
      <c r="F9">
        <v>151.1</v>
      </c>
      <c r="G9">
        <v>148.30000000000001</v>
      </c>
      <c r="H9">
        <v>125.7</v>
      </c>
      <c r="I9">
        <v>145.69999999999999</v>
      </c>
      <c r="J9">
        <v>217</v>
      </c>
      <c r="K9">
        <v>138.30000000000001</v>
      </c>
      <c r="L9">
        <v>114</v>
      </c>
      <c r="M9">
        <v>148.69999999999999</v>
      </c>
      <c r="N9">
        <v>135.80000000000001</v>
      </c>
      <c r="O9">
        <v>158</v>
      </c>
      <c r="P9">
        <v>155</v>
      </c>
      <c r="Q9">
        <v>152.80000000000001</v>
      </c>
      <c r="R9">
        <v>143.69999999999999</v>
      </c>
      <c r="S9">
        <v>145.80000000000001</v>
      </c>
      <c r="T9">
        <v>150.4</v>
      </c>
      <c r="U9">
        <v>129.80000000000001</v>
      </c>
      <c r="V9">
        <v>142.30000000000001</v>
      </c>
      <c r="W9">
        <v>155.69999999999999</v>
      </c>
      <c r="X9">
        <v>140.4</v>
      </c>
      <c r="Y9">
        <v>142.5</v>
      </c>
      <c r="Z9">
        <v>150.4</v>
      </c>
      <c r="AA9" s="1">
        <f>SUM(Table1[[#This Row],[Cereals and products]:[Food and beverages]])/13</f>
        <v>149.70000000000002</v>
      </c>
      <c r="AB9" s="1">
        <f>SUM(Table1[[#This Row],[Fuel and light]])</f>
        <v>143.69999999999999</v>
      </c>
      <c r="AC9" s="1">
        <f>SUM(Table1[[#This Row],[Transport and communication]])</f>
        <v>129.80000000000001</v>
      </c>
      <c r="AD9" s="1">
        <f>SUM(Table1[[#This Row],[Housing]],Table1[[#This Row],[Household goods and services]])/2</f>
        <v>149.30000000000001</v>
      </c>
      <c r="AE9" s="1">
        <f>SUM(Table1[[#This Row],[Health]])</f>
        <v>150.4</v>
      </c>
      <c r="AF9" s="1">
        <f>SUM(Table1[[#This Row],[Recreation and amusement]],Table1[[#This Row],[Education]])/2</f>
        <v>149</v>
      </c>
      <c r="AG9" s="1">
        <f>SUM(Table1[[#This Row],[Miscellaneous]],Table1[[#This Row],[Personal care and effects]])/2</f>
        <v>141.44999999999999</v>
      </c>
    </row>
    <row r="10" spans="1:33" hidden="1" x14ac:dyDescent="0.3">
      <c r="A10" t="s">
        <v>36</v>
      </c>
      <c r="B10">
        <v>2019</v>
      </c>
      <c r="C10" t="s">
        <v>38</v>
      </c>
      <c r="D10">
        <v>144.9</v>
      </c>
      <c r="E10">
        <v>164.5</v>
      </c>
      <c r="F10">
        <v>153.69999999999999</v>
      </c>
      <c r="G10">
        <v>147.5</v>
      </c>
      <c r="H10">
        <v>122.7</v>
      </c>
      <c r="I10">
        <v>147.19999999999999</v>
      </c>
      <c r="J10">
        <v>231.5</v>
      </c>
      <c r="K10">
        <v>137.19999999999999</v>
      </c>
      <c r="L10">
        <v>114.7</v>
      </c>
      <c r="M10">
        <v>148</v>
      </c>
      <c r="N10">
        <v>130.80000000000001</v>
      </c>
      <c r="O10">
        <v>157.69999999999999</v>
      </c>
      <c r="P10">
        <v>156.30000000000001</v>
      </c>
      <c r="Q10">
        <v>152.80000000000001</v>
      </c>
      <c r="R10">
        <v>133.6</v>
      </c>
      <c r="S10">
        <v>139.80000000000001</v>
      </c>
      <c r="T10">
        <v>143.19999999999999</v>
      </c>
      <c r="U10">
        <v>125.2</v>
      </c>
      <c r="V10">
        <v>136.80000000000001</v>
      </c>
      <c r="W10">
        <v>151.9</v>
      </c>
      <c r="X10">
        <v>140.19999999999999</v>
      </c>
      <c r="Y10">
        <v>137.69999999999999</v>
      </c>
      <c r="Z10">
        <v>148.30000000000001</v>
      </c>
      <c r="AA10" s="1">
        <f>SUM(Table1[[#This Row],[Cereals and products]:[Food and beverages]])/13</f>
        <v>150.51538461538462</v>
      </c>
      <c r="AB10" s="1">
        <f>SUM(Table1[[#This Row],[Fuel and light]])</f>
        <v>133.6</v>
      </c>
      <c r="AC10" s="1">
        <f>SUM(Table1[[#This Row],[Transport and communication]])</f>
        <v>125.2</v>
      </c>
      <c r="AD10" s="1">
        <f>SUM(Table1[[#This Row],[Housing]],Table1[[#This Row],[Household goods and services]])/2</f>
        <v>146.30000000000001</v>
      </c>
      <c r="AE10" s="1">
        <f>SUM(Table1[[#This Row],[Health]])</f>
        <v>143.19999999999999</v>
      </c>
      <c r="AF10" s="1">
        <f>SUM(Table1[[#This Row],[Recreation and amusement]],Table1[[#This Row],[Education]])/2</f>
        <v>144.35000000000002</v>
      </c>
      <c r="AG10" s="1">
        <f>SUM(Table1[[#This Row],[Miscellaneous]],Table1[[#This Row],[Personal care and effects]])/2</f>
        <v>138.94999999999999</v>
      </c>
    </row>
    <row r="11" spans="1:33" hidden="1" x14ac:dyDescent="0.3">
      <c r="A11" t="s">
        <v>33</v>
      </c>
      <c r="B11">
        <v>2019</v>
      </c>
      <c r="C11" t="s">
        <v>39</v>
      </c>
      <c r="D11">
        <v>136.80000000000001</v>
      </c>
      <c r="E11">
        <v>153</v>
      </c>
      <c r="F11">
        <v>139.1</v>
      </c>
      <c r="G11">
        <v>142.5</v>
      </c>
      <c r="H11">
        <v>124.1</v>
      </c>
      <c r="I11">
        <v>135.80000000000001</v>
      </c>
      <c r="J11">
        <v>128.69999999999999</v>
      </c>
      <c r="K11">
        <v>121.5</v>
      </c>
      <c r="L11">
        <v>108.3</v>
      </c>
      <c r="M11">
        <v>139.19999999999999</v>
      </c>
      <c r="N11">
        <v>137.4</v>
      </c>
      <c r="O11">
        <v>156.19999999999999</v>
      </c>
      <c r="P11">
        <v>137.19999999999999</v>
      </c>
      <c r="Q11">
        <f>AVERAGE(Q12:Q13)</f>
        <v>148.5</v>
      </c>
      <c r="R11">
        <v>145.30000000000001</v>
      </c>
      <c r="S11">
        <v>150.1</v>
      </c>
      <c r="T11">
        <v>149.9</v>
      </c>
      <c r="U11">
        <v>129.19999999999999</v>
      </c>
      <c r="V11">
        <v>143.4</v>
      </c>
      <c r="W11">
        <v>155.5</v>
      </c>
      <c r="X11">
        <v>134.9</v>
      </c>
      <c r="Y11">
        <v>142.19999999999999</v>
      </c>
      <c r="Z11">
        <v>141</v>
      </c>
      <c r="AA11" s="1">
        <f>SUM(Table1[[#This Row],[Cereals and products]:[Food and beverages]])/13</f>
        <v>135.3692307692308</v>
      </c>
      <c r="AB11" s="1">
        <f>SUM(Table1[[#This Row],[Fuel and light]])</f>
        <v>145.30000000000001</v>
      </c>
      <c r="AC11" s="1">
        <f>SUM(Table1[[#This Row],[Transport and communication]])</f>
        <v>129.19999999999999</v>
      </c>
      <c r="AD11" s="1">
        <f>SUM(Table1[[#This Row],[Housing]],Table1[[#This Row],[Household goods and services]])/2</f>
        <v>149.30000000000001</v>
      </c>
      <c r="AE11" s="1">
        <f>SUM(Table1[[#This Row],[Health]])</f>
        <v>149.9</v>
      </c>
      <c r="AF11" s="1">
        <f>SUM(Table1[[#This Row],[Recreation and amusement]],Table1[[#This Row],[Education]])/2</f>
        <v>149.44999999999999</v>
      </c>
      <c r="AG11" s="1">
        <f>SUM(Table1[[#This Row],[Miscellaneous]],Table1[[#This Row],[Personal care and effects]])/2</f>
        <v>138.55000000000001</v>
      </c>
    </row>
    <row r="12" spans="1:33" hidden="1" x14ac:dyDescent="0.3">
      <c r="A12" t="s">
        <v>35</v>
      </c>
      <c r="B12">
        <v>2019</v>
      </c>
      <c r="C12" t="s">
        <v>39</v>
      </c>
      <c r="D12">
        <v>137.6</v>
      </c>
      <c r="E12">
        <v>152</v>
      </c>
      <c r="F12">
        <v>141.5</v>
      </c>
      <c r="G12">
        <v>142.19999999999999</v>
      </c>
      <c r="H12">
        <v>122</v>
      </c>
      <c r="I12">
        <v>136.4</v>
      </c>
      <c r="J12">
        <v>129.69999999999999</v>
      </c>
      <c r="K12">
        <v>121</v>
      </c>
      <c r="L12">
        <v>109</v>
      </c>
      <c r="M12">
        <v>139.69999999999999</v>
      </c>
      <c r="N12">
        <v>133.6</v>
      </c>
      <c r="O12">
        <v>154.9</v>
      </c>
      <c r="P12">
        <v>137.5</v>
      </c>
      <c r="Q12">
        <v>148.5</v>
      </c>
      <c r="R12">
        <v>138.4</v>
      </c>
      <c r="S12">
        <v>143.69999999999999</v>
      </c>
      <c r="T12">
        <v>145.6</v>
      </c>
      <c r="U12">
        <v>123.9</v>
      </c>
      <c r="V12">
        <v>137.1</v>
      </c>
      <c r="W12">
        <v>150.30000000000001</v>
      </c>
      <c r="X12">
        <v>134.1</v>
      </c>
      <c r="Y12">
        <v>137.4</v>
      </c>
      <c r="Z12">
        <v>139.9</v>
      </c>
      <c r="AA12" s="1">
        <f>SUM(Table1[[#This Row],[Cereals and products]:[Food and beverages]])/13</f>
        <v>135.16153846153844</v>
      </c>
      <c r="AB12" s="1">
        <f>SUM(Table1[[#This Row],[Fuel and light]])</f>
        <v>138.4</v>
      </c>
      <c r="AC12" s="1">
        <f>SUM(Table1[[#This Row],[Transport and communication]])</f>
        <v>123.9</v>
      </c>
      <c r="AD12" s="1">
        <f>SUM(Table1[[#This Row],[Housing]],Table1[[#This Row],[Household goods and services]])/2</f>
        <v>146.1</v>
      </c>
      <c r="AE12" s="1">
        <f>SUM(Table1[[#This Row],[Health]])</f>
        <v>145.6</v>
      </c>
      <c r="AF12" s="1">
        <f>SUM(Table1[[#This Row],[Recreation and amusement]],Table1[[#This Row],[Education]])/2</f>
        <v>143.69999999999999</v>
      </c>
      <c r="AG12" s="1">
        <f>SUM(Table1[[#This Row],[Miscellaneous]],Table1[[#This Row],[Personal care and effects]])/2</f>
        <v>135.75</v>
      </c>
    </row>
    <row r="13" spans="1:33" hidden="1" x14ac:dyDescent="0.3">
      <c r="A13" t="s">
        <v>36</v>
      </c>
      <c r="B13">
        <v>2019</v>
      </c>
      <c r="C13" t="s">
        <v>39</v>
      </c>
      <c r="D13">
        <v>139.4</v>
      </c>
      <c r="E13">
        <v>150.1</v>
      </c>
      <c r="F13">
        <v>145.30000000000001</v>
      </c>
      <c r="G13">
        <v>141.69999999999999</v>
      </c>
      <c r="H13">
        <v>118.4</v>
      </c>
      <c r="I13">
        <v>137</v>
      </c>
      <c r="J13">
        <v>131.6</v>
      </c>
      <c r="K13">
        <v>119.9</v>
      </c>
      <c r="L13">
        <v>110.4</v>
      </c>
      <c r="M13">
        <v>140.80000000000001</v>
      </c>
      <c r="N13">
        <v>128.30000000000001</v>
      </c>
      <c r="O13">
        <v>153.5</v>
      </c>
      <c r="P13">
        <v>138</v>
      </c>
      <c r="Q13">
        <v>148.5</v>
      </c>
      <c r="R13">
        <v>127.1</v>
      </c>
      <c r="S13">
        <v>136.6</v>
      </c>
      <c r="T13">
        <v>138.5</v>
      </c>
      <c r="U13">
        <v>119.2</v>
      </c>
      <c r="V13">
        <v>132.19999999999999</v>
      </c>
      <c r="W13">
        <v>146.6</v>
      </c>
      <c r="X13">
        <v>133</v>
      </c>
      <c r="Y13">
        <v>132.4</v>
      </c>
      <c r="Z13">
        <v>138.6</v>
      </c>
      <c r="AA13" s="1">
        <f>SUM(Table1[[#This Row],[Cereals and products]:[Food and beverages]])/13</f>
        <v>134.95384615384617</v>
      </c>
      <c r="AB13" s="1">
        <f>SUM(Table1[[#This Row],[Fuel and light]])</f>
        <v>127.1</v>
      </c>
      <c r="AC13" s="1">
        <f>SUM(Table1[[#This Row],[Transport and communication]])</f>
        <v>119.2</v>
      </c>
      <c r="AD13" s="1">
        <f>SUM(Table1[[#This Row],[Housing]],Table1[[#This Row],[Household goods and services]])/2</f>
        <v>142.55000000000001</v>
      </c>
      <c r="AE13" s="1">
        <f>SUM(Table1[[#This Row],[Health]])</f>
        <v>138.5</v>
      </c>
      <c r="AF13" s="1">
        <f>SUM(Table1[[#This Row],[Recreation and amusement]],Table1[[#This Row],[Education]])/2</f>
        <v>139.39999999999998</v>
      </c>
      <c r="AG13" s="1">
        <f>SUM(Table1[[#This Row],[Miscellaneous]],Table1[[#This Row],[Personal care and effects]])/2</f>
        <v>132.69999999999999</v>
      </c>
    </row>
    <row r="14" spans="1:33" hidden="1" x14ac:dyDescent="0.3">
      <c r="A14" t="s">
        <v>36</v>
      </c>
      <c r="B14">
        <v>2018</v>
      </c>
      <c r="C14" t="s">
        <v>34</v>
      </c>
      <c r="D14">
        <v>137</v>
      </c>
      <c r="E14">
        <v>143.1</v>
      </c>
      <c r="F14">
        <v>132.80000000000001</v>
      </c>
      <c r="G14">
        <v>141.5</v>
      </c>
      <c r="H14">
        <v>117.8</v>
      </c>
      <c r="I14">
        <v>140</v>
      </c>
      <c r="J14">
        <v>151.30000000000001</v>
      </c>
      <c r="K14">
        <v>113.5</v>
      </c>
      <c r="L14">
        <v>112.3</v>
      </c>
      <c r="M14">
        <v>141.19999999999999</v>
      </c>
      <c r="N14">
        <v>127.7</v>
      </c>
      <c r="O14">
        <v>151.30000000000001</v>
      </c>
      <c r="P14">
        <v>138.9</v>
      </c>
      <c r="Q14">
        <v>145.30000000000001</v>
      </c>
      <c r="R14">
        <v>131.19999999999999</v>
      </c>
      <c r="S14">
        <v>134.9</v>
      </c>
      <c r="T14">
        <v>135.69999999999999</v>
      </c>
      <c r="U14">
        <v>122.5</v>
      </c>
      <c r="V14">
        <v>130.19999999999999</v>
      </c>
      <c r="W14">
        <v>145.19999999999999</v>
      </c>
      <c r="X14">
        <v>129.30000000000001</v>
      </c>
      <c r="Y14">
        <v>131.9</v>
      </c>
      <c r="Z14">
        <v>138.1</v>
      </c>
      <c r="AA14" s="1">
        <f>SUM(Table1[[#This Row],[Cereals and products]:[Food and beverages]])/13</f>
        <v>134.49230769230769</v>
      </c>
      <c r="AB14" s="1">
        <f>SUM(Table1[[#This Row],[Fuel and light]])</f>
        <v>131.19999999999999</v>
      </c>
      <c r="AC14" s="1">
        <f>SUM(Table1[[#This Row],[Transport and communication]])</f>
        <v>122.5</v>
      </c>
      <c r="AD14" s="1">
        <f>SUM(Table1[[#This Row],[Housing]],Table1[[#This Row],[Household goods and services]])/2</f>
        <v>140.10000000000002</v>
      </c>
      <c r="AE14" s="1">
        <f>SUM(Table1[[#This Row],[Health]])</f>
        <v>135.69999999999999</v>
      </c>
      <c r="AF14" s="1">
        <f>SUM(Table1[[#This Row],[Recreation and amusement]],Table1[[#This Row],[Education]])/2</f>
        <v>137.69999999999999</v>
      </c>
      <c r="AG14" s="1">
        <f>SUM(Table1[[#This Row],[Miscellaneous]],Table1[[#This Row],[Personal care and effects]])/2</f>
        <v>130.60000000000002</v>
      </c>
    </row>
    <row r="15" spans="1:33" hidden="1" x14ac:dyDescent="0.3">
      <c r="A15" t="s">
        <v>35</v>
      </c>
      <c r="B15">
        <v>2018</v>
      </c>
      <c r="C15" t="s">
        <v>34</v>
      </c>
      <c r="D15">
        <v>138.6</v>
      </c>
      <c r="E15">
        <v>145.80000000000001</v>
      </c>
      <c r="F15">
        <v>135.1</v>
      </c>
      <c r="G15">
        <v>142.9</v>
      </c>
      <c r="H15">
        <v>122.1</v>
      </c>
      <c r="I15">
        <v>145.4</v>
      </c>
      <c r="J15">
        <v>150</v>
      </c>
      <c r="K15">
        <v>121.4</v>
      </c>
      <c r="L15">
        <v>113.7</v>
      </c>
      <c r="M15">
        <v>139.5</v>
      </c>
      <c r="N15">
        <v>130.80000000000001</v>
      </c>
      <c r="O15">
        <v>153.80000000000001</v>
      </c>
      <c r="P15">
        <v>140.4</v>
      </c>
      <c r="Q15">
        <v>145.30000000000001</v>
      </c>
      <c r="R15">
        <v>142.30000000000001</v>
      </c>
      <c r="S15">
        <v>139.69999999999999</v>
      </c>
      <c r="T15">
        <v>138.4</v>
      </c>
      <c r="U15">
        <v>126</v>
      </c>
      <c r="V15">
        <v>134.5</v>
      </c>
      <c r="W15">
        <v>146.19999999999999</v>
      </c>
      <c r="X15">
        <v>130.9</v>
      </c>
      <c r="Y15">
        <v>134.69999999999999</v>
      </c>
      <c r="Z15">
        <v>140.19999999999999</v>
      </c>
      <c r="AA15" s="1">
        <f>SUM(Table1[[#This Row],[Cereals and products]:[Food and beverages]])/13</f>
        <v>136.88461538461539</v>
      </c>
      <c r="AB15" s="1">
        <f>SUM(Table1[[#This Row],[Fuel and light]])</f>
        <v>142.30000000000001</v>
      </c>
      <c r="AC15" s="1">
        <f>SUM(Table1[[#This Row],[Transport and communication]])</f>
        <v>126</v>
      </c>
      <c r="AD15" s="1">
        <f>SUM(Table1[[#This Row],[Housing]],Table1[[#This Row],[Household goods and services]])/2</f>
        <v>142.5</v>
      </c>
      <c r="AE15" s="1">
        <f>SUM(Table1[[#This Row],[Health]])</f>
        <v>138.4</v>
      </c>
      <c r="AF15" s="1">
        <f>SUM(Table1[[#This Row],[Recreation and amusement]],Table1[[#This Row],[Education]])/2</f>
        <v>140.35</v>
      </c>
      <c r="AG15" s="1">
        <f>SUM(Table1[[#This Row],[Miscellaneous]],Table1[[#This Row],[Personal care and effects]])/2</f>
        <v>132.80000000000001</v>
      </c>
    </row>
    <row r="16" spans="1:33" hidden="1" x14ac:dyDescent="0.3">
      <c r="A16" t="s">
        <v>33</v>
      </c>
      <c r="B16">
        <v>2018</v>
      </c>
      <c r="C16" t="s">
        <v>34</v>
      </c>
      <c r="D16">
        <v>139.4</v>
      </c>
      <c r="E16">
        <v>147.19999999999999</v>
      </c>
      <c r="F16">
        <v>136.6</v>
      </c>
      <c r="G16">
        <v>143.69999999999999</v>
      </c>
      <c r="H16">
        <v>124.6</v>
      </c>
      <c r="I16">
        <v>150.1</v>
      </c>
      <c r="J16">
        <v>149.4</v>
      </c>
      <c r="K16">
        <v>125.4</v>
      </c>
      <c r="L16">
        <v>114.4</v>
      </c>
      <c r="M16">
        <v>138.69999999999999</v>
      </c>
      <c r="N16">
        <v>133.1</v>
      </c>
      <c r="O16">
        <v>155.9</v>
      </c>
      <c r="P16">
        <v>141.30000000000001</v>
      </c>
      <c r="Q16">
        <v>145.30000000000001</v>
      </c>
      <c r="R16">
        <v>149</v>
      </c>
      <c r="S16">
        <v>144</v>
      </c>
      <c r="T16">
        <v>140</v>
      </c>
      <c r="U16">
        <v>129.9</v>
      </c>
      <c r="V16">
        <v>140</v>
      </c>
      <c r="W16">
        <v>147.6</v>
      </c>
      <c r="X16">
        <v>132</v>
      </c>
      <c r="Y16">
        <v>137.4</v>
      </c>
      <c r="Z16">
        <v>142.1</v>
      </c>
      <c r="AA16" s="1">
        <f>SUM(Table1[[#This Row],[Cereals and products]:[Food and beverages]])/13</f>
        <v>138.44615384615386</v>
      </c>
      <c r="AB16" s="1">
        <f>SUM(Table1[[#This Row],[Fuel and light]])</f>
        <v>149</v>
      </c>
      <c r="AC16" s="1">
        <f>SUM(Table1[[#This Row],[Transport and communication]])</f>
        <v>129.9</v>
      </c>
      <c r="AD16" s="1">
        <f>SUM(Table1[[#This Row],[Housing]],Table1[[#This Row],[Household goods and services]])/2</f>
        <v>144.65</v>
      </c>
      <c r="AE16" s="1">
        <f>SUM(Table1[[#This Row],[Health]])</f>
        <v>140</v>
      </c>
      <c r="AF16" s="1">
        <f>SUM(Table1[[#This Row],[Recreation and amusement]],Table1[[#This Row],[Education]])/2</f>
        <v>143.80000000000001</v>
      </c>
      <c r="AG16" s="1">
        <f>SUM(Table1[[#This Row],[Miscellaneous]],Table1[[#This Row],[Personal care and effects]])/2</f>
        <v>134.69999999999999</v>
      </c>
    </row>
    <row r="17" spans="1:33" hidden="1" x14ac:dyDescent="0.3">
      <c r="A17" t="s">
        <v>36</v>
      </c>
      <c r="B17">
        <v>2017</v>
      </c>
      <c r="C17" t="s">
        <v>34</v>
      </c>
      <c r="D17">
        <v>133.6</v>
      </c>
      <c r="E17">
        <v>143</v>
      </c>
      <c r="F17">
        <v>129.69999999999999</v>
      </c>
      <c r="G17">
        <v>138.69999999999999</v>
      </c>
      <c r="H17">
        <v>114.5</v>
      </c>
      <c r="I17">
        <v>137.5</v>
      </c>
      <c r="J17">
        <v>160.69999999999999</v>
      </c>
      <c r="K17">
        <v>124.5</v>
      </c>
      <c r="L17">
        <v>122.4</v>
      </c>
      <c r="M17">
        <v>137.30000000000001</v>
      </c>
      <c r="N17">
        <v>124.8</v>
      </c>
      <c r="O17">
        <v>145</v>
      </c>
      <c r="P17">
        <v>138</v>
      </c>
      <c r="Q17">
        <v>135.69999999999999</v>
      </c>
      <c r="R17">
        <v>120.6</v>
      </c>
      <c r="S17">
        <v>128.1</v>
      </c>
      <c r="T17">
        <v>126.1</v>
      </c>
      <c r="U17">
        <v>115.7</v>
      </c>
      <c r="V17">
        <v>124.5</v>
      </c>
      <c r="W17">
        <v>135.9</v>
      </c>
      <c r="X17">
        <v>124.4</v>
      </c>
      <c r="Y17">
        <v>124.5</v>
      </c>
      <c r="Z17">
        <v>132.4</v>
      </c>
      <c r="AA17" s="1">
        <f>SUM(Table1[[#This Row],[Cereals and products]:[Food and beverages]])/13</f>
        <v>134.59230769230768</v>
      </c>
      <c r="AB17" s="1">
        <f>SUM(Table1[[#This Row],[Fuel and light]])</f>
        <v>120.6</v>
      </c>
      <c r="AC17" s="1">
        <f>SUM(Table1[[#This Row],[Transport and communication]])</f>
        <v>115.7</v>
      </c>
      <c r="AD17" s="1">
        <f>SUM(Table1[[#This Row],[Housing]],Table1[[#This Row],[Household goods and services]])/2</f>
        <v>131.89999999999998</v>
      </c>
      <c r="AE17" s="1">
        <f>SUM(Table1[[#This Row],[Health]])</f>
        <v>126.1</v>
      </c>
      <c r="AF17" s="1">
        <f>SUM(Table1[[#This Row],[Recreation and amusement]],Table1[[#This Row],[Education]])/2</f>
        <v>130.19999999999999</v>
      </c>
      <c r="AG17" s="1">
        <f>SUM(Table1[[#This Row],[Miscellaneous]],Table1[[#This Row],[Personal care and effects]])/2</f>
        <v>124.45</v>
      </c>
    </row>
    <row r="18" spans="1:33" hidden="1" x14ac:dyDescent="0.3">
      <c r="A18" t="s">
        <v>35</v>
      </c>
      <c r="B18">
        <v>2017</v>
      </c>
      <c r="C18" t="s">
        <v>34</v>
      </c>
      <c r="D18">
        <v>134.69999999999999</v>
      </c>
      <c r="E18">
        <v>142.4</v>
      </c>
      <c r="F18">
        <v>130.19999999999999</v>
      </c>
      <c r="G18">
        <v>139.6</v>
      </c>
      <c r="H18">
        <v>118.4</v>
      </c>
      <c r="I18">
        <v>143</v>
      </c>
      <c r="J18">
        <v>156.6</v>
      </c>
      <c r="K18">
        <v>132.9</v>
      </c>
      <c r="L18">
        <v>121.5</v>
      </c>
      <c r="M18">
        <v>135.6</v>
      </c>
      <c r="N18">
        <v>128.80000000000001</v>
      </c>
      <c r="O18">
        <v>147.30000000000001</v>
      </c>
      <c r="P18">
        <v>139</v>
      </c>
      <c r="Q18">
        <v>135.69999999999999</v>
      </c>
      <c r="R18">
        <v>131</v>
      </c>
      <c r="S18">
        <v>133.30000000000001</v>
      </c>
      <c r="T18">
        <v>130.6</v>
      </c>
      <c r="U18">
        <v>118.3</v>
      </c>
      <c r="V18">
        <v>127.9</v>
      </c>
      <c r="W18">
        <v>137.4</v>
      </c>
      <c r="X18">
        <v>125.7</v>
      </c>
      <c r="Y18">
        <v>127.5</v>
      </c>
      <c r="Z18">
        <v>135.19999999999999</v>
      </c>
      <c r="AA18" s="1">
        <f>SUM(Table1[[#This Row],[Cereals and products]:[Food and beverages]])/13</f>
        <v>136.15384615384613</v>
      </c>
      <c r="AB18" s="1">
        <f>SUM(Table1[[#This Row],[Fuel and light]])</f>
        <v>131</v>
      </c>
      <c r="AC18" s="1">
        <f>SUM(Table1[[#This Row],[Transport and communication]])</f>
        <v>118.3</v>
      </c>
      <c r="AD18" s="1">
        <f>SUM(Table1[[#This Row],[Housing]],Table1[[#This Row],[Household goods and services]])/2</f>
        <v>134.5</v>
      </c>
      <c r="AE18" s="1">
        <f>SUM(Table1[[#This Row],[Health]])</f>
        <v>130.6</v>
      </c>
      <c r="AF18" s="1">
        <f>SUM(Table1[[#This Row],[Recreation and amusement]],Table1[[#This Row],[Education]])/2</f>
        <v>132.65</v>
      </c>
      <c r="AG18" s="1">
        <f>SUM(Table1[[#This Row],[Miscellaneous]],Table1[[#This Row],[Personal care and effects]])/2</f>
        <v>126.6</v>
      </c>
    </row>
    <row r="19" spans="1:33" hidden="1" x14ac:dyDescent="0.3">
      <c r="A19" t="s">
        <v>33</v>
      </c>
      <c r="B19">
        <v>2017</v>
      </c>
      <c r="C19" t="s">
        <v>34</v>
      </c>
      <c r="D19">
        <v>135.19999999999999</v>
      </c>
      <c r="E19">
        <v>142</v>
      </c>
      <c r="F19">
        <v>130.5</v>
      </c>
      <c r="G19">
        <v>140.19999999999999</v>
      </c>
      <c r="H19">
        <v>120.7</v>
      </c>
      <c r="I19">
        <v>147.80000000000001</v>
      </c>
      <c r="J19">
        <v>154.5</v>
      </c>
      <c r="K19">
        <v>137.1</v>
      </c>
      <c r="L19">
        <v>121</v>
      </c>
      <c r="M19">
        <v>134.69999999999999</v>
      </c>
      <c r="N19">
        <v>131.69999999999999</v>
      </c>
      <c r="O19">
        <v>149.30000000000001</v>
      </c>
      <c r="P19">
        <v>139.6</v>
      </c>
      <c r="Q19">
        <v>135.69999999999999</v>
      </c>
      <c r="R19">
        <v>137.4</v>
      </c>
      <c r="S19">
        <v>137.9</v>
      </c>
      <c r="T19">
        <v>133.4</v>
      </c>
      <c r="U19">
        <v>121.2</v>
      </c>
      <c r="V19">
        <v>132.30000000000001</v>
      </c>
      <c r="W19">
        <v>139.6</v>
      </c>
      <c r="X19">
        <v>126.7</v>
      </c>
      <c r="Y19">
        <v>130.30000000000001</v>
      </c>
      <c r="Z19">
        <v>137.6</v>
      </c>
      <c r="AA19" s="1">
        <f>SUM(Table1[[#This Row],[Cereals and products]:[Food and beverages]])/13</f>
        <v>137.25384615384615</v>
      </c>
      <c r="AB19" s="1">
        <f>SUM(Table1[[#This Row],[Fuel and light]])</f>
        <v>137.4</v>
      </c>
      <c r="AC19" s="1">
        <f>SUM(Table1[[#This Row],[Transport and communication]])</f>
        <v>121.2</v>
      </c>
      <c r="AD19" s="1">
        <f>SUM(Table1[[#This Row],[Housing]],Table1[[#This Row],[Household goods and services]])/2</f>
        <v>136.80000000000001</v>
      </c>
      <c r="AE19" s="1">
        <f>SUM(Table1[[#This Row],[Health]])</f>
        <v>133.4</v>
      </c>
      <c r="AF19" s="1">
        <f>SUM(Table1[[#This Row],[Recreation and amusement]],Table1[[#This Row],[Education]])/2</f>
        <v>135.94999999999999</v>
      </c>
      <c r="AG19" s="1">
        <f>SUM(Table1[[#This Row],[Miscellaneous]],Table1[[#This Row],[Personal care and effects]])/2</f>
        <v>128.5</v>
      </c>
    </row>
    <row r="20" spans="1:33" hidden="1" x14ac:dyDescent="0.3">
      <c r="A20" t="s">
        <v>36</v>
      </c>
      <c r="B20">
        <v>2016</v>
      </c>
      <c r="C20" t="s">
        <v>34</v>
      </c>
      <c r="D20">
        <v>128.1</v>
      </c>
      <c r="E20">
        <v>137.69999999999999</v>
      </c>
      <c r="F20">
        <v>130.6</v>
      </c>
      <c r="G20">
        <v>132.6</v>
      </c>
      <c r="H20">
        <v>111.9</v>
      </c>
      <c r="I20">
        <v>132.5</v>
      </c>
      <c r="J20">
        <v>152.9</v>
      </c>
      <c r="K20">
        <v>173.6</v>
      </c>
      <c r="L20">
        <v>115.1</v>
      </c>
      <c r="M20">
        <v>144.80000000000001</v>
      </c>
      <c r="N20">
        <v>122.1</v>
      </c>
      <c r="O20">
        <v>138.80000000000001</v>
      </c>
      <c r="P20">
        <v>135.69999999999999</v>
      </c>
      <c r="Q20">
        <v>127.9</v>
      </c>
      <c r="R20">
        <v>114.8</v>
      </c>
      <c r="S20">
        <v>124.3</v>
      </c>
      <c r="T20">
        <v>121.4</v>
      </c>
      <c r="U20">
        <v>111.8</v>
      </c>
      <c r="V20">
        <v>120.8</v>
      </c>
      <c r="W20">
        <v>131.6</v>
      </c>
      <c r="X20">
        <v>121.2</v>
      </c>
      <c r="Y20">
        <v>120.5</v>
      </c>
      <c r="Z20">
        <v>128</v>
      </c>
      <c r="AA20" s="1">
        <f>SUM(Table1[[#This Row],[Cereals and products]:[Food and beverages]])/13</f>
        <v>135.10769230769228</v>
      </c>
      <c r="AB20" s="1">
        <f>SUM(Table1[[#This Row],[Fuel and light]])</f>
        <v>114.8</v>
      </c>
      <c r="AC20" s="1">
        <f>SUM(Table1[[#This Row],[Transport and communication]])</f>
        <v>111.8</v>
      </c>
      <c r="AD20" s="1">
        <f>SUM(Table1[[#This Row],[Housing]],Table1[[#This Row],[Household goods and services]])/2</f>
        <v>126.1</v>
      </c>
      <c r="AE20" s="1">
        <f>SUM(Table1[[#This Row],[Health]])</f>
        <v>121.4</v>
      </c>
      <c r="AF20" s="1">
        <f>SUM(Table1[[#This Row],[Recreation and amusement]],Table1[[#This Row],[Education]])/2</f>
        <v>126.19999999999999</v>
      </c>
      <c r="AG20" s="1">
        <f>SUM(Table1[[#This Row],[Miscellaneous]],Table1[[#This Row],[Personal care and effects]])/2</f>
        <v>120.85</v>
      </c>
    </row>
    <row r="21" spans="1:33" hidden="1" x14ac:dyDescent="0.3">
      <c r="A21" t="s">
        <v>35</v>
      </c>
      <c r="B21">
        <v>2016</v>
      </c>
      <c r="C21" t="s">
        <v>34</v>
      </c>
      <c r="D21">
        <v>129.9</v>
      </c>
      <c r="E21">
        <v>138</v>
      </c>
      <c r="F21">
        <v>130.5</v>
      </c>
      <c r="G21">
        <v>134.4</v>
      </c>
      <c r="H21">
        <v>117.2</v>
      </c>
      <c r="I21">
        <v>136.1</v>
      </c>
      <c r="J21">
        <v>150.69999999999999</v>
      </c>
      <c r="K21">
        <v>171.5</v>
      </c>
      <c r="L21">
        <v>113.8</v>
      </c>
      <c r="M21">
        <v>138.80000000000001</v>
      </c>
      <c r="N21">
        <v>126</v>
      </c>
      <c r="O21">
        <v>140.19999999999999</v>
      </c>
      <c r="P21">
        <v>136.6</v>
      </c>
      <c r="Q21">
        <v>127.9</v>
      </c>
      <c r="R21">
        <v>124.1</v>
      </c>
      <c r="S21">
        <v>127.9</v>
      </c>
      <c r="T21">
        <v>125.4</v>
      </c>
      <c r="U21">
        <v>114.3</v>
      </c>
      <c r="V21">
        <v>122.9</v>
      </c>
      <c r="W21">
        <v>131.80000000000001</v>
      </c>
      <c r="X21">
        <v>122.1</v>
      </c>
      <c r="Y21">
        <v>122.8</v>
      </c>
      <c r="Z21">
        <v>130.9</v>
      </c>
      <c r="AA21" s="1">
        <f>SUM(Table1[[#This Row],[Cereals and products]:[Food and beverages]])/13</f>
        <v>135.66923076923075</v>
      </c>
      <c r="AB21" s="1">
        <f>SUM(Table1[[#This Row],[Fuel and light]])</f>
        <v>124.1</v>
      </c>
      <c r="AC21" s="1">
        <f>SUM(Table1[[#This Row],[Transport and communication]])</f>
        <v>114.3</v>
      </c>
      <c r="AD21" s="1">
        <f>SUM(Table1[[#This Row],[Housing]],Table1[[#This Row],[Household goods and services]])/2</f>
        <v>127.9</v>
      </c>
      <c r="AE21" s="1">
        <f>SUM(Table1[[#This Row],[Health]])</f>
        <v>125.4</v>
      </c>
      <c r="AF21" s="1">
        <f>SUM(Table1[[#This Row],[Recreation and amusement]],Table1[[#This Row],[Education]])/2</f>
        <v>127.35000000000001</v>
      </c>
      <c r="AG21" s="1">
        <f>SUM(Table1[[#This Row],[Miscellaneous]],Table1[[#This Row],[Personal care and effects]])/2</f>
        <v>122.44999999999999</v>
      </c>
    </row>
    <row r="22" spans="1:33" hidden="1" x14ac:dyDescent="0.3">
      <c r="A22" t="s">
        <v>33</v>
      </c>
      <c r="B22">
        <v>2016</v>
      </c>
      <c r="C22" t="s">
        <v>34</v>
      </c>
      <c r="D22">
        <v>130.80000000000001</v>
      </c>
      <c r="E22">
        <v>138.19999999999999</v>
      </c>
      <c r="F22">
        <v>130.5</v>
      </c>
      <c r="G22">
        <v>135.5</v>
      </c>
      <c r="H22">
        <v>120.2</v>
      </c>
      <c r="I22">
        <v>139.19999999999999</v>
      </c>
      <c r="J22">
        <v>149.5</v>
      </c>
      <c r="K22">
        <v>170.4</v>
      </c>
      <c r="L22">
        <v>113.1</v>
      </c>
      <c r="M22">
        <v>135.80000000000001</v>
      </c>
      <c r="N22">
        <v>128.80000000000001</v>
      </c>
      <c r="O22">
        <v>141.5</v>
      </c>
      <c r="P22">
        <v>137.19999999999999</v>
      </c>
      <c r="Q22">
        <v>127.9</v>
      </c>
      <c r="R22">
        <v>129.69999999999999</v>
      </c>
      <c r="S22">
        <v>131.1</v>
      </c>
      <c r="T22">
        <v>127.8</v>
      </c>
      <c r="U22">
        <v>117</v>
      </c>
      <c r="V22">
        <v>125.7</v>
      </c>
      <c r="W22">
        <v>132.19999999999999</v>
      </c>
      <c r="X22">
        <v>122.8</v>
      </c>
      <c r="Y22">
        <v>124.9</v>
      </c>
      <c r="Z22">
        <v>133.4</v>
      </c>
      <c r="AA22" s="1">
        <f>SUM(Table1[[#This Row],[Cereals and products]:[Food and beverages]])/13</f>
        <v>136.2076923076923</v>
      </c>
      <c r="AB22" s="1">
        <f>SUM(Table1[[#This Row],[Fuel and light]])</f>
        <v>129.69999999999999</v>
      </c>
      <c r="AC22" s="1">
        <f>SUM(Table1[[#This Row],[Transport and communication]])</f>
        <v>117</v>
      </c>
      <c r="AD22" s="1">
        <f>SUM(Table1[[#This Row],[Housing]],Table1[[#This Row],[Household goods and services]])/2</f>
        <v>129.5</v>
      </c>
      <c r="AE22" s="1">
        <f>SUM(Table1[[#This Row],[Health]])</f>
        <v>127.8</v>
      </c>
      <c r="AF22" s="1">
        <f>SUM(Table1[[#This Row],[Recreation and amusement]],Table1[[#This Row],[Education]])/2</f>
        <v>128.94999999999999</v>
      </c>
      <c r="AG22" s="1">
        <f>SUM(Table1[[#This Row],[Miscellaneous]],Table1[[#This Row],[Personal care and effects]])/2</f>
        <v>123.85</v>
      </c>
    </row>
    <row r="23" spans="1:33" hidden="1" x14ac:dyDescent="0.3">
      <c r="A23" t="s">
        <v>36</v>
      </c>
      <c r="B23">
        <v>2015</v>
      </c>
      <c r="C23" t="s">
        <v>34</v>
      </c>
      <c r="D23">
        <v>123.4</v>
      </c>
      <c r="E23">
        <v>129</v>
      </c>
      <c r="F23">
        <v>115.6</v>
      </c>
      <c r="G23">
        <v>128.30000000000001</v>
      </c>
      <c r="H23">
        <v>107</v>
      </c>
      <c r="I23">
        <v>124</v>
      </c>
      <c r="J23">
        <v>168.5</v>
      </c>
      <c r="K23">
        <v>165.4</v>
      </c>
      <c r="L23">
        <v>86.3</v>
      </c>
      <c r="M23">
        <v>134.4</v>
      </c>
      <c r="N23">
        <v>119.1</v>
      </c>
      <c r="O23">
        <v>132.30000000000001</v>
      </c>
      <c r="P23">
        <v>131.5</v>
      </c>
      <c r="Q23">
        <v>121.6</v>
      </c>
      <c r="R23">
        <v>115.1</v>
      </c>
      <c r="S23">
        <v>120.4</v>
      </c>
      <c r="T23">
        <v>117.1</v>
      </c>
      <c r="U23">
        <v>109.1</v>
      </c>
      <c r="V23">
        <v>117.3</v>
      </c>
      <c r="W23">
        <v>126.5</v>
      </c>
      <c r="X23">
        <v>112.9</v>
      </c>
      <c r="Y23">
        <v>116.2</v>
      </c>
      <c r="Z23">
        <v>123.5</v>
      </c>
      <c r="AA23" s="1">
        <f>SUM(Table1[[#This Row],[Cereals and products]:[Food and beverages]])/13</f>
        <v>128.06153846153845</v>
      </c>
      <c r="AB23" s="1">
        <f>SUM(Table1[[#This Row],[Fuel and light]])</f>
        <v>115.1</v>
      </c>
      <c r="AC23" s="1">
        <f>SUM(Table1[[#This Row],[Transport and communication]])</f>
        <v>109.1</v>
      </c>
      <c r="AD23" s="1">
        <f>SUM(Table1[[#This Row],[Housing]],Table1[[#This Row],[Household goods and services]])/2</f>
        <v>121</v>
      </c>
      <c r="AE23" s="1">
        <f>SUM(Table1[[#This Row],[Health]])</f>
        <v>117.1</v>
      </c>
      <c r="AF23" s="1">
        <f>SUM(Table1[[#This Row],[Recreation and amusement]],Table1[[#This Row],[Education]])/2</f>
        <v>121.9</v>
      </c>
      <c r="AG23" s="1">
        <f>SUM(Table1[[#This Row],[Miscellaneous]],Table1[[#This Row],[Personal care and effects]])/2</f>
        <v>114.55000000000001</v>
      </c>
    </row>
    <row r="24" spans="1:33" hidden="1" x14ac:dyDescent="0.3">
      <c r="A24" t="s">
        <v>35</v>
      </c>
      <c r="B24">
        <v>2015</v>
      </c>
      <c r="C24" t="s">
        <v>34</v>
      </c>
      <c r="D24">
        <v>124.6</v>
      </c>
      <c r="E24">
        <v>130.4</v>
      </c>
      <c r="F24">
        <v>118.7</v>
      </c>
      <c r="G24">
        <v>128.9</v>
      </c>
      <c r="H24">
        <v>111.9</v>
      </c>
      <c r="I24">
        <v>128.4</v>
      </c>
      <c r="J24">
        <v>162.19999999999999</v>
      </c>
      <c r="K24">
        <v>150</v>
      </c>
      <c r="L24">
        <v>90.4</v>
      </c>
      <c r="M24">
        <v>128.4</v>
      </c>
      <c r="N24">
        <v>120.7</v>
      </c>
      <c r="O24">
        <v>132.5</v>
      </c>
      <c r="P24">
        <v>131.19999999999999</v>
      </c>
      <c r="Q24">
        <v>121.6</v>
      </c>
      <c r="R24">
        <v>120.4</v>
      </c>
      <c r="S24">
        <v>122.6</v>
      </c>
      <c r="T24">
        <v>119.8</v>
      </c>
      <c r="U24">
        <v>111.3</v>
      </c>
      <c r="V24">
        <v>118.3</v>
      </c>
      <c r="W24">
        <v>125.7</v>
      </c>
      <c r="X24">
        <v>113.4</v>
      </c>
      <c r="Y24">
        <v>117.5</v>
      </c>
      <c r="Z24">
        <v>125.4</v>
      </c>
      <c r="AA24" s="1">
        <f>SUM(Table1[[#This Row],[Cereals and products]:[Food and beverages]])/13</f>
        <v>127.56153846153848</v>
      </c>
      <c r="AB24" s="1">
        <f>SUM(Table1[[#This Row],[Fuel and light]])</f>
        <v>120.4</v>
      </c>
      <c r="AC24" s="1">
        <f>SUM(Table1[[#This Row],[Transport and communication]])</f>
        <v>111.3</v>
      </c>
      <c r="AD24" s="1">
        <f>SUM(Table1[[#This Row],[Housing]],Table1[[#This Row],[Household goods and services]])/2</f>
        <v>122.1</v>
      </c>
      <c r="AE24" s="1">
        <f>SUM(Table1[[#This Row],[Health]])</f>
        <v>119.8</v>
      </c>
      <c r="AF24" s="1">
        <f>SUM(Table1[[#This Row],[Recreation and amusement]],Table1[[#This Row],[Education]])/2</f>
        <v>122</v>
      </c>
      <c r="AG24" s="1">
        <f>SUM(Table1[[#This Row],[Miscellaneous]],Table1[[#This Row],[Personal care and effects]])/2</f>
        <v>115.45</v>
      </c>
    </row>
    <row r="25" spans="1:33" hidden="1" x14ac:dyDescent="0.3">
      <c r="A25" t="s">
        <v>33</v>
      </c>
      <c r="B25">
        <v>2015</v>
      </c>
      <c r="C25" t="s">
        <v>34</v>
      </c>
      <c r="D25">
        <v>125.1</v>
      </c>
      <c r="E25">
        <v>131.1</v>
      </c>
      <c r="F25">
        <v>120.7</v>
      </c>
      <c r="G25">
        <v>129.19999999999999</v>
      </c>
      <c r="H25">
        <v>114.7</v>
      </c>
      <c r="I25">
        <v>132.30000000000001</v>
      </c>
      <c r="J25">
        <v>158.9</v>
      </c>
      <c r="K25">
        <v>142.1</v>
      </c>
      <c r="L25">
        <v>92.5</v>
      </c>
      <c r="M25">
        <v>125.4</v>
      </c>
      <c r="N25">
        <v>121.9</v>
      </c>
      <c r="O25">
        <v>132.69999999999999</v>
      </c>
      <c r="P25">
        <v>131</v>
      </c>
      <c r="Q25">
        <v>121.6</v>
      </c>
      <c r="R25">
        <v>123.7</v>
      </c>
      <c r="S25">
        <v>124.5</v>
      </c>
      <c r="T25">
        <v>121.4</v>
      </c>
      <c r="U25">
        <v>113.8</v>
      </c>
      <c r="V25">
        <v>119.6</v>
      </c>
      <c r="W25">
        <v>124.5</v>
      </c>
      <c r="X25">
        <v>113.7</v>
      </c>
      <c r="Y25">
        <v>118.8</v>
      </c>
      <c r="Z25">
        <v>127</v>
      </c>
      <c r="AA25" s="1">
        <f>SUM(Table1[[#This Row],[Cereals and products]:[Food and beverages]])/13</f>
        <v>127.50769230769232</v>
      </c>
      <c r="AB25" s="1">
        <f>SUM(Table1[[#This Row],[Fuel and light]])</f>
        <v>123.7</v>
      </c>
      <c r="AC25" s="1">
        <f>SUM(Table1[[#This Row],[Transport and communication]])</f>
        <v>113.8</v>
      </c>
      <c r="AD25" s="1">
        <f>SUM(Table1[[#This Row],[Housing]],Table1[[#This Row],[Household goods and services]])/2</f>
        <v>123.05</v>
      </c>
      <c r="AE25" s="1">
        <f>SUM(Table1[[#This Row],[Health]])</f>
        <v>121.4</v>
      </c>
      <c r="AF25" s="1">
        <f>SUM(Table1[[#This Row],[Recreation and amusement]],Table1[[#This Row],[Education]])/2</f>
        <v>122.05</v>
      </c>
      <c r="AG25" s="1">
        <f>SUM(Table1[[#This Row],[Miscellaneous]],Table1[[#This Row],[Personal care and effects]])/2</f>
        <v>116.25</v>
      </c>
    </row>
    <row r="26" spans="1:33" hidden="1" x14ac:dyDescent="0.3">
      <c r="A26" t="s">
        <v>33</v>
      </c>
      <c r="B26">
        <v>2014</v>
      </c>
      <c r="C26" t="s">
        <v>34</v>
      </c>
      <c r="D26">
        <v>122.3</v>
      </c>
      <c r="E26">
        <v>122.4</v>
      </c>
      <c r="F26">
        <v>117.8</v>
      </c>
      <c r="G26">
        <v>122.7</v>
      </c>
      <c r="H26">
        <v>110.4</v>
      </c>
      <c r="I26">
        <v>129.80000000000001</v>
      </c>
      <c r="J26">
        <v>158.80000000000001</v>
      </c>
      <c r="K26">
        <v>115</v>
      </c>
      <c r="L26">
        <v>104.7</v>
      </c>
      <c r="M26">
        <v>114.9</v>
      </c>
      <c r="N26">
        <v>116.5</v>
      </c>
      <c r="O26">
        <v>122.6</v>
      </c>
      <c r="P26">
        <v>125.3</v>
      </c>
      <c r="Q26">
        <v>109.7</v>
      </c>
      <c r="R26">
        <v>115.8</v>
      </c>
      <c r="S26">
        <v>116.7</v>
      </c>
      <c r="T26">
        <v>114.5</v>
      </c>
      <c r="U26">
        <v>112.8</v>
      </c>
      <c r="V26">
        <v>112.6</v>
      </c>
      <c r="W26">
        <v>116.6</v>
      </c>
      <c r="X26">
        <v>109.1</v>
      </c>
      <c r="Y26">
        <v>113.7</v>
      </c>
      <c r="Z26">
        <v>120.9</v>
      </c>
      <c r="AA26" s="1">
        <f>SUM(Table1[[#This Row],[Cereals and products]:[Food and beverages]])/13</f>
        <v>121.78461538461539</v>
      </c>
      <c r="AB26" s="1">
        <f>SUM(Table1[[#This Row],[Fuel and light]])</f>
        <v>115.8</v>
      </c>
      <c r="AC26" s="1">
        <f>SUM(Table1[[#This Row],[Transport and communication]])</f>
        <v>112.8</v>
      </c>
      <c r="AD26" s="1">
        <f>SUM(Table1[[#This Row],[Housing]],Table1[[#This Row],[Household goods and services]])/2</f>
        <v>113.2</v>
      </c>
      <c r="AE26" s="1">
        <f>SUM(Table1[[#This Row],[Health]])</f>
        <v>114.5</v>
      </c>
      <c r="AF26" s="1">
        <f>SUM(Table1[[#This Row],[Recreation and amusement]],Table1[[#This Row],[Education]])/2</f>
        <v>114.6</v>
      </c>
      <c r="AG26" s="1">
        <f>SUM(Table1[[#This Row],[Miscellaneous]],Table1[[#This Row],[Personal care and effects]])/2</f>
        <v>111.4</v>
      </c>
    </row>
    <row r="27" spans="1:33" hidden="1" x14ac:dyDescent="0.3">
      <c r="A27" t="s">
        <v>35</v>
      </c>
      <c r="B27">
        <v>2014</v>
      </c>
      <c r="C27" t="s">
        <v>34</v>
      </c>
      <c r="D27">
        <v>122.9</v>
      </c>
      <c r="E27">
        <v>123.5</v>
      </c>
      <c r="F27">
        <v>117.3</v>
      </c>
      <c r="G27">
        <v>122.7</v>
      </c>
      <c r="H27">
        <v>107.9</v>
      </c>
      <c r="I27">
        <v>127.3</v>
      </c>
      <c r="J27">
        <v>162.1</v>
      </c>
      <c r="K27">
        <v>115.6</v>
      </c>
      <c r="L27">
        <v>103.8</v>
      </c>
      <c r="M27">
        <v>117.6</v>
      </c>
      <c r="N27">
        <v>115.8</v>
      </c>
      <c r="O27">
        <v>123.8</v>
      </c>
      <c r="P27">
        <v>125.8</v>
      </c>
      <c r="Q27">
        <v>116.1</v>
      </c>
      <c r="R27">
        <v>114.3</v>
      </c>
      <c r="S27">
        <v>116.1</v>
      </c>
      <c r="T27">
        <v>113.7</v>
      </c>
      <c r="U27">
        <v>112</v>
      </c>
      <c r="V27">
        <v>113.1</v>
      </c>
      <c r="W27">
        <v>118.6</v>
      </c>
      <c r="X27">
        <v>109.5</v>
      </c>
      <c r="Y27">
        <v>113.7</v>
      </c>
      <c r="Z27">
        <v>120.1</v>
      </c>
      <c r="AA27" s="1">
        <f>SUM(Table1[[#This Row],[Cereals and products]:[Food and beverages]])/13</f>
        <v>122.00769230769228</v>
      </c>
      <c r="AB27" s="1">
        <f>SUM(Table1[[#This Row],[Fuel and light]])</f>
        <v>114.3</v>
      </c>
      <c r="AC27" s="1">
        <f>SUM(Table1[[#This Row],[Transport and communication]])</f>
        <v>112</v>
      </c>
      <c r="AD27" s="1">
        <f>SUM(Table1[[#This Row],[Housing]],Table1[[#This Row],[Household goods and services]])/2</f>
        <v>116.1</v>
      </c>
      <c r="AE27" s="1">
        <f>SUM(Table1[[#This Row],[Health]])</f>
        <v>113.7</v>
      </c>
      <c r="AF27" s="1">
        <f>SUM(Table1[[#This Row],[Recreation and amusement]],Table1[[#This Row],[Education]])/2</f>
        <v>115.85</v>
      </c>
      <c r="AG27" s="1">
        <f>SUM(Table1[[#This Row],[Miscellaneous]],Table1[[#This Row],[Personal care and effects]])/2</f>
        <v>111.6</v>
      </c>
    </row>
    <row r="28" spans="1:33" hidden="1" x14ac:dyDescent="0.3">
      <c r="A28" t="s">
        <v>36</v>
      </c>
      <c r="B28">
        <v>2014</v>
      </c>
      <c r="C28" t="s">
        <v>34</v>
      </c>
      <c r="D28">
        <v>124.2</v>
      </c>
      <c r="E28">
        <v>125.4</v>
      </c>
      <c r="F28">
        <v>116.4</v>
      </c>
      <c r="G28">
        <v>122.7</v>
      </c>
      <c r="H28">
        <v>103.5</v>
      </c>
      <c r="I28">
        <v>124.5</v>
      </c>
      <c r="J28">
        <v>168.6</v>
      </c>
      <c r="K28">
        <v>116.9</v>
      </c>
      <c r="L28">
        <v>101.9</v>
      </c>
      <c r="M28">
        <v>122.9</v>
      </c>
      <c r="N28">
        <v>114.8</v>
      </c>
      <c r="O28">
        <v>125.2</v>
      </c>
      <c r="P28">
        <v>126.7</v>
      </c>
      <c r="Q28">
        <v>116.1</v>
      </c>
      <c r="R28">
        <v>111.8</v>
      </c>
      <c r="S28">
        <v>115.5</v>
      </c>
      <c r="T28">
        <v>112.3</v>
      </c>
      <c r="U28">
        <v>111.2</v>
      </c>
      <c r="V28">
        <v>113.4</v>
      </c>
      <c r="W28">
        <v>120</v>
      </c>
      <c r="X28">
        <v>110</v>
      </c>
      <c r="Y28">
        <v>113.6</v>
      </c>
      <c r="Z28">
        <v>119.2</v>
      </c>
      <c r="AA28" s="1">
        <f>SUM(Table1[[#This Row],[Cereals and products]:[Food and beverages]])/13</f>
        <v>122.59230769230771</v>
      </c>
      <c r="AB28" s="1">
        <f>SUM(Table1[[#This Row],[Fuel and light]])</f>
        <v>111.8</v>
      </c>
      <c r="AC28" s="1">
        <f>SUM(Table1[[#This Row],[Transport and communication]])</f>
        <v>111.2</v>
      </c>
      <c r="AD28" s="1">
        <f>SUM(Table1[[#This Row],[Housing]],Table1[[#This Row],[Household goods and services]])/2</f>
        <v>115.8</v>
      </c>
      <c r="AE28" s="1">
        <f>SUM(Table1[[#This Row],[Health]])</f>
        <v>112.3</v>
      </c>
      <c r="AF28" s="1">
        <f>SUM(Table1[[#This Row],[Recreation and amusement]],Table1[[#This Row],[Education]])/2</f>
        <v>116.7</v>
      </c>
      <c r="AG28" s="1">
        <f>SUM(Table1[[#This Row],[Miscellaneous]],Table1[[#This Row],[Personal care and effects]])/2</f>
        <v>111.8</v>
      </c>
    </row>
    <row r="29" spans="1:33" hidden="1" x14ac:dyDescent="0.3">
      <c r="A29" t="s">
        <v>33</v>
      </c>
      <c r="B29">
        <v>2013</v>
      </c>
      <c r="C29" t="s">
        <v>34</v>
      </c>
      <c r="D29">
        <v>115.4</v>
      </c>
      <c r="E29">
        <v>115.7</v>
      </c>
      <c r="F29">
        <v>111.7</v>
      </c>
      <c r="G29">
        <v>111</v>
      </c>
      <c r="H29">
        <v>107.4</v>
      </c>
      <c r="I29">
        <v>110.9</v>
      </c>
      <c r="J29">
        <v>154</v>
      </c>
      <c r="K29">
        <v>108.1</v>
      </c>
      <c r="L29">
        <v>104.2</v>
      </c>
      <c r="M29">
        <v>107.9</v>
      </c>
      <c r="N29">
        <v>110.4</v>
      </c>
      <c r="O29">
        <v>114</v>
      </c>
      <c r="P29">
        <v>117.8</v>
      </c>
      <c r="Q29">
        <v>109.7</v>
      </c>
      <c r="R29">
        <v>111.1</v>
      </c>
      <c r="S29">
        <v>109.6</v>
      </c>
      <c r="T29">
        <v>108.3</v>
      </c>
      <c r="U29">
        <v>109.3</v>
      </c>
      <c r="V29">
        <v>107.7</v>
      </c>
      <c r="W29">
        <v>109.8</v>
      </c>
      <c r="X29">
        <v>106.7</v>
      </c>
      <c r="Y29">
        <v>108.7</v>
      </c>
      <c r="Z29">
        <v>114.2</v>
      </c>
      <c r="AA29" s="1">
        <f>SUM(Table1[[#This Row],[Cereals and products]:[Food and beverages]])/13</f>
        <v>114.50000000000001</v>
      </c>
      <c r="AB29" s="1">
        <f>SUM(Table1[[#This Row],[Fuel and light]])</f>
        <v>111.1</v>
      </c>
      <c r="AC29" s="1">
        <f>SUM(Table1[[#This Row],[Transport and communication]])</f>
        <v>109.3</v>
      </c>
      <c r="AD29" s="1">
        <f>SUM(Table1[[#This Row],[Housing]],Table1[[#This Row],[Household goods and services]])/2</f>
        <v>109.65</v>
      </c>
      <c r="AE29" s="1">
        <f>SUM(Table1[[#This Row],[Health]])</f>
        <v>108.3</v>
      </c>
      <c r="AF29" s="1">
        <f>SUM(Table1[[#This Row],[Recreation and amusement]],Table1[[#This Row],[Education]])/2</f>
        <v>108.75</v>
      </c>
      <c r="AG29" s="1">
        <f>SUM(Table1[[#This Row],[Miscellaneous]],Table1[[#This Row],[Personal care and effects]])/2</f>
        <v>107.7</v>
      </c>
    </row>
    <row r="30" spans="1:33" hidden="1" x14ac:dyDescent="0.3">
      <c r="A30" t="s">
        <v>35</v>
      </c>
      <c r="B30">
        <v>2013</v>
      </c>
      <c r="C30" t="s">
        <v>34</v>
      </c>
      <c r="D30">
        <v>116.4</v>
      </c>
      <c r="E30">
        <v>116.9</v>
      </c>
      <c r="F30">
        <v>112.3</v>
      </c>
      <c r="G30">
        <v>110.5</v>
      </c>
      <c r="H30">
        <v>105.3</v>
      </c>
      <c r="I30">
        <v>107.3</v>
      </c>
      <c r="J30">
        <v>160.9</v>
      </c>
      <c r="K30">
        <v>107.1</v>
      </c>
      <c r="L30">
        <v>103.1</v>
      </c>
      <c r="M30">
        <v>108.3</v>
      </c>
      <c r="N30">
        <v>110.7</v>
      </c>
      <c r="O30">
        <v>114.6</v>
      </c>
      <c r="P30">
        <v>118.3</v>
      </c>
      <c r="Q30">
        <v>109.7</v>
      </c>
      <c r="R30">
        <v>110.5</v>
      </c>
      <c r="S30">
        <v>109.6</v>
      </c>
      <c r="T30">
        <v>108.1</v>
      </c>
      <c r="U30">
        <v>109.9</v>
      </c>
      <c r="V30">
        <v>107.5</v>
      </c>
      <c r="W30">
        <v>110.6</v>
      </c>
      <c r="X30">
        <v>106.8</v>
      </c>
      <c r="Y30">
        <v>109</v>
      </c>
      <c r="Z30">
        <v>113.7</v>
      </c>
      <c r="AA30" s="1">
        <f>SUM(Table1[[#This Row],[Cereals and products]:[Food and beverages]])/13</f>
        <v>114.74615384615383</v>
      </c>
      <c r="AB30" s="1">
        <f>SUM(Table1[[#This Row],[Fuel and light]])</f>
        <v>110.5</v>
      </c>
      <c r="AC30" s="1">
        <f>SUM(Table1[[#This Row],[Transport and communication]])</f>
        <v>109.9</v>
      </c>
      <c r="AD30" s="1">
        <f>SUM(Table1[[#This Row],[Housing]],Table1[[#This Row],[Household goods and services]])/2</f>
        <v>109.65</v>
      </c>
      <c r="AE30" s="1">
        <f>SUM(Table1[[#This Row],[Health]])</f>
        <v>108.1</v>
      </c>
      <c r="AF30" s="1">
        <f>SUM(Table1[[#This Row],[Recreation and amusement]],Table1[[#This Row],[Education]])/2</f>
        <v>109.05</v>
      </c>
      <c r="AG30" s="1">
        <f>SUM(Table1[[#This Row],[Miscellaneous]],Table1[[#This Row],[Personal care and effects]])/2</f>
        <v>107.9</v>
      </c>
    </row>
    <row r="31" spans="1:33" hidden="1" x14ac:dyDescent="0.3">
      <c r="A31" t="s">
        <v>36</v>
      </c>
      <c r="B31">
        <v>2013</v>
      </c>
      <c r="C31" t="s">
        <v>34</v>
      </c>
      <c r="D31">
        <v>118.6</v>
      </c>
      <c r="E31">
        <v>119.1</v>
      </c>
      <c r="F31">
        <v>113.2</v>
      </c>
      <c r="G31">
        <v>109.6</v>
      </c>
      <c r="H31">
        <v>101.7</v>
      </c>
      <c r="I31">
        <v>103.2</v>
      </c>
      <c r="J31">
        <v>174.3</v>
      </c>
      <c r="K31">
        <v>105.1</v>
      </c>
      <c r="L31">
        <v>100.8</v>
      </c>
      <c r="M31">
        <v>109.1</v>
      </c>
      <c r="N31">
        <v>111.1</v>
      </c>
      <c r="O31">
        <v>115.4</v>
      </c>
      <c r="P31">
        <v>119.2</v>
      </c>
      <c r="Q31">
        <v>109.7</v>
      </c>
      <c r="R31">
        <v>109.5</v>
      </c>
      <c r="S31">
        <v>109.6</v>
      </c>
      <c r="T31">
        <v>107.9</v>
      </c>
      <c r="U31">
        <v>110.4</v>
      </c>
      <c r="V31">
        <v>107.4</v>
      </c>
      <c r="W31">
        <v>111.2</v>
      </c>
      <c r="X31">
        <v>106.9</v>
      </c>
      <c r="Y31">
        <v>109.4</v>
      </c>
      <c r="Z31">
        <v>113.2</v>
      </c>
      <c r="AA31" s="1">
        <f>SUM(Table1[[#This Row],[Cereals and products]:[Food and beverages]])/13</f>
        <v>115.41538461538462</v>
      </c>
      <c r="AB31" s="1">
        <f>SUM(Table1[[#This Row],[Fuel and light]])</f>
        <v>109.5</v>
      </c>
      <c r="AC31" s="1">
        <f>SUM(Table1[[#This Row],[Transport and communication]])</f>
        <v>110.4</v>
      </c>
      <c r="AD31" s="1">
        <f>SUM(Table1[[#This Row],[Housing]],Table1[[#This Row],[Household goods and services]])/2</f>
        <v>109.65</v>
      </c>
      <c r="AE31" s="1">
        <f>SUM(Table1[[#This Row],[Health]])</f>
        <v>107.9</v>
      </c>
      <c r="AF31" s="1">
        <f>SUM(Table1[[#This Row],[Recreation and amusement]],Table1[[#This Row],[Education]])/2</f>
        <v>109.30000000000001</v>
      </c>
      <c r="AG31" s="1">
        <f>SUM(Table1[[#This Row],[Miscellaneous]],Table1[[#This Row],[Personal care and effects]])/2</f>
        <v>108.15</v>
      </c>
    </row>
    <row r="32" spans="1:33" hidden="1" x14ac:dyDescent="0.3">
      <c r="A32" t="s">
        <v>33</v>
      </c>
      <c r="B32">
        <v>2022</v>
      </c>
      <c r="C32" t="s">
        <v>40</v>
      </c>
      <c r="D32">
        <v>164.7</v>
      </c>
      <c r="E32">
        <v>208.8</v>
      </c>
      <c r="F32">
        <v>170.3</v>
      </c>
      <c r="G32">
        <v>170.9</v>
      </c>
      <c r="H32">
        <v>191.6</v>
      </c>
      <c r="I32">
        <v>162.19999999999999</v>
      </c>
      <c r="J32">
        <v>184.8</v>
      </c>
      <c r="K32">
        <v>169.7</v>
      </c>
      <c r="L32">
        <v>121.1</v>
      </c>
      <c r="M32">
        <v>201.6</v>
      </c>
      <c r="N32">
        <v>175.8</v>
      </c>
      <c r="O32">
        <v>185.6</v>
      </c>
      <c r="P32">
        <v>177.4</v>
      </c>
      <c r="Q32">
        <v>163.6</v>
      </c>
      <c r="R32">
        <v>180.8</v>
      </c>
      <c r="S32">
        <v>174.4</v>
      </c>
      <c r="T32">
        <v>181.2</v>
      </c>
      <c r="U32">
        <v>167.4</v>
      </c>
      <c r="V32">
        <v>170.6</v>
      </c>
      <c r="W32">
        <v>176.5</v>
      </c>
      <c r="X32">
        <v>172</v>
      </c>
      <c r="Y32">
        <v>173.9</v>
      </c>
      <c r="Z32">
        <v>177.9</v>
      </c>
      <c r="AA32" s="1">
        <f>SUM(Table1[[#This Row],[Cereals and products]:[Food and beverages]])/13</f>
        <v>175.73076923076923</v>
      </c>
      <c r="AB32" s="1">
        <f>SUM(Table1[[#This Row],[Fuel and light]])</f>
        <v>180.8</v>
      </c>
      <c r="AC32" s="1">
        <f>SUM(Table1[[#This Row],[Transport and communication]])</f>
        <v>167.4</v>
      </c>
      <c r="AD32" s="1">
        <f>SUM(Table1[[#This Row],[Housing]],Table1[[#This Row],[Household goods and services]])/2</f>
        <v>169</v>
      </c>
      <c r="AE32" s="1">
        <f>SUM(Table1[[#This Row],[Health]])</f>
        <v>181.2</v>
      </c>
      <c r="AF32" s="1">
        <f>SUM(Table1[[#This Row],[Recreation and amusement]],Table1[[#This Row],[Education]])/2</f>
        <v>173.55</v>
      </c>
      <c r="AG32" s="1">
        <f>SUM(Table1[[#This Row],[Miscellaneous]],Table1[[#This Row],[Personal care and effects]])/2</f>
        <v>172.95</v>
      </c>
    </row>
    <row r="33" spans="1:33" hidden="1" x14ac:dyDescent="0.3">
      <c r="A33" t="s">
        <v>35</v>
      </c>
      <c r="B33">
        <v>2022</v>
      </c>
      <c r="C33" t="s">
        <v>40</v>
      </c>
      <c r="D33">
        <v>165.2</v>
      </c>
      <c r="E33">
        <v>210.9</v>
      </c>
      <c r="F33">
        <v>170.9</v>
      </c>
      <c r="G33">
        <v>170.9</v>
      </c>
      <c r="H33">
        <v>186.5</v>
      </c>
      <c r="I33">
        <v>163.80000000000001</v>
      </c>
      <c r="J33">
        <v>199.7</v>
      </c>
      <c r="K33">
        <v>169.8</v>
      </c>
      <c r="L33">
        <v>121.9</v>
      </c>
      <c r="M33">
        <v>199.9</v>
      </c>
      <c r="N33">
        <v>169.9</v>
      </c>
      <c r="O33">
        <v>188.3</v>
      </c>
      <c r="P33">
        <v>179.6</v>
      </c>
      <c r="Q33">
        <v>171.2</v>
      </c>
      <c r="R33">
        <v>180.5</v>
      </c>
      <c r="S33">
        <v>170.4</v>
      </c>
      <c r="T33">
        <v>178.7</v>
      </c>
      <c r="U33">
        <v>162.9</v>
      </c>
      <c r="V33">
        <v>168.2</v>
      </c>
      <c r="W33">
        <v>173.4</v>
      </c>
      <c r="X33">
        <v>172.1</v>
      </c>
      <c r="Y33">
        <v>170.5</v>
      </c>
      <c r="Z33">
        <v>176.7</v>
      </c>
      <c r="AA33" s="1">
        <f>SUM(Table1[[#This Row],[Cereals and products]:[Food and beverages]])/13</f>
        <v>176.71538461538464</v>
      </c>
      <c r="AB33" s="1">
        <f>SUM(Table1[[#This Row],[Fuel and light]])</f>
        <v>180.5</v>
      </c>
      <c r="AC33" s="1">
        <f>SUM(Table1[[#This Row],[Transport and communication]])</f>
        <v>162.9</v>
      </c>
      <c r="AD33" s="1">
        <f>SUM(Table1[[#This Row],[Housing]],Table1[[#This Row],[Household goods and services]])/2</f>
        <v>170.8</v>
      </c>
      <c r="AE33" s="1">
        <f>SUM(Table1[[#This Row],[Health]])</f>
        <v>178.7</v>
      </c>
      <c r="AF33" s="1">
        <f>SUM(Table1[[#This Row],[Recreation and amusement]],Table1[[#This Row],[Education]])/2</f>
        <v>170.8</v>
      </c>
      <c r="AG33" s="1">
        <f>SUM(Table1[[#This Row],[Miscellaneous]],Table1[[#This Row],[Personal care and effects]])/2</f>
        <v>171.3</v>
      </c>
    </row>
    <row r="34" spans="1:33" hidden="1" x14ac:dyDescent="0.3">
      <c r="A34" t="s">
        <v>36</v>
      </c>
      <c r="B34">
        <v>2022</v>
      </c>
      <c r="C34" t="s">
        <v>40</v>
      </c>
      <c r="D34">
        <v>166.4</v>
      </c>
      <c r="E34">
        <v>214.9</v>
      </c>
      <c r="F34">
        <v>171.9</v>
      </c>
      <c r="G34">
        <v>171</v>
      </c>
      <c r="H34">
        <v>177.7</v>
      </c>
      <c r="I34">
        <v>165.7</v>
      </c>
      <c r="J34">
        <v>228.6</v>
      </c>
      <c r="K34">
        <v>169.9</v>
      </c>
      <c r="L34">
        <v>123.4</v>
      </c>
      <c r="M34">
        <v>196.4</v>
      </c>
      <c r="N34">
        <v>161.6</v>
      </c>
      <c r="O34">
        <v>191.5</v>
      </c>
      <c r="P34">
        <v>183.3</v>
      </c>
      <c r="Q34">
        <v>171.2</v>
      </c>
      <c r="R34">
        <v>180</v>
      </c>
      <c r="S34">
        <v>166</v>
      </c>
      <c r="T34">
        <v>174.7</v>
      </c>
      <c r="U34">
        <v>158.80000000000001</v>
      </c>
      <c r="V34">
        <v>166.3</v>
      </c>
      <c r="W34">
        <v>171.2</v>
      </c>
      <c r="X34">
        <v>172.3</v>
      </c>
      <c r="Y34">
        <v>166.8</v>
      </c>
      <c r="Z34">
        <v>175.3</v>
      </c>
      <c r="AA34" s="1">
        <f>SUM(Table1[[#This Row],[Cereals and products]:[Food and beverages]])/13</f>
        <v>178.63846153846154</v>
      </c>
      <c r="AB34" s="1">
        <f>SUM(Table1[[#This Row],[Fuel and light]])</f>
        <v>180</v>
      </c>
      <c r="AC34" s="1">
        <f>SUM(Table1[[#This Row],[Transport and communication]])</f>
        <v>158.80000000000001</v>
      </c>
      <c r="AD34" s="1">
        <f>SUM(Table1[[#This Row],[Housing]],Table1[[#This Row],[Household goods and services]])/2</f>
        <v>168.6</v>
      </c>
      <c r="AE34" s="1">
        <f>SUM(Table1[[#This Row],[Health]])</f>
        <v>174.7</v>
      </c>
      <c r="AF34" s="1">
        <f>SUM(Table1[[#This Row],[Recreation and amusement]],Table1[[#This Row],[Education]])/2</f>
        <v>168.75</v>
      </c>
      <c r="AG34" s="1">
        <f>SUM(Table1[[#This Row],[Miscellaneous]],Table1[[#This Row],[Personal care and effects]])/2</f>
        <v>169.55</v>
      </c>
    </row>
    <row r="35" spans="1:33" hidden="1" x14ac:dyDescent="0.3">
      <c r="A35" t="s">
        <v>33</v>
      </c>
      <c r="B35">
        <v>2019</v>
      </c>
      <c r="C35" t="s">
        <v>41</v>
      </c>
      <c r="D35">
        <v>136.6</v>
      </c>
      <c r="E35">
        <v>152.5</v>
      </c>
      <c r="F35">
        <v>138.19999999999999</v>
      </c>
      <c r="G35">
        <v>142.4</v>
      </c>
      <c r="H35">
        <v>123.9</v>
      </c>
      <c r="I35">
        <v>135.5</v>
      </c>
      <c r="J35">
        <v>131.69999999999999</v>
      </c>
      <c r="K35">
        <v>121.3</v>
      </c>
      <c r="L35">
        <v>108.4</v>
      </c>
      <c r="M35">
        <v>138.9</v>
      </c>
      <c r="N35">
        <v>137</v>
      </c>
      <c r="O35">
        <v>155.80000000000001</v>
      </c>
      <c r="P35">
        <v>137.4</v>
      </c>
      <c r="Q35">
        <f>AVERAGE(Q36:Q37)</f>
        <v>147.69999999999999</v>
      </c>
      <c r="R35">
        <v>146.19999999999999</v>
      </c>
      <c r="S35">
        <v>150.1</v>
      </c>
      <c r="T35">
        <v>149.6</v>
      </c>
      <c r="U35">
        <v>128.6</v>
      </c>
      <c r="V35">
        <v>142.9</v>
      </c>
      <c r="W35">
        <v>155.19999999999999</v>
      </c>
      <c r="X35">
        <v>133.5</v>
      </c>
      <c r="Y35">
        <v>141.69999999999999</v>
      </c>
      <c r="Z35">
        <v>141</v>
      </c>
      <c r="AA35" s="1">
        <f>SUM(Table1[[#This Row],[Cereals and products]:[Food and beverages]])/13</f>
        <v>135.35384615384618</v>
      </c>
      <c r="AB35" s="1">
        <f>SUM(Table1[[#This Row],[Fuel and light]])</f>
        <v>146.19999999999999</v>
      </c>
      <c r="AC35" s="1">
        <f>SUM(Table1[[#This Row],[Transport and communication]])</f>
        <v>128.6</v>
      </c>
      <c r="AD35" s="1">
        <f>SUM(Table1[[#This Row],[Housing]],Table1[[#This Row],[Household goods and services]])/2</f>
        <v>148.89999999999998</v>
      </c>
      <c r="AE35" s="1">
        <f>SUM(Table1[[#This Row],[Health]])</f>
        <v>149.6</v>
      </c>
      <c r="AF35" s="1">
        <f>SUM(Table1[[#This Row],[Recreation and amusement]],Table1[[#This Row],[Education]])/2</f>
        <v>149.05000000000001</v>
      </c>
      <c r="AG35" s="1">
        <f>SUM(Table1[[#This Row],[Miscellaneous]],Table1[[#This Row],[Personal care and effects]])/2</f>
        <v>137.6</v>
      </c>
    </row>
    <row r="36" spans="1:33" hidden="1" x14ac:dyDescent="0.3">
      <c r="A36" t="s">
        <v>35</v>
      </c>
      <c r="B36">
        <v>2019</v>
      </c>
      <c r="C36" t="s">
        <v>41</v>
      </c>
      <c r="D36">
        <v>137.1</v>
      </c>
      <c r="E36">
        <v>151.4</v>
      </c>
      <c r="F36">
        <v>140.19999999999999</v>
      </c>
      <c r="G36">
        <v>142.1</v>
      </c>
      <c r="H36">
        <v>121.8</v>
      </c>
      <c r="I36">
        <v>135.4</v>
      </c>
      <c r="J36">
        <v>131.30000000000001</v>
      </c>
      <c r="K36">
        <v>120.3</v>
      </c>
      <c r="L36">
        <v>109.1</v>
      </c>
      <c r="M36">
        <v>139.4</v>
      </c>
      <c r="N36">
        <v>133.30000000000001</v>
      </c>
      <c r="O36">
        <v>154.6</v>
      </c>
      <c r="P36">
        <v>137.4</v>
      </c>
      <c r="Q36">
        <v>147.69999999999999</v>
      </c>
      <c r="R36">
        <v>139.5</v>
      </c>
      <c r="S36">
        <v>143.6</v>
      </c>
      <c r="T36">
        <v>145.1</v>
      </c>
      <c r="U36">
        <v>123.3</v>
      </c>
      <c r="V36">
        <v>136.69999999999999</v>
      </c>
      <c r="W36">
        <v>150.19999999999999</v>
      </c>
      <c r="X36">
        <v>132.80000000000001</v>
      </c>
      <c r="Y36">
        <v>136.9</v>
      </c>
      <c r="Z36">
        <v>139.6</v>
      </c>
      <c r="AA36" s="1">
        <f>SUM(Table1[[#This Row],[Cereals and products]:[Food and beverages]])/13</f>
        <v>134.87692307692308</v>
      </c>
      <c r="AB36" s="1">
        <f>SUM(Table1[[#This Row],[Fuel and light]])</f>
        <v>139.5</v>
      </c>
      <c r="AC36" s="1">
        <f>SUM(Table1[[#This Row],[Transport and communication]])</f>
        <v>123.3</v>
      </c>
      <c r="AD36" s="1">
        <f>SUM(Table1[[#This Row],[Housing]],Table1[[#This Row],[Household goods and services]])/2</f>
        <v>145.64999999999998</v>
      </c>
      <c r="AE36" s="1">
        <f>SUM(Table1[[#This Row],[Health]])</f>
        <v>145.1</v>
      </c>
      <c r="AF36" s="1">
        <f>SUM(Table1[[#This Row],[Recreation and amusement]],Table1[[#This Row],[Education]])/2</f>
        <v>143.44999999999999</v>
      </c>
      <c r="AG36" s="1">
        <f>SUM(Table1[[#This Row],[Miscellaneous]],Table1[[#This Row],[Personal care and effects]])/2</f>
        <v>134.85000000000002</v>
      </c>
    </row>
    <row r="37" spans="1:33" hidden="1" x14ac:dyDescent="0.3">
      <c r="A37" t="s">
        <v>36</v>
      </c>
      <c r="B37">
        <v>2019</v>
      </c>
      <c r="C37" t="s">
        <v>41</v>
      </c>
      <c r="D37">
        <v>138.30000000000001</v>
      </c>
      <c r="E37">
        <v>149.4</v>
      </c>
      <c r="F37">
        <v>143.5</v>
      </c>
      <c r="G37">
        <v>141.69999999999999</v>
      </c>
      <c r="H37">
        <v>118.1</v>
      </c>
      <c r="I37">
        <v>135.19999999999999</v>
      </c>
      <c r="J37">
        <v>130.5</v>
      </c>
      <c r="K37">
        <v>118.2</v>
      </c>
      <c r="L37">
        <v>110.4</v>
      </c>
      <c r="M37">
        <v>140.4</v>
      </c>
      <c r="N37">
        <v>128.1</v>
      </c>
      <c r="O37">
        <v>153.19999999999999</v>
      </c>
      <c r="P37">
        <v>137.30000000000001</v>
      </c>
      <c r="Q37">
        <v>147.69999999999999</v>
      </c>
      <c r="R37">
        <v>128.6</v>
      </c>
      <c r="S37">
        <v>136.30000000000001</v>
      </c>
      <c r="T37">
        <v>137.80000000000001</v>
      </c>
      <c r="U37">
        <v>118.6</v>
      </c>
      <c r="V37">
        <v>131.9</v>
      </c>
      <c r="W37">
        <v>146.6</v>
      </c>
      <c r="X37">
        <v>131.69999999999999</v>
      </c>
      <c r="Y37">
        <v>131.80000000000001</v>
      </c>
      <c r="Z37">
        <v>138</v>
      </c>
      <c r="AA37" s="1">
        <f>SUM(Table1[[#This Row],[Cereals and products]:[Food and beverages]])/13</f>
        <v>134.17692307692309</v>
      </c>
      <c r="AB37" s="1">
        <f>SUM(Table1[[#This Row],[Fuel and light]])</f>
        <v>128.6</v>
      </c>
      <c r="AC37" s="1">
        <f>SUM(Table1[[#This Row],[Transport and communication]])</f>
        <v>118.6</v>
      </c>
      <c r="AD37" s="1">
        <f>SUM(Table1[[#This Row],[Housing]],Table1[[#This Row],[Household goods and services]])/2</f>
        <v>142</v>
      </c>
      <c r="AE37" s="1">
        <f>SUM(Table1[[#This Row],[Health]])</f>
        <v>137.80000000000001</v>
      </c>
      <c r="AF37" s="1">
        <f>SUM(Table1[[#This Row],[Recreation and amusement]],Table1[[#This Row],[Education]])/2</f>
        <v>139.25</v>
      </c>
      <c r="AG37" s="1">
        <f>SUM(Table1[[#This Row],[Miscellaneous]],Table1[[#This Row],[Personal care and effects]])/2</f>
        <v>131.75</v>
      </c>
    </row>
    <row r="38" spans="1:33" hidden="1" x14ac:dyDescent="0.3">
      <c r="A38" t="s">
        <v>33</v>
      </c>
      <c r="B38">
        <v>2019</v>
      </c>
      <c r="C38" t="s">
        <v>42</v>
      </c>
      <c r="D38">
        <v>138.4</v>
      </c>
      <c r="E38">
        <v>164</v>
      </c>
      <c r="F38">
        <v>138.4</v>
      </c>
      <c r="G38">
        <v>143.9</v>
      </c>
      <c r="H38">
        <v>124.4</v>
      </c>
      <c r="I38">
        <v>146.4</v>
      </c>
      <c r="J38">
        <v>150.1</v>
      </c>
      <c r="K38">
        <v>130.6</v>
      </c>
      <c r="L38">
        <v>110.8</v>
      </c>
      <c r="M38">
        <v>141.69999999999999</v>
      </c>
      <c r="N38">
        <v>138.5</v>
      </c>
      <c r="O38">
        <v>156.69999999999999</v>
      </c>
      <c r="P38">
        <v>143</v>
      </c>
      <c r="Q38">
        <f>AVERAGE(Q39:Q40)</f>
        <v>150.6</v>
      </c>
      <c r="R38">
        <v>146.80000000000001</v>
      </c>
      <c r="S38">
        <v>150</v>
      </c>
      <c r="T38">
        <v>152.19999999999999</v>
      </c>
      <c r="U38">
        <v>131.19999999999999</v>
      </c>
      <c r="V38">
        <v>147.5</v>
      </c>
      <c r="W38">
        <v>159.1</v>
      </c>
      <c r="X38">
        <v>136.1</v>
      </c>
      <c r="Y38">
        <v>144.19999999999999</v>
      </c>
      <c r="Z38">
        <v>144.9</v>
      </c>
      <c r="AA38" s="1">
        <f>SUM(Table1[[#This Row],[Cereals and products]:[Food and beverages]])/13</f>
        <v>140.53076923076921</v>
      </c>
      <c r="AB38" s="1">
        <f>SUM(Table1[[#This Row],[Fuel and light]])</f>
        <v>146.80000000000001</v>
      </c>
      <c r="AC38" s="1">
        <f>SUM(Table1[[#This Row],[Transport and communication]])</f>
        <v>131.19999999999999</v>
      </c>
      <c r="AD38" s="1">
        <f>SUM(Table1[[#This Row],[Housing]],Table1[[#This Row],[Household goods and services]])/2</f>
        <v>150.30000000000001</v>
      </c>
      <c r="AE38" s="1">
        <f>SUM(Table1[[#This Row],[Health]])</f>
        <v>152.19999999999999</v>
      </c>
      <c r="AF38" s="1">
        <f>SUM(Table1[[#This Row],[Recreation and amusement]],Table1[[#This Row],[Education]])/2</f>
        <v>153.30000000000001</v>
      </c>
      <c r="AG38" s="1">
        <f>SUM(Table1[[#This Row],[Miscellaneous]],Table1[[#This Row],[Personal care and effects]])/2</f>
        <v>140.14999999999998</v>
      </c>
    </row>
    <row r="39" spans="1:33" hidden="1" x14ac:dyDescent="0.3">
      <c r="A39" t="s">
        <v>35</v>
      </c>
      <c r="B39">
        <v>2019</v>
      </c>
      <c r="C39" t="s">
        <v>42</v>
      </c>
      <c r="D39">
        <v>139.30000000000001</v>
      </c>
      <c r="E39">
        <v>162.69999999999999</v>
      </c>
      <c r="F39">
        <v>140</v>
      </c>
      <c r="G39">
        <v>144</v>
      </c>
      <c r="H39">
        <v>122.5</v>
      </c>
      <c r="I39">
        <v>150.30000000000001</v>
      </c>
      <c r="J39">
        <v>160.30000000000001</v>
      </c>
      <c r="K39">
        <v>130</v>
      </c>
      <c r="L39">
        <v>111.1</v>
      </c>
      <c r="M39">
        <v>141.69999999999999</v>
      </c>
      <c r="N39">
        <v>134.69999999999999</v>
      </c>
      <c r="O39">
        <v>156.19999999999999</v>
      </c>
      <c r="P39">
        <v>144.69999999999999</v>
      </c>
      <c r="Q39">
        <v>150.6</v>
      </c>
      <c r="R39">
        <v>139.30000000000001</v>
      </c>
      <c r="S39">
        <v>144.19999999999999</v>
      </c>
      <c r="T39">
        <v>147.9</v>
      </c>
      <c r="U39">
        <v>125.6</v>
      </c>
      <c r="V39">
        <v>140.5</v>
      </c>
      <c r="W39">
        <v>154</v>
      </c>
      <c r="X39">
        <v>135.69999999999999</v>
      </c>
      <c r="Y39">
        <v>139.5</v>
      </c>
      <c r="Z39">
        <v>144.19999999999999</v>
      </c>
      <c r="AA39" s="1">
        <f>SUM(Table1[[#This Row],[Cereals and products]:[Food and beverages]])/13</f>
        <v>141.34615384615384</v>
      </c>
      <c r="AB39" s="1">
        <f>SUM(Table1[[#This Row],[Fuel and light]])</f>
        <v>139.30000000000001</v>
      </c>
      <c r="AC39" s="1">
        <f>SUM(Table1[[#This Row],[Transport and communication]])</f>
        <v>125.6</v>
      </c>
      <c r="AD39" s="1">
        <f>SUM(Table1[[#This Row],[Housing]],Table1[[#This Row],[Household goods and services]])/2</f>
        <v>147.39999999999998</v>
      </c>
      <c r="AE39" s="1">
        <f>SUM(Table1[[#This Row],[Health]])</f>
        <v>147.9</v>
      </c>
      <c r="AF39" s="1">
        <f>SUM(Table1[[#This Row],[Recreation and amusement]],Table1[[#This Row],[Education]])/2</f>
        <v>147.25</v>
      </c>
      <c r="AG39" s="1">
        <f>SUM(Table1[[#This Row],[Miscellaneous]],Table1[[#This Row],[Personal care and effects]])/2</f>
        <v>137.6</v>
      </c>
    </row>
    <row r="40" spans="1:33" hidden="1" x14ac:dyDescent="0.3">
      <c r="A40" t="s">
        <v>36</v>
      </c>
      <c r="B40">
        <v>2019</v>
      </c>
      <c r="C40" t="s">
        <v>42</v>
      </c>
      <c r="D40">
        <v>141.4</v>
      </c>
      <c r="E40">
        <v>160.19999999999999</v>
      </c>
      <c r="F40">
        <v>142.5</v>
      </c>
      <c r="G40">
        <v>144.1</v>
      </c>
      <c r="H40">
        <v>119.3</v>
      </c>
      <c r="I40">
        <v>154.69999999999999</v>
      </c>
      <c r="J40">
        <v>180.1</v>
      </c>
      <c r="K40">
        <v>128.9</v>
      </c>
      <c r="L40">
        <v>111.8</v>
      </c>
      <c r="M40">
        <v>141.6</v>
      </c>
      <c r="N40">
        <v>129.5</v>
      </c>
      <c r="O40">
        <v>155.6</v>
      </c>
      <c r="P40">
        <v>147.69999999999999</v>
      </c>
      <c r="Q40">
        <v>150.6</v>
      </c>
      <c r="R40">
        <v>127</v>
      </c>
      <c r="S40">
        <v>137.69999999999999</v>
      </c>
      <c r="T40">
        <v>140.80000000000001</v>
      </c>
      <c r="U40">
        <v>120.6</v>
      </c>
      <c r="V40">
        <v>135</v>
      </c>
      <c r="W40">
        <v>150.4</v>
      </c>
      <c r="X40">
        <v>135.1</v>
      </c>
      <c r="Y40">
        <v>134.5</v>
      </c>
      <c r="Z40">
        <v>143.30000000000001</v>
      </c>
      <c r="AA40" s="1">
        <f>SUM(Table1[[#This Row],[Cereals and products]:[Food and beverages]])/13</f>
        <v>142.87692307692308</v>
      </c>
      <c r="AB40" s="1">
        <f>SUM(Table1[[#This Row],[Fuel and light]])</f>
        <v>127</v>
      </c>
      <c r="AC40" s="1">
        <f>SUM(Table1[[#This Row],[Transport and communication]])</f>
        <v>120.6</v>
      </c>
      <c r="AD40" s="1">
        <f>SUM(Table1[[#This Row],[Housing]],Table1[[#This Row],[Household goods and services]])/2</f>
        <v>144.14999999999998</v>
      </c>
      <c r="AE40" s="1">
        <f>SUM(Table1[[#This Row],[Health]])</f>
        <v>140.80000000000001</v>
      </c>
      <c r="AF40" s="1">
        <f>SUM(Table1[[#This Row],[Recreation and amusement]],Table1[[#This Row],[Education]])/2</f>
        <v>142.69999999999999</v>
      </c>
      <c r="AG40" s="1">
        <f>SUM(Table1[[#This Row],[Miscellaneous]],Table1[[#This Row],[Personal care and effects]])/2</f>
        <v>134.80000000000001</v>
      </c>
    </row>
    <row r="41" spans="1:33" hidden="1" x14ac:dyDescent="0.3">
      <c r="A41" t="s">
        <v>33</v>
      </c>
      <c r="B41">
        <v>2019</v>
      </c>
      <c r="C41" t="s">
        <v>43</v>
      </c>
      <c r="D41">
        <v>137.80000000000001</v>
      </c>
      <c r="E41">
        <v>163.5</v>
      </c>
      <c r="F41">
        <v>136.19999999999999</v>
      </c>
      <c r="G41">
        <v>143.19999999999999</v>
      </c>
      <c r="H41">
        <v>124.3</v>
      </c>
      <c r="I41">
        <v>143.30000000000001</v>
      </c>
      <c r="J41">
        <v>140.6</v>
      </c>
      <c r="K41">
        <v>128.69999999999999</v>
      </c>
      <c r="L41">
        <v>110.6</v>
      </c>
      <c r="M41">
        <v>140.4</v>
      </c>
      <c r="N41">
        <v>138</v>
      </c>
      <c r="O41">
        <v>156.6</v>
      </c>
      <c r="P41">
        <v>141</v>
      </c>
      <c r="Q41">
        <f>AVERAGE(Q42:Q43)</f>
        <v>149.4</v>
      </c>
      <c r="R41">
        <v>147.80000000000001</v>
      </c>
      <c r="S41">
        <v>149.6</v>
      </c>
      <c r="T41">
        <v>151.69999999999999</v>
      </c>
      <c r="U41">
        <v>130.19999999999999</v>
      </c>
      <c r="V41">
        <v>146.4</v>
      </c>
      <c r="W41">
        <v>157.69999999999999</v>
      </c>
      <c r="X41">
        <v>134.80000000000001</v>
      </c>
      <c r="Y41">
        <v>143.30000000000001</v>
      </c>
      <c r="Z41">
        <v>143.6</v>
      </c>
      <c r="AA41" s="1">
        <f>SUM(Table1[[#This Row],[Cereals and products]:[Food and beverages]])/13</f>
        <v>138.78461538461536</v>
      </c>
      <c r="AB41" s="1">
        <f>SUM(Table1[[#This Row],[Fuel and light]])</f>
        <v>147.80000000000001</v>
      </c>
      <c r="AC41" s="1">
        <f>SUM(Table1[[#This Row],[Transport and communication]])</f>
        <v>130.19999999999999</v>
      </c>
      <c r="AD41" s="1">
        <f>SUM(Table1[[#This Row],[Housing]],Table1[[#This Row],[Household goods and services]])/2</f>
        <v>149.5</v>
      </c>
      <c r="AE41" s="1">
        <f>SUM(Table1[[#This Row],[Health]])</f>
        <v>151.69999999999999</v>
      </c>
      <c r="AF41" s="1">
        <f>SUM(Table1[[#This Row],[Recreation and amusement]],Table1[[#This Row],[Education]])/2</f>
        <v>152.05000000000001</v>
      </c>
      <c r="AG41" s="1">
        <f>SUM(Table1[[#This Row],[Miscellaneous]],Table1[[#This Row],[Personal care and effects]])/2</f>
        <v>139.05000000000001</v>
      </c>
    </row>
    <row r="42" spans="1:33" hidden="1" x14ac:dyDescent="0.3">
      <c r="A42" t="s">
        <v>35</v>
      </c>
      <c r="B42">
        <v>2019</v>
      </c>
      <c r="C42" t="s">
        <v>43</v>
      </c>
      <c r="D42">
        <v>138.69999999999999</v>
      </c>
      <c r="E42">
        <v>162.1</v>
      </c>
      <c r="F42">
        <v>137.80000000000001</v>
      </c>
      <c r="G42">
        <v>143.30000000000001</v>
      </c>
      <c r="H42">
        <v>122.2</v>
      </c>
      <c r="I42">
        <v>146.80000000000001</v>
      </c>
      <c r="J42">
        <v>150.5</v>
      </c>
      <c r="K42">
        <v>128.30000000000001</v>
      </c>
      <c r="L42">
        <v>111</v>
      </c>
      <c r="M42">
        <v>140.6</v>
      </c>
      <c r="N42">
        <v>134.19999999999999</v>
      </c>
      <c r="O42">
        <v>155.9</v>
      </c>
      <c r="P42">
        <v>142.69999999999999</v>
      </c>
      <c r="Q42">
        <v>149.4</v>
      </c>
      <c r="R42">
        <v>141.19999999999999</v>
      </c>
      <c r="S42">
        <v>143.80000000000001</v>
      </c>
      <c r="T42">
        <v>147.4</v>
      </c>
      <c r="U42">
        <v>124.6</v>
      </c>
      <c r="V42">
        <v>139.6</v>
      </c>
      <c r="W42">
        <v>152.5</v>
      </c>
      <c r="X42">
        <v>134.30000000000001</v>
      </c>
      <c r="Y42">
        <v>138.6</v>
      </c>
      <c r="Z42">
        <v>142.9</v>
      </c>
      <c r="AA42" s="1">
        <f>SUM(Table1[[#This Row],[Cereals and products]:[Food and beverages]])/13</f>
        <v>139.54615384615386</v>
      </c>
      <c r="AB42" s="1">
        <f>SUM(Table1[[#This Row],[Fuel and light]])</f>
        <v>141.19999999999999</v>
      </c>
      <c r="AC42" s="1">
        <f>SUM(Table1[[#This Row],[Transport and communication]])</f>
        <v>124.6</v>
      </c>
      <c r="AD42" s="1">
        <f>SUM(Table1[[#This Row],[Housing]],Table1[[#This Row],[Household goods and services]])/2</f>
        <v>146.60000000000002</v>
      </c>
      <c r="AE42" s="1">
        <f>SUM(Table1[[#This Row],[Health]])</f>
        <v>147.4</v>
      </c>
      <c r="AF42" s="1">
        <f>SUM(Table1[[#This Row],[Recreation and amusement]],Table1[[#This Row],[Education]])/2</f>
        <v>146.05000000000001</v>
      </c>
      <c r="AG42" s="1">
        <f>SUM(Table1[[#This Row],[Miscellaneous]],Table1[[#This Row],[Personal care and effects]])/2</f>
        <v>136.44999999999999</v>
      </c>
    </row>
    <row r="43" spans="1:33" hidden="1" x14ac:dyDescent="0.3">
      <c r="A43" t="s">
        <v>36</v>
      </c>
      <c r="B43">
        <v>2019</v>
      </c>
      <c r="C43" t="s">
        <v>43</v>
      </c>
      <c r="D43">
        <v>140.69999999999999</v>
      </c>
      <c r="E43">
        <v>159.6</v>
      </c>
      <c r="F43">
        <v>140.4</v>
      </c>
      <c r="G43">
        <v>143.4</v>
      </c>
      <c r="H43">
        <v>118.6</v>
      </c>
      <c r="I43">
        <v>150.9</v>
      </c>
      <c r="J43">
        <v>169.8</v>
      </c>
      <c r="K43">
        <v>127.4</v>
      </c>
      <c r="L43">
        <v>111.8</v>
      </c>
      <c r="M43">
        <v>141</v>
      </c>
      <c r="N43">
        <v>129</v>
      </c>
      <c r="O43">
        <v>155.1</v>
      </c>
      <c r="P43">
        <v>145.6</v>
      </c>
      <c r="Q43">
        <v>149.4</v>
      </c>
      <c r="R43">
        <v>130.5</v>
      </c>
      <c r="S43">
        <v>137.4</v>
      </c>
      <c r="T43">
        <v>140.30000000000001</v>
      </c>
      <c r="U43">
        <v>119.6</v>
      </c>
      <c r="V43">
        <v>134.30000000000001</v>
      </c>
      <c r="W43">
        <v>148.9</v>
      </c>
      <c r="X43">
        <v>133.69999999999999</v>
      </c>
      <c r="Y43">
        <v>133.6</v>
      </c>
      <c r="Z43">
        <v>142.1</v>
      </c>
      <c r="AA43" s="1">
        <f>SUM(Table1[[#This Row],[Cereals and products]:[Food and beverages]])/13</f>
        <v>141.0230769230769</v>
      </c>
      <c r="AB43" s="1">
        <f>SUM(Table1[[#This Row],[Fuel and light]])</f>
        <v>130.5</v>
      </c>
      <c r="AC43" s="1">
        <f>SUM(Table1[[#This Row],[Transport and communication]])</f>
        <v>119.6</v>
      </c>
      <c r="AD43" s="1">
        <f>SUM(Table1[[#This Row],[Housing]],Table1[[#This Row],[Household goods and services]])/2</f>
        <v>143.4</v>
      </c>
      <c r="AE43" s="1">
        <f>SUM(Table1[[#This Row],[Health]])</f>
        <v>140.30000000000001</v>
      </c>
      <c r="AF43" s="1">
        <f>SUM(Table1[[#This Row],[Recreation and amusement]],Table1[[#This Row],[Education]])/2</f>
        <v>141.60000000000002</v>
      </c>
      <c r="AG43" s="1">
        <f>SUM(Table1[[#This Row],[Miscellaneous]],Table1[[#This Row],[Personal care and effects]])/2</f>
        <v>133.64999999999998</v>
      </c>
    </row>
    <row r="44" spans="1:33" hidden="1" x14ac:dyDescent="0.3">
      <c r="A44" t="s">
        <v>35</v>
      </c>
      <c r="B44">
        <v>2018</v>
      </c>
      <c r="C44" t="s">
        <v>40</v>
      </c>
      <c r="D44">
        <v>137.4</v>
      </c>
      <c r="E44">
        <v>149.5</v>
      </c>
      <c r="F44">
        <v>137.30000000000001</v>
      </c>
      <c r="G44">
        <v>141.9</v>
      </c>
      <c r="H44">
        <v>121.1</v>
      </c>
      <c r="I44">
        <v>142.5</v>
      </c>
      <c r="J44">
        <v>146.69999999999999</v>
      </c>
      <c r="K44">
        <v>119.1</v>
      </c>
      <c r="L44">
        <v>111.9</v>
      </c>
      <c r="M44">
        <v>141</v>
      </c>
      <c r="N44">
        <v>133.6</v>
      </c>
      <c r="O44">
        <v>154.5</v>
      </c>
      <c r="P44">
        <v>139.69999999999999</v>
      </c>
      <c r="Q44">
        <v>146.9</v>
      </c>
      <c r="R44">
        <v>145.30000000000001</v>
      </c>
      <c r="S44">
        <v>142.19999999999999</v>
      </c>
      <c r="T44">
        <v>142.1</v>
      </c>
      <c r="U44">
        <v>125.5</v>
      </c>
      <c r="V44">
        <v>136.5</v>
      </c>
      <c r="W44">
        <v>147.80000000000001</v>
      </c>
      <c r="X44">
        <v>132</v>
      </c>
      <c r="Y44">
        <v>136.30000000000001</v>
      </c>
      <c r="Z44">
        <v>140.80000000000001</v>
      </c>
      <c r="AA44" s="1">
        <f>SUM(Table1[[#This Row],[Cereals and products]:[Food and beverages]])/13</f>
        <v>136.63076923076923</v>
      </c>
      <c r="AB44" s="1">
        <f>SUM(Table1[[#This Row],[Fuel and light]])</f>
        <v>145.30000000000001</v>
      </c>
      <c r="AC44" s="1">
        <f>SUM(Table1[[#This Row],[Transport and communication]])</f>
        <v>125.5</v>
      </c>
      <c r="AD44" s="1">
        <f>SUM(Table1[[#This Row],[Housing]],Table1[[#This Row],[Household goods and services]])/2</f>
        <v>144.55000000000001</v>
      </c>
      <c r="AE44" s="1">
        <f>SUM(Table1[[#This Row],[Health]])</f>
        <v>142.1</v>
      </c>
      <c r="AF44" s="1">
        <f>SUM(Table1[[#This Row],[Recreation and amusement]],Table1[[#This Row],[Education]])/2</f>
        <v>142.15</v>
      </c>
      <c r="AG44" s="1">
        <f>SUM(Table1[[#This Row],[Miscellaneous]],Table1[[#This Row],[Personal care and effects]])/2</f>
        <v>134.15</v>
      </c>
    </row>
    <row r="45" spans="1:33" hidden="1" x14ac:dyDescent="0.3">
      <c r="A45" t="s">
        <v>36</v>
      </c>
      <c r="B45">
        <v>2018</v>
      </c>
      <c r="C45" t="s">
        <v>40</v>
      </c>
      <c r="D45">
        <v>137.6</v>
      </c>
      <c r="E45">
        <v>144.9</v>
      </c>
      <c r="F45">
        <v>133.5</v>
      </c>
      <c r="G45">
        <v>141.5</v>
      </c>
      <c r="H45">
        <v>118</v>
      </c>
      <c r="I45">
        <v>139.5</v>
      </c>
      <c r="J45">
        <v>153</v>
      </c>
      <c r="K45">
        <v>113.2</v>
      </c>
      <c r="L45">
        <v>112.8</v>
      </c>
      <c r="M45">
        <v>141.1</v>
      </c>
      <c r="N45">
        <v>127.6</v>
      </c>
      <c r="O45">
        <v>152</v>
      </c>
      <c r="P45">
        <v>139.4</v>
      </c>
      <c r="Q45">
        <v>146.30000000000001</v>
      </c>
      <c r="R45">
        <v>133.4</v>
      </c>
      <c r="S45">
        <v>135.1</v>
      </c>
      <c r="T45">
        <v>136.19999999999999</v>
      </c>
      <c r="U45">
        <v>123.3</v>
      </c>
      <c r="V45">
        <v>130.69999999999999</v>
      </c>
      <c r="W45">
        <v>145.5</v>
      </c>
      <c r="X45">
        <v>130.4</v>
      </c>
      <c r="Y45">
        <v>132.5</v>
      </c>
      <c r="Z45">
        <v>138.9</v>
      </c>
      <c r="AA45" s="1">
        <f>SUM(Table1[[#This Row],[Cereals and products]:[Food and beverages]])/13</f>
        <v>134.93076923076922</v>
      </c>
      <c r="AB45" s="1">
        <f>SUM(Table1[[#This Row],[Fuel and light]])</f>
        <v>133.4</v>
      </c>
      <c r="AC45" s="1">
        <f>SUM(Table1[[#This Row],[Transport and communication]])</f>
        <v>123.3</v>
      </c>
      <c r="AD45" s="1">
        <f>SUM(Table1[[#This Row],[Housing]],Table1[[#This Row],[Household goods and services]])/2</f>
        <v>140.69999999999999</v>
      </c>
      <c r="AE45" s="1">
        <f>SUM(Table1[[#This Row],[Health]])</f>
        <v>136.19999999999999</v>
      </c>
      <c r="AF45" s="1">
        <f>SUM(Table1[[#This Row],[Recreation and amusement]],Table1[[#This Row],[Education]])/2</f>
        <v>138.1</v>
      </c>
      <c r="AG45" s="1">
        <f>SUM(Table1[[#This Row],[Miscellaneous]],Table1[[#This Row],[Personal care and effects]])/2</f>
        <v>131.44999999999999</v>
      </c>
    </row>
    <row r="46" spans="1:33" hidden="1" x14ac:dyDescent="0.3">
      <c r="A46" t="s">
        <v>33</v>
      </c>
      <c r="B46">
        <v>2018</v>
      </c>
      <c r="C46" t="s">
        <v>40</v>
      </c>
      <c r="D46">
        <v>139.30000000000001</v>
      </c>
      <c r="E46">
        <v>147.6</v>
      </c>
      <c r="F46">
        <v>134.6</v>
      </c>
      <c r="G46">
        <v>141.9</v>
      </c>
      <c r="H46">
        <v>123.5</v>
      </c>
      <c r="I46">
        <v>144.5</v>
      </c>
      <c r="J46">
        <v>147.6</v>
      </c>
      <c r="K46">
        <v>121.4</v>
      </c>
      <c r="L46">
        <v>112.3</v>
      </c>
      <c r="M46">
        <v>139.5</v>
      </c>
      <c r="N46">
        <v>134.6</v>
      </c>
      <c r="O46">
        <v>155.19999999999999</v>
      </c>
      <c r="P46">
        <v>140.19999999999999</v>
      </c>
      <c r="Q46">
        <v>146.6</v>
      </c>
      <c r="R46">
        <v>149.69999999999999</v>
      </c>
      <c r="S46">
        <v>147.5</v>
      </c>
      <c r="T46">
        <v>144.80000000000001</v>
      </c>
      <c r="U46">
        <v>130.80000000000001</v>
      </c>
      <c r="V46">
        <v>140.1</v>
      </c>
      <c r="W46">
        <v>148</v>
      </c>
      <c r="X46">
        <v>134.4</v>
      </c>
      <c r="Y46">
        <v>139.80000000000001</v>
      </c>
      <c r="Z46">
        <v>142.19999999999999</v>
      </c>
      <c r="AA46" s="1">
        <f>SUM(Table1[[#This Row],[Cereals and products]:[Food and beverages]])/13</f>
        <v>137.09230769230768</v>
      </c>
      <c r="AB46" s="1">
        <f>SUM(Table1[[#This Row],[Fuel and light]])</f>
        <v>149.69999999999999</v>
      </c>
      <c r="AC46" s="1">
        <f>SUM(Table1[[#This Row],[Transport and communication]])</f>
        <v>130.80000000000001</v>
      </c>
      <c r="AD46" s="1">
        <f>SUM(Table1[[#This Row],[Housing]],Table1[[#This Row],[Household goods and services]])/2</f>
        <v>147.05000000000001</v>
      </c>
      <c r="AE46" s="1">
        <f>SUM(Table1[[#This Row],[Health]])</f>
        <v>144.80000000000001</v>
      </c>
      <c r="AF46" s="1">
        <f>SUM(Table1[[#This Row],[Recreation and amusement]],Table1[[#This Row],[Education]])/2</f>
        <v>144.05000000000001</v>
      </c>
      <c r="AG46" s="1">
        <f>SUM(Table1[[#This Row],[Miscellaneous]],Table1[[#This Row],[Personal care and effects]])/2</f>
        <v>137.10000000000002</v>
      </c>
    </row>
    <row r="47" spans="1:33" hidden="1" x14ac:dyDescent="0.3">
      <c r="A47" t="s">
        <v>36</v>
      </c>
      <c r="B47">
        <v>2017</v>
      </c>
      <c r="C47" t="s">
        <v>40</v>
      </c>
      <c r="D47">
        <v>133.9</v>
      </c>
      <c r="E47">
        <v>142.80000000000001</v>
      </c>
      <c r="F47">
        <v>131.4</v>
      </c>
      <c r="G47">
        <v>139.1</v>
      </c>
      <c r="H47">
        <v>114.9</v>
      </c>
      <c r="I47">
        <v>135.6</v>
      </c>
      <c r="J47">
        <v>173.2</v>
      </c>
      <c r="K47">
        <v>124.1</v>
      </c>
      <c r="L47">
        <v>122.6</v>
      </c>
      <c r="M47">
        <v>137.80000000000001</v>
      </c>
      <c r="N47">
        <v>125.1</v>
      </c>
      <c r="O47">
        <v>145.5</v>
      </c>
      <c r="P47">
        <v>139.69999999999999</v>
      </c>
      <c r="Q47">
        <v>137.30000000000001</v>
      </c>
      <c r="R47">
        <v>122.6</v>
      </c>
      <c r="S47">
        <v>128.30000000000001</v>
      </c>
      <c r="T47">
        <v>126.6</v>
      </c>
      <c r="U47">
        <v>115</v>
      </c>
      <c r="V47">
        <v>124.8</v>
      </c>
      <c r="W47">
        <v>136.30000000000001</v>
      </c>
      <c r="X47">
        <v>124.6</v>
      </c>
      <c r="Y47">
        <v>124.5</v>
      </c>
      <c r="Z47">
        <v>133.5</v>
      </c>
      <c r="AA47" s="1">
        <f>SUM(Table1[[#This Row],[Cereals and products]:[Food and beverages]])/13</f>
        <v>135.82307692307691</v>
      </c>
      <c r="AB47" s="1">
        <f>SUM(Table1[[#This Row],[Fuel and light]])</f>
        <v>122.6</v>
      </c>
      <c r="AC47" s="1">
        <f>SUM(Table1[[#This Row],[Transport and communication]])</f>
        <v>115</v>
      </c>
      <c r="AD47" s="1">
        <f>SUM(Table1[[#This Row],[Housing]],Table1[[#This Row],[Household goods and services]])/2</f>
        <v>132.80000000000001</v>
      </c>
      <c r="AE47" s="1">
        <f>SUM(Table1[[#This Row],[Health]])</f>
        <v>126.6</v>
      </c>
      <c r="AF47" s="1">
        <f>SUM(Table1[[#This Row],[Recreation and amusement]],Table1[[#This Row],[Education]])/2</f>
        <v>130.55000000000001</v>
      </c>
      <c r="AG47" s="1">
        <f>SUM(Table1[[#This Row],[Miscellaneous]],Table1[[#This Row],[Personal care and effects]])/2</f>
        <v>124.55</v>
      </c>
    </row>
    <row r="48" spans="1:33" hidden="1" x14ac:dyDescent="0.3">
      <c r="A48" t="s">
        <v>35</v>
      </c>
      <c r="B48">
        <v>2017</v>
      </c>
      <c r="C48" t="s">
        <v>40</v>
      </c>
      <c r="D48">
        <v>135.30000000000001</v>
      </c>
      <c r="E48">
        <v>142.19999999999999</v>
      </c>
      <c r="F48">
        <v>131.19999999999999</v>
      </c>
      <c r="G48">
        <v>140.6</v>
      </c>
      <c r="H48">
        <v>119</v>
      </c>
      <c r="I48">
        <v>141.5</v>
      </c>
      <c r="J48">
        <v>162.6</v>
      </c>
      <c r="K48">
        <v>132.30000000000001</v>
      </c>
      <c r="L48">
        <v>121.8</v>
      </c>
      <c r="M48">
        <v>136.30000000000001</v>
      </c>
      <c r="N48">
        <v>128.69999999999999</v>
      </c>
      <c r="O48">
        <v>148.1</v>
      </c>
      <c r="P48">
        <v>140.1</v>
      </c>
      <c r="Q48">
        <v>137.30000000000001</v>
      </c>
      <c r="R48">
        <v>132.19999999999999</v>
      </c>
      <c r="S48">
        <v>133.6</v>
      </c>
      <c r="T48">
        <v>131.30000000000001</v>
      </c>
      <c r="U48">
        <v>117.8</v>
      </c>
      <c r="V48">
        <v>128.4</v>
      </c>
      <c r="W48">
        <v>137.9</v>
      </c>
      <c r="X48">
        <v>126.2</v>
      </c>
      <c r="Y48">
        <v>127.7</v>
      </c>
      <c r="Z48">
        <v>136.1</v>
      </c>
      <c r="AA48" s="1">
        <f>SUM(Table1[[#This Row],[Cereals and products]:[Food and beverages]])/13</f>
        <v>136.89999999999998</v>
      </c>
      <c r="AB48" s="1">
        <f>SUM(Table1[[#This Row],[Fuel and light]])</f>
        <v>132.19999999999999</v>
      </c>
      <c r="AC48" s="1">
        <f>SUM(Table1[[#This Row],[Transport and communication]])</f>
        <v>117.8</v>
      </c>
      <c r="AD48" s="1">
        <f>SUM(Table1[[#This Row],[Housing]],Table1[[#This Row],[Household goods and services]])/2</f>
        <v>135.44999999999999</v>
      </c>
      <c r="AE48" s="1">
        <f>SUM(Table1[[#This Row],[Health]])</f>
        <v>131.30000000000001</v>
      </c>
      <c r="AF48" s="1">
        <f>SUM(Table1[[#This Row],[Recreation and amusement]],Table1[[#This Row],[Education]])/2</f>
        <v>133.15</v>
      </c>
      <c r="AG48" s="1">
        <f>SUM(Table1[[#This Row],[Miscellaneous]],Table1[[#This Row],[Personal care and effects]])/2</f>
        <v>126.95</v>
      </c>
    </row>
    <row r="49" spans="1:33" hidden="1" x14ac:dyDescent="0.3">
      <c r="A49" t="s">
        <v>33</v>
      </c>
      <c r="B49">
        <v>2017</v>
      </c>
      <c r="C49" t="s">
        <v>40</v>
      </c>
      <c r="D49">
        <v>135.9</v>
      </c>
      <c r="E49">
        <v>141.9</v>
      </c>
      <c r="F49">
        <v>131</v>
      </c>
      <c r="G49">
        <v>141.5</v>
      </c>
      <c r="H49">
        <v>121.4</v>
      </c>
      <c r="I49">
        <v>146.69999999999999</v>
      </c>
      <c r="J49">
        <v>157.1</v>
      </c>
      <c r="K49">
        <v>136.4</v>
      </c>
      <c r="L49">
        <v>121.4</v>
      </c>
      <c r="M49">
        <v>135.6</v>
      </c>
      <c r="N49">
        <v>131.30000000000001</v>
      </c>
      <c r="O49">
        <v>150.30000000000001</v>
      </c>
      <c r="P49">
        <v>140.4</v>
      </c>
      <c r="Q49">
        <v>137.30000000000001</v>
      </c>
      <c r="R49">
        <v>138.1</v>
      </c>
      <c r="S49">
        <v>138.4</v>
      </c>
      <c r="T49">
        <v>134.19999999999999</v>
      </c>
      <c r="U49">
        <v>121</v>
      </c>
      <c r="V49">
        <v>133</v>
      </c>
      <c r="W49">
        <v>140.1</v>
      </c>
      <c r="X49">
        <v>127.4</v>
      </c>
      <c r="Y49">
        <v>130.69999999999999</v>
      </c>
      <c r="Z49">
        <v>138.30000000000001</v>
      </c>
      <c r="AA49" s="1">
        <f>SUM(Table1[[#This Row],[Cereals and products]:[Food and beverages]])/13</f>
        <v>137.76153846153846</v>
      </c>
      <c r="AB49" s="1">
        <f>SUM(Table1[[#This Row],[Fuel and light]])</f>
        <v>138.1</v>
      </c>
      <c r="AC49" s="1">
        <f>SUM(Table1[[#This Row],[Transport and communication]])</f>
        <v>121</v>
      </c>
      <c r="AD49" s="1">
        <f>SUM(Table1[[#This Row],[Housing]],Table1[[#This Row],[Household goods and services]])/2</f>
        <v>137.85000000000002</v>
      </c>
      <c r="AE49" s="1">
        <f>SUM(Table1[[#This Row],[Health]])</f>
        <v>134.19999999999999</v>
      </c>
      <c r="AF49" s="1">
        <f>SUM(Table1[[#This Row],[Recreation and amusement]],Table1[[#This Row],[Education]])/2</f>
        <v>136.55000000000001</v>
      </c>
      <c r="AG49" s="1">
        <f>SUM(Table1[[#This Row],[Miscellaneous]],Table1[[#This Row],[Personal care and effects]])/2</f>
        <v>129.05000000000001</v>
      </c>
    </row>
    <row r="50" spans="1:33" hidden="1" x14ac:dyDescent="0.3">
      <c r="A50" t="s">
        <v>36</v>
      </c>
      <c r="B50">
        <v>2016</v>
      </c>
      <c r="C50" t="s">
        <v>40</v>
      </c>
      <c r="D50">
        <v>128.69999999999999</v>
      </c>
      <c r="E50">
        <v>138.4</v>
      </c>
      <c r="F50">
        <v>130.30000000000001</v>
      </c>
      <c r="G50">
        <v>132.69999999999999</v>
      </c>
      <c r="H50">
        <v>112.5</v>
      </c>
      <c r="I50">
        <v>130.4</v>
      </c>
      <c r="J50">
        <v>155.1</v>
      </c>
      <c r="K50">
        <v>175.7</v>
      </c>
      <c r="L50">
        <v>115.4</v>
      </c>
      <c r="M50">
        <v>145.30000000000001</v>
      </c>
      <c r="N50">
        <v>122.5</v>
      </c>
      <c r="O50">
        <v>139.6</v>
      </c>
      <c r="P50">
        <v>136.30000000000001</v>
      </c>
      <c r="Q50">
        <v>128.69999999999999</v>
      </c>
      <c r="R50">
        <v>115.2</v>
      </c>
      <c r="S50">
        <v>124.5</v>
      </c>
      <c r="T50">
        <v>121.8</v>
      </c>
      <c r="U50">
        <v>112.8</v>
      </c>
      <c r="V50">
        <v>121.2</v>
      </c>
      <c r="W50">
        <v>131.9</v>
      </c>
      <c r="X50">
        <v>120.8</v>
      </c>
      <c r="Y50">
        <v>120.9</v>
      </c>
      <c r="Z50">
        <v>128.6</v>
      </c>
      <c r="AA50" s="1">
        <f>SUM(Table1[[#This Row],[Cereals and products]:[Food and beverages]])/13</f>
        <v>135.6076923076923</v>
      </c>
      <c r="AB50" s="1">
        <f>SUM(Table1[[#This Row],[Fuel and light]])</f>
        <v>115.2</v>
      </c>
      <c r="AC50" s="1">
        <f>SUM(Table1[[#This Row],[Transport and communication]])</f>
        <v>112.8</v>
      </c>
      <c r="AD50" s="1">
        <f>SUM(Table1[[#This Row],[Housing]],Table1[[#This Row],[Household goods and services]])/2</f>
        <v>126.6</v>
      </c>
      <c r="AE50" s="1">
        <f>SUM(Table1[[#This Row],[Health]])</f>
        <v>121.8</v>
      </c>
      <c r="AF50" s="1">
        <f>SUM(Table1[[#This Row],[Recreation and amusement]],Table1[[#This Row],[Education]])/2</f>
        <v>126.55000000000001</v>
      </c>
      <c r="AG50" s="1">
        <f>SUM(Table1[[#This Row],[Miscellaneous]],Table1[[#This Row],[Personal care and effects]])/2</f>
        <v>120.85</v>
      </c>
    </row>
    <row r="51" spans="1:33" hidden="1" x14ac:dyDescent="0.3">
      <c r="A51" t="s">
        <v>35</v>
      </c>
      <c r="B51">
        <v>2016</v>
      </c>
      <c r="C51" t="s">
        <v>40</v>
      </c>
      <c r="D51">
        <v>130.5</v>
      </c>
      <c r="E51">
        <v>137.9</v>
      </c>
      <c r="F51">
        <v>130.19999999999999</v>
      </c>
      <c r="G51">
        <v>134.80000000000001</v>
      </c>
      <c r="H51">
        <v>117.8</v>
      </c>
      <c r="I51">
        <v>134.69999999999999</v>
      </c>
      <c r="J51">
        <v>151.19999999999999</v>
      </c>
      <c r="K51">
        <v>172.1</v>
      </c>
      <c r="L51">
        <v>114.1</v>
      </c>
      <c r="M51">
        <v>139.30000000000001</v>
      </c>
      <c r="N51">
        <v>126.1</v>
      </c>
      <c r="O51">
        <v>141.1</v>
      </c>
      <c r="P51">
        <v>137</v>
      </c>
      <c r="Q51">
        <v>128.69999999999999</v>
      </c>
      <c r="R51">
        <v>124.3</v>
      </c>
      <c r="S51">
        <v>128.4</v>
      </c>
      <c r="T51">
        <v>126.1</v>
      </c>
      <c r="U51">
        <v>115.2</v>
      </c>
      <c r="V51">
        <v>123.5</v>
      </c>
      <c r="W51">
        <v>132.4</v>
      </c>
      <c r="X51">
        <v>122.1</v>
      </c>
      <c r="Y51">
        <v>123.4</v>
      </c>
      <c r="Z51">
        <v>131.4</v>
      </c>
      <c r="AA51" s="1">
        <f>SUM(Table1[[#This Row],[Cereals and products]:[Food and beverages]])/13</f>
        <v>135.90769230769226</v>
      </c>
      <c r="AB51" s="1">
        <f>SUM(Table1[[#This Row],[Fuel and light]])</f>
        <v>124.3</v>
      </c>
      <c r="AC51" s="1">
        <f>SUM(Table1[[#This Row],[Transport and communication]])</f>
        <v>115.2</v>
      </c>
      <c r="AD51" s="1">
        <f>SUM(Table1[[#This Row],[Housing]],Table1[[#This Row],[Household goods and services]])/2</f>
        <v>128.55000000000001</v>
      </c>
      <c r="AE51" s="1">
        <f>SUM(Table1[[#This Row],[Health]])</f>
        <v>126.1</v>
      </c>
      <c r="AF51" s="1">
        <f>SUM(Table1[[#This Row],[Recreation and amusement]],Table1[[#This Row],[Education]])/2</f>
        <v>127.95</v>
      </c>
      <c r="AG51" s="1">
        <f>SUM(Table1[[#This Row],[Miscellaneous]],Table1[[#This Row],[Personal care and effects]])/2</f>
        <v>122.75</v>
      </c>
    </row>
    <row r="52" spans="1:33" hidden="1" x14ac:dyDescent="0.3">
      <c r="A52" t="s">
        <v>33</v>
      </c>
      <c r="B52">
        <v>2016</v>
      </c>
      <c r="C52" t="s">
        <v>40</v>
      </c>
      <c r="D52">
        <v>131.30000000000001</v>
      </c>
      <c r="E52">
        <v>137.6</v>
      </c>
      <c r="F52">
        <v>130.1</v>
      </c>
      <c r="G52">
        <v>136</v>
      </c>
      <c r="H52">
        <v>120.8</v>
      </c>
      <c r="I52">
        <v>138.4</v>
      </c>
      <c r="J52">
        <v>149.19999999999999</v>
      </c>
      <c r="K52">
        <v>170.2</v>
      </c>
      <c r="L52">
        <v>113.4</v>
      </c>
      <c r="M52">
        <v>136.30000000000001</v>
      </c>
      <c r="N52">
        <v>128.69999999999999</v>
      </c>
      <c r="O52">
        <v>142.4</v>
      </c>
      <c r="P52">
        <v>137.4</v>
      </c>
      <c r="Q52">
        <v>128.69999999999999</v>
      </c>
      <c r="R52">
        <v>129.80000000000001</v>
      </c>
      <c r="S52">
        <v>131.80000000000001</v>
      </c>
      <c r="T52">
        <v>128.69999999999999</v>
      </c>
      <c r="U52">
        <v>117.8</v>
      </c>
      <c r="V52">
        <v>126.5</v>
      </c>
      <c r="W52">
        <v>133</v>
      </c>
      <c r="X52">
        <v>123</v>
      </c>
      <c r="Y52">
        <v>125.7</v>
      </c>
      <c r="Z52">
        <v>133.80000000000001</v>
      </c>
      <c r="AA52" s="1">
        <f>SUM(Table1[[#This Row],[Cereals and products]:[Food and beverages]])/13</f>
        <v>136.2923076923077</v>
      </c>
      <c r="AB52" s="1">
        <f>SUM(Table1[[#This Row],[Fuel and light]])</f>
        <v>129.80000000000001</v>
      </c>
      <c r="AC52" s="1">
        <f>SUM(Table1[[#This Row],[Transport and communication]])</f>
        <v>117.8</v>
      </c>
      <c r="AD52" s="1">
        <f>SUM(Table1[[#This Row],[Housing]],Table1[[#This Row],[Household goods and services]])/2</f>
        <v>130.25</v>
      </c>
      <c r="AE52" s="1">
        <f>SUM(Table1[[#This Row],[Health]])</f>
        <v>128.69999999999999</v>
      </c>
      <c r="AF52" s="1">
        <f>SUM(Table1[[#This Row],[Recreation and amusement]],Table1[[#This Row],[Education]])/2</f>
        <v>129.75</v>
      </c>
      <c r="AG52" s="1">
        <f>SUM(Table1[[#This Row],[Miscellaneous]],Table1[[#This Row],[Personal care and effects]])/2</f>
        <v>124.35</v>
      </c>
    </row>
    <row r="53" spans="1:33" hidden="1" x14ac:dyDescent="0.3">
      <c r="A53" t="s">
        <v>36</v>
      </c>
      <c r="B53">
        <v>2015</v>
      </c>
      <c r="C53" t="s">
        <v>40</v>
      </c>
      <c r="D53">
        <v>123.6</v>
      </c>
      <c r="E53">
        <v>128.6</v>
      </c>
      <c r="F53">
        <v>115.9</v>
      </c>
      <c r="G53">
        <v>128.5</v>
      </c>
      <c r="H53">
        <v>109</v>
      </c>
      <c r="I53">
        <v>124.1</v>
      </c>
      <c r="J53">
        <v>165.8</v>
      </c>
      <c r="K53">
        <v>187.2</v>
      </c>
      <c r="L53">
        <v>89.4</v>
      </c>
      <c r="M53">
        <v>135.80000000000001</v>
      </c>
      <c r="N53">
        <v>119.4</v>
      </c>
      <c r="O53">
        <v>132.9</v>
      </c>
      <c r="P53">
        <v>132.6</v>
      </c>
      <c r="Q53">
        <v>122.4</v>
      </c>
      <c r="R53">
        <v>114.9</v>
      </c>
      <c r="S53">
        <v>120.7</v>
      </c>
      <c r="T53">
        <v>117.7</v>
      </c>
      <c r="U53">
        <v>109.3</v>
      </c>
      <c r="V53">
        <v>117.7</v>
      </c>
      <c r="W53">
        <v>126.5</v>
      </c>
      <c r="X53">
        <v>113.5</v>
      </c>
      <c r="Y53">
        <v>116.5</v>
      </c>
      <c r="Z53">
        <v>124.2</v>
      </c>
      <c r="AA53" s="1">
        <f>SUM(Table1[[#This Row],[Cereals and products]:[Food and beverages]])/13</f>
        <v>130.21538461538464</v>
      </c>
      <c r="AB53" s="1">
        <f>SUM(Table1[[#This Row],[Fuel and light]])</f>
        <v>114.9</v>
      </c>
      <c r="AC53" s="1">
        <f>SUM(Table1[[#This Row],[Transport and communication]])</f>
        <v>109.3</v>
      </c>
      <c r="AD53" s="1">
        <f>SUM(Table1[[#This Row],[Housing]],Table1[[#This Row],[Household goods and services]])/2</f>
        <v>121.55000000000001</v>
      </c>
      <c r="AE53" s="1">
        <f>SUM(Table1[[#This Row],[Health]])</f>
        <v>117.7</v>
      </c>
      <c r="AF53" s="1">
        <f>SUM(Table1[[#This Row],[Recreation and amusement]],Table1[[#This Row],[Education]])/2</f>
        <v>122.1</v>
      </c>
      <c r="AG53" s="1">
        <f>SUM(Table1[[#This Row],[Miscellaneous]],Table1[[#This Row],[Personal care and effects]])/2</f>
        <v>115</v>
      </c>
    </row>
    <row r="54" spans="1:33" hidden="1" x14ac:dyDescent="0.3">
      <c r="A54" t="s">
        <v>35</v>
      </c>
      <c r="B54">
        <v>2015</v>
      </c>
      <c r="C54" t="s">
        <v>40</v>
      </c>
      <c r="D54">
        <v>125</v>
      </c>
      <c r="E54">
        <v>129.80000000000001</v>
      </c>
      <c r="F54">
        <v>118.9</v>
      </c>
      <c r="G54">
        <v>129.1</v>
      </c>
      <c r="H54">
        <v>113.3</v>
      </c>
      <c r="I54">
        <v>129</v>
      </c>
      <c r="J54">
        <v>160.4</v>
      </c>
      <c r="K54">
        <v>165.3</v>
      </c>
      <c r="L54">
        <v>92.3</v>
      </c>
      <c r="M54">
        <v>129.69999999999999</v>
      </c>
      <c r="N54">
        <v>121.1</v>
      </c>
      <c r="O54">
        <v>133</v>
      </c>
      <c r="P54">
        <v>132.1</v>
      </c>
      <c r="Q54">
        <v>122.4</v>
      </c>
      <c r="R54">
        <v>120.8</v>
      </c>
      <c r="S54">
        <v>123</v>
      </c>
      <c r="T54">
        <v>120.4</v>
      </c>
      <c r="U54">
        <v>111.4</v>
      </c>
      <c r="V54">
        <v>118.7</v>
      </c>
      <c r="W54">
        <v>125.9</v>
      </c>
      <c r="X54">
        <v>113.9</v>
      </c>
      <c r="Y54">
        <v>117.9</v>
      </c>
      <c r="Z54">
        <v>126.1</v>
      </c>
      <c r="AA54" s="1">
        <f>SUM(Table1[[#This Row],[Cereals and products]:[Food and beverages]])/13</f>
        <v>129.15384615384613</v>
      </c>
      <c r="AB54" s="1">
        <f>SUM(Table1[[#This Row],[Fuel and light]])</f>
        <v>120.8</v>
      </c>
      <c r="AC54" s="1">
        <f>SUM(Table1[[#This Row],[Transport and communication]])</f>
        <v>111.4</v>
      </c>
      <c r="AD54" s="1">
        <f>SUM(Table1[[#This Row],[Housing]],Table1[[#This Row],[Household goods and services]])/2</f>
        <v>122.7</v>
      </c>
      <c r="AE54" s="1">
        <f>SUM(Table1[[#This Row],[Health]])</f>
        <v>120.4</v>
      </c>
      <c r="AF54" s="1">
        <f>SUM(Table1[[#This Row],[Recreation and amusement]],Table1[[#This Row],[Education]])/2</f>
        <v>122.30000000000001</v>
      </c>
      <c r="AG54" s="1">
        <f>SUM(Table1[[#This Row],[Miscellaneous]],Table1[[#This Row],[Personal care and effects]])/2</f>
        <v>115.9</v>
      </c>
    </row>
    <row r="55" spans="1:33" hidden="1" x14ac:dyDescent="0.3">
      <c r="A55" t="s">
        <v>33</v>
      </c>
      <c r="B55">
        <v>2015</v>
      </c>
      <c r="C55" t="s">
        <v>40</v>
      </c>
      <c r="D55">
        <v>125.6</v>
      </c>
      <c r="E55">
        <v>130.4</v>
      </c>
      <c r="F55">
        <v>120.8</v>
      </c>
      <c r="G55">
        <v>129.4</v>
      </c>
      <c r="H55">
        <v>115.8</v>
      </c>
      <c r="I55">
        <v>133.19999999999999</v>
      </c>
      <c r="J55">
        <v>157.69999999999999</v>
      </c>
      <c r="K55">
        <v>154.19999999999999</v>
      </c>
      <c r="L55">
        <v>93.7</v>
      </c>
      <c r="M55">
        <v>126.6</v>
      </c>
      <c r="N55">
        <v>122.3</v>
      </c>
      <c r="O55">
        <v>133.1</v>
      </c>
      <c r="P55">
        <v>131.80000000000001</v>
      </c>
      <c r="Q55">
        <v>122.4</v>
      </c>
      <c r="R55">
        <v>124.4</v>
      </c>
      <c r="S55">
        <v>125.1</v>
      </c>
      <c r="T55">
        <v>122</v>
      </c>
      <c r="U55">
        <v>113.8</v>
      </c>
      <c r="V55">
        <v>120.1</v>
      </c>
      <c r="W55">
        <v>125.1</v>
      </c>
      <c r="X55">
        <v>114.2</v>
      </c>
      <c r="Y55">
        <v>119.2</v>
      </c>
      <c r="Z55">
        <v>127.7</v>
      </c>
      <c r="AA55" s="1">
        <f>SUM(Table1[[#This Row],[Cereals and products]:[Food and beverages]])/13</f>
        <v>128.8153846153846</v>
      </c>
      <c r="AB55" s="1">
        <f>SUM(Table1[[#This Row],[Fuel and light]])</f>
        <v>124.4</v>
      </c>
      <c r="AC55" s="1">
        <f>SUM(Table1[[#This Row],[Transport and communication]])</f>
        <v>113.8</v>
      </c>
      <c r="AD55" s="1">
        <f>SUM(Table1[[#This Row],[Housing]],Table1[[#This Row],[Household goods and services]])/2</f>
        <v>123.75</v>
      </c>
      <c r="AE55" s="1">
        <f>SUM(Table1[[#This Row],[Health]])</f>
        <v>122</v>
      </c>
      <c r="AF55" s="1">
        <f>SUM(Table1[[#This Row],[Recreation and amusement]],Table1[[#This Row],[Education]])/2</f>
        <v>122.6</v>
      </c>
      <c r="AG55" s="1">
        <f>SUM(Table1[[#This Row],[Miscellaneous]],Table1[[#This Row],[Personal care and effects]])/2</f>
        <v>116.7</v>
      </c>
    </row>
    <row r="56" spans="1:33" hidden="1" x14ac:dyDescent="0.3">
      <c r="A56" t="s">
        <v>33</v>
      </c>
      <c r="B56">
        <v>2014</v>
      </c>
      <c r="C56" t="s">
        <v>40</v>
      </c>
      <c r="D56">
        <v>122.6</v>
      </c>
      <c r="E56">
        <v>122.5</v>
      </c>
      <c r="F56">
        <v>118.3</v>
      </c>
      <c r="G56">
        <v>123.2</v>
      </c>
      <c r="H56">
        <v>110.5</v>
      </c>
      <c r="I56">
        <v>128.9</v>
      </c>
      <c r="J56">
        <v>155.30000000000001</v>
      </c>
      <c r="K56">
        <v>115.5</v>
      </c>
      <c r="L56">
        <v>104</v>
      </c>
      <c r="M56">
        <v>115.3</v>
      </c>
      <c r="N56">
        <v>116.8</v>
      </c>
      <c r="O56">
        <v>123.2</v>
      </c>
      <c r="P56">
        <v>125.1</v>
      </c>
      <c r="Q56">
        <v>110.5</v>
      </c>
      <c r="R56">
        <v>116.4</v>
      </c>
      <c r="S56">
        <v>117.5</v>
      </c>
      <c r="T56">
        <v>115.3</v>
      </c>
      <c r="U56">
        <v>112.6</v>
      </c>
      <c r="V56">
        <v>113</v>
      </c>
      <c r="W56">
        <v>116.9</v>
      </c>
      <c r="X56">
        <v>109.3</v>
      </c>
      <c r="Y56">
        <v>114</v>
      </c>
      <c r="Z56">
        <v>121</v>
      </c>
      <c r="AA56" s="1">
        <f>SUM(Table1[[#This Row],[Cereals and products]:[Food and beverages]])/13</f>
        <v>121.63076923076922</v>
      </c>
      <c r="AB56" s="1">
        <f>SUM(Table1[[#This Row],[Fuel and light]])</f>
        <v>116.4</v>
      </c>
      <c r="AC56" s="1">
        <f>SUM(Table1[[#This Row],[Transport and communication]])</f>
        <v>112.6</v>
      </c>
      <c r="AD56" s="1">
        <f>SUM(Table1[[#This Row],[Housing]],Table1[[#This Row],[Household goods and services]])/2</f>
        <v>114</v>
      </c>
      <c r="AE56" s="1">
        <f>SUM(Table1[[#This Row],[Health]])</f>
        <v>115.3</v>
      </c>
      <c r="AF56" s="1">
        <f>SUM(Table1[[#This Row],[Recreation and amusement]],Table1[[#This Row],[Education]])/2</f>
        <v>114.95</v>
      </c>
      <c r="AG56" s="1">
        <f>SUM(Table1[[#This Row],[Miscellaneous]],Table1[[#This Row],[Personal care and effects]])/2</f>
        <v>111.65</v>
      </c>
    </row>
    <row r="57" spans="1:33" hidden="1" x14ac:dyDescent="0.3">
      <c r="A57" t="s">
        <v>35</v>
      </c>
      <c r="B57">
        <v>2014</v>
      </c>
      <c r="C57" t="s">
        <v>40</v>
      </c>
      <c r="D57">
        <v>123.2</v>
      </c>
      <c r="E57">
        <v>123.8</v>
      </c>
      <c r="F57">
        <v>118.1</v>
      </c>
      <c r="G57">
        <v>123.2</v>
      </c>
      <c r="H57">
        <v>107.9</v>
      </c>
      <c r="I57">
        <v>126.4</v>
      </c>
      <c r="J57">
        <v>156.80000000000001</v>
      </c>
      <c r="K57">
        <v>116.1</v>
      </c>
      <c r="L57">
        <v>103.1</v>
      </c>
      <c r="M57">
        <v>118.1</v>
      </c>
      <c r="N57">
        <v>116.1</v>
      </c>
      <c r="O57">
        <v>124.5</v>
      </c>
      <c r="P57">
        <v>125.4</v>
      </c>
      <c r="Q57">
        <v>116.7</v>
      </c>
      <c r="R57">
        <v>114.7</v>
      </c>
      <c r="S57">
        <v>116.7</v>
      </c>
      <c r="T57">
        <v>114.3</v>
      </c>
      <c r="U57">
        <v>111.8</v>
      </c>
      <c r="V57">
        <v>113.3</v>
      </c>
      <c r="W57">
        <v>118.8</v>
      </c>
      <c r="X57">
        <v>109.6</v>
      </c>
      <c r="Y57">
        <v>113.9</v>
      </c>
      <c r="Z57">
        <v>120.1</v>
      </c>
      <c r="AA57" s="1">
        <f>SUM(Table1[[#This Row],[Cereals and products]:[Food and beverages]])/13</f>
        <v>121.74615384615385</v>
      </c>
      <c r="AB57" s="1">
        <f>SUM(Table1[[#This Row],[Fuel and light]])</f>
        <v>114.7</v>
      </c>
      <c r="AC57" s="1">
        <f>SUM(Table1[[#This Row],[Transport and communication]])</f>
        <v>111.8</v>
      </c>
      <c r="AD57" s="1">
        <f>SUM(Table1[[#This Row],[Housing]],Table1[[#This Row],[Household goods and services]])/2</f>
        <v>116.7</v>
      </c>
      <c r="AE57" s="1">
        <f>SUM(Table1[[#This Row],[Health]])</f>
        <v>114.3</v>
      </c>
      <c r="AF57" s="1">
        <f>SUM(Table1[[#This Row],[Recreation and amusement]],Table1[[#This Row],[Education]])/2</f>
        <v>116.05</v>
      </c>
      <c r="AG57" s="1">
        <f>SUM(Table1[[#This Row],[Miscellaneous]],Table1[[#This Row],[Personal care and effects]])/2</f>
        <v>111.75</v>
      </c>
    </row>
    <row r="58" spans="1:33" hidden="1" x14ac:dyDescent="0.3">
      <c r="A58" t="s">
        <v>36</v>
      </c>
      <c r="B58">
        <v>2014</v>
      </c>
      <c r="C58" t="s">
        <v>40</v>
      </c>
      <c r="D58">
        <v>124.6</v>
      </c>
      <c r="E58">
        <v>126.1</v>
      </c>
      <c r="F58">
        <v>117.8</v>
      </c>
      <c r="G58">
        <v>123.1</v>
      </c>
      <c r="H58">
        <v>103.5</v>
      </c>
      <c r="I58">
        <v>123.5</v>
      </c>
      <c r="J58">
        <v>159.6</v>
      </c>
      <c r="K58">
        <v>117.4</v>
      </c>
      <c r="L58">
        <v>101.2</v>
      </c>
      <c r="M58">
        <v>123.8</v>
      </c>
      <c r="N58">
        <v>115.2</v>
      </c>
      <c r="O58">
        <v>125.9</v>
      </c>
      <c r="P58">
        <v>125.8</v>
      </c>
      <c r="Q58">
        <v>116.7</v>
      </c>
      <c r="R58">
        <v>112</v>
      </c>
      <c r="S58">
        <v>115.8</v>
      </c>
      <c r="T58">
        <v>112.6</v>
      </c>
      <c r="U58">
        <v>111</v>
      </c>
      <c r="V58">
        <v>113.6</v>
      </c>
      <c r="W58">
        <v>120.2</v>
      </c>
      <c r="X58">
        <v>110.1</v>
      </c>
      <c r="Y58">
        <v>113.7</v>
      </c>
      <c r="Z58">
        <v>119.1</v>
      </c>
      <c r="AA58" s="1">
        <f>SUM(Table1[[#This Row],[Cereals and products]:[Food and beverages]])/13</f>
        <v>122.11538461538461</v>
      </c>
      <c r="AB58" s="1">
        <f>SUM(Table1[[#This Row],[Fuel and light]])</f>
        <v>112</v>
      </c>
      <c r="AC58" s="1">
        <f>SUM(Table1[[#This Row],[Transport and communication]])</f>
        <v>111</v>
      </c>
      <c r="AD58" s="1">
        <f>SUM(Table1[[#This Row],[Housing]],Table1[[#This Row],[Household goods and services]])/2</f>
        <v>116.25</v>
      </c>
      <c r="AE58" s="1">
        <f>SUM(Table1[[#This Row],[Health]])</f>
        <v>112.6</v>
      </c>
      <c r="AF58" s="1">
        <f>SUM(Table1[[#This Row],[Recreation and amusement]],Table1[[#This Row],[Education]])/2</f>
        <v>116.9</v>
      </c>
      <c r="AG58" s="1">
        <f>SUM(Table1[[#This Row],[Miscellaneous]],Table1[[#This Row],[Personal care and effects]])/2</f>
        <v>111.9</v>
      </c>
    </row>
    <row r="59" spans="1:33" hidden="1" x14ac:dyDescent="0.3">
      <c r="A59" t="s">
        <v>33</v>
      </c>
      <c r="B59">
        <v>2013</v>
      </c>
      <c r="C59" t="s">
        <v>40</v>
      </c>
      <c r="D59">
        <v>116.3</v>
      </c>
      <c r="E59">
        <v>115.4</v>
      </c>
      <c r="F59">
        <v>112.6</v>
      </c>
      <c r="G59">
        <v>111.7</v>
      </c>
      <c r="H59">
        <v>107.7</v>
      </c>
      <c r="I59">
        <v>113.2</v>
      </c>
      <c r="J59">
        <v>164.9</v>
      </c>
      <c r="K59">
        <v>108.3</v>
      </c>
      <c r="L59">
        <v>103.9</v>
      </c>
      <c r="M59">
        <v>108.2</v>
      </c>
      <c r="N59">
        <v>111.1</v>
      </c>
      <c r="O59">
        <v>114.9</v>
      </c>
      <c r="P59">
        <v>119.8</v>
      </c>
      <c r="Q59">
        <v>169.5</v>
      </c>
      <c r="R59">
        <v>111.6</v>
      </c>
      <c r="S59">
        <v>110.4</v>
      </c>
      <c r="T59">
        <v>108.9</v>
      </c>
      <c r="U59">
        <v>109.3</v>
      </c>
      <c r="V59">
        <v>108.3</v>
      </c>
      <c r="W59">
        <v>110.2</v>
      </c>
      <c r="X59">
        <v>107.5</v>
      </c>
      <c r="Y59">
        <v>109.1</v>
      </c>
      <c r="Z59">
        <v>115.5</v>
      </c>
      <c r="AA59" s="1">
        <f>SUM(Table1[[#This Row],[Cereals and products]:[Food and beverages]])/13</f>
        <v>116</v>
      </c>
      <c r="AB59" s="1">
        <f>SUM(Table1[[#This Row],[Fuel and light]])</f>
        <v>111.6</v>
      </c>
      <c r="AC59" s="1">
        <f>SUM(Table1[[#This Row],[Transport and communication]])</f>
        <v>109.3</v>
      </c>
      <c r="AD59" s="1">
        <f>SUM(Table1[[#This Row],[Housing]],Table1[[#This Row],[Household goods and services]])/2</f>
        <v>139.94999999999999</v>
      </c>
      <c r="AE59" s="1">
        <f>SUM(Table1[[#This Row],[Health]])</f>
        <v>108.9</v>
      </c>
      <c r="AF59" s="1">
        <f>SUM(Table1[[#This Row],[Recreation and amusement]],Table1[[#This Row],[Education]])/2</f>
        <v>109.25</v>
      </c>
      <c r="AG59" s="1">
        <f>SUM(Table1[[#This Row],[Miscellaneous]],Table1[[#This Row],[Personal care and effects]])/2</f>
        <v>108.3</v>
      </c>
    </row>
    <row r="60" spans="1:33" hidden="1" x14ac:dyDescent="0.3">
      <c r="A60" t="s">
        <v>35</v>
      </c>
      <c r="B60">
        <v>2013</v>
      </c>
      <c r="C60" t="s">
        <v>40</v>
      </c>
      <c r="D60">
        <v>117.1</v>
      </c>
      <c r="E60">
        <v>116.3</v>
      </c>
      <c r="F60">
        <v>113.3</v>
      </c>
      <c r="G60">
        <v>111.2</v>
      </c>
      <c r="H60">
        <v>105.7</v>
      </c>
      <c r="I60">
        <v>109.9</v>
      </c>
      <c r="J60">
        <v>171.2</v>
      </c>
      <c r="K60">
        <v>107.3</v>
      </c>
      <c r="L60">
        <v>102.7</v>
      </c>
      <c r="M60">
        <v>108.7</v>
      </c>
      <c r="N60">
        <v>111.2</v>
      </c>
      <c r="O60">
        <v>115.4</v>
      </c>
      <c r="P60">
        <v>120.2</v>
      </c>
      <c r="Q60">
        <v>110.5</v>
      </c>
      <c r="R60">
        <v>110.9</v>
      </c>
      <c r="S60">
        <v>110.3</v>
      </c>
      <c r="T60">
        <v>108.6</v>
      </c>
      <c r="U60">
        <v>109.5</v>
      </c>
      <c r="V60">
        <v>108.1</v>
      </c>
      <c r="W60">
        <v>110.8</v>
      </c>
      <c r="X60">
        <v>107.4</v>
      </c>
      <c r="Y60">
        <v>109.2</v>
      </c>
      <c r="Z60">
        <v>114.8</v>
      </c>
      <c r="AA60" s="1">
        <f>SUM(Table1[[#This Row],[Cereals and products]:[Food and beverages]])/13</f>
        <v>116.16923076923079</v>
      </c>
      <c r="AB60" s="1">
        <f>SUM(Table1[[#This Row],[Fuel and light]])</f>
        <v>110.9</v>
      </c>
      <c r="AC60" s="1">
        <f>SUM(Table1[[#This Row],[Transport and communication]])</f>
        <v>109.5</v>
      </c>
      <c r="AD60" s="1">
        <f>SUM(Table1[[#This Row],[Housing]],Table1[[#This Row],[Household goods and services]])/2</f>
        <v>110.4</v>
      </c>
      <c r="AE60" s="1">
        <f>SUM(Table1[[#This Row],[Health]])</f>
        <v>108.6</v>
      </c>
      <c r="AF60" s="1">
        <f>SUM(Table1[[#This Row],[Recreation and amusement]],Table1[[#This Row],[Education]])/2</f>
        <v>109.44999999999999</v>
      </c>
      <c r="AG60" s="1">
        <f>SUM(Table1[[#This Row],[Miscellaneous]],Table1[[#This Row],[Personal care and effects]])/2</f>
        <v>108.30000000000001</v>
      </c>
    </row>
    <row r="61" spans="1:33" hidden="1" x14ac:dyDescent="0.3">
      <c r="A61" t="s">
        <v>36</v>
      </c>
      <c r="B61">
        <v>2013</v>
      </c>
      <c r="C61" t="s">
        <v>40</v>
      </c>
      <c r="D61">
        <v>118.9</v>
      </c>
      <c r="E61">
        <v>118.1</v>
      </c>
      <c r="F61">
        <v>114.5</v>
      </c>
      <c r="G61">
        <v>110.4</v>
      </c>
      <c r="H61">
        <v>102.3</v>
      </c>
      <c r="I61">
        <v>106.2</v>
      </c>
      <c r="J61">
        <v>183.5</v>
      </c>
      <c r="K61">
        <v>105.3</v>
      </c>
      <c r="L61">
        <v>100.2</v>
      </c>
      <c r="M61">
        <v>109.6</v>
      </c>
      <c r="N61">
        <v>111.4</v>
      </c>
      <c r="O61">
        <v>116</v>
      </c>
      <c r="P61">
        <v>120.8</v>
      </c>
      <c r="Q61">
        <v>110.5</v>
      </c>
      <c r="R61">
        <v>109.7</v>
      </c>
      <c r="S61">
        <v>110.2</v>
      </c>
      <c r="T61">
        <v>108.2</v>
      </c>
      <c r="U61">
        <v>109.7</v>
      </c>
      <c r="V61">
        <v>108</v>
      </c>
      <c r="W61">
        <v>111.3</v>
      </c>
      <c r="X61">
        <v>107.3</v>
      </c>
      <c r="Y61">
        <v>109.4</v>
      </c>
      <c r="Z61">
        <v>114</v>
      </c>
      <c r="AA61" s="1">
        <f>SUM(Table1[[#This Row],[Cereals and products]:[Food and beverages]])/13</f>
        <v>116.7076923076923</v>
      </c>
      <c r="AB61" s="1">
        <f>SUM(Table1[[#This Row],[Fuel and light]])</f>
        <v>109.7</v>
      </c>
      <c r="AC61" s="1">
        <f>SUM(Table1[[#This Row],[Transport and communication]])</f>
        <v>109.7</v>
      </c>
      <c r="AD61" s="1">
        <f>SUM(Table1[[#This Row],[Housing]],Table1[[#This Row],[Household goods and services]])/2</f>
        <v>110.35</v>
      </c>
      <c r="AE61" s="1">
        <f>SUM(Table1[[#This Row],[Health]])</f>
        <v>108.2</v>
      </c>
      <c r="AF61" s="1">
        <f>SUM(Table1[[#This Row],[Recreation and amusement]],Table1[[#This Row],[Education]])/2</f>
        <v>109.65</v>
      </c>
      <c r="AG61" s="1">
        <f>SUM(Table1[[#This Row],[Miscellaneous]],Table1[[#This Row],[Personal care and effects]])/2</f>
        <v>108.35</v>
      </c>
    </row>
    <row r="62" spans="1:33" hidden="1" x14ac:dyDescent="0.3">
      <c r="A62" t="s">
        <v>33</v>
      </c>
      <c r="B62">
        <v>2013</v>
      </c>
      <c r="C62" t="s">
        <v>44</v>
      </c>
      <c r="D62">
        <v>117.3</v>
      </c>
      <c r="E62">
        <v>114.9</v>
      </c>
      <c r="F62">
        <v>116.2</v>
      </c>
      <c r="G62">
        <v>112.8</v>
      </c>
      <c r="H62">
        <v>108.9</v>
      </c>
      <c r="I62">
        <v>116.6</v>
      </c>
      <c r="J62">
        <v>178.1</v>
      </c>
      <c r="K62">
        <v>109.1</v>
      </c>
      <c r="L62">
        <v>103.6</v>
      </c>
      <c r="M62">
        <v>109</v>
      </c>
      <c r="N62">
        <v>111.8</v>
      </c>
      <c r="O62">
        <v>116</v>
      </c>
      <c r="P62">
        <v>122.5</v>
      </c>
      <c r="Q62">
        <v>171.2</v>
      </c>
      <c r="R62">
        <v>112.6</v>
      </c>
      <c r="S62">
        <v>111.3</v>
      </c>
      <c r="T62">
        <v>109.7</v>
      </c>
      <c r="U62">
        <v>109.6</v>
      </c>
      <c r="V62">
        <v>108.7</v>
      </c>
      <c r="W62">
        <v>111</v>
      </c>
      <c r="X62">
        <v>108.2</v>
      </c>
      <c r="Y62">
        <v>109.8</v>
      </c>
      <c r="Z62">
        <v>117.4</v>
      </c>
      <c r="AA62" s="1">
        <f>SUM(Table1[[#This Row],[Cereals and products]:[Food and beverages]])/13</f>
        <v>118.21538461538461</v>
      </c>
      <c r="AB62" s="1">
        <f>SUM(Table1[[#This Row],[Fuel and light]])</f>
        <v>112.6</v>
      </c>
      <c r="AC62" s="1">
        <f>SUM(Table1[[#This Row],[Transport and communication]])</f>
        <v>109.6</v>
      </c>
      <c r="AD62" s="1">
        <f>SUM(Table1[[#This Row],[Housing]],Table1[[#This Row],[Household goods and services]])/2</f>
        <v>141.25</v>
      </c>
      <c r="AE62" s="1">
        <f>SUM(Table1[[#This Row],[Health]])</f>
        <v>109.7</v>
      </c>
      <c r="AF62" s="1">
        <f>SUM(Table1[[#This Row],[Recreation and amusement]],Table1[[#This Row],[Education]])/2</f>
        <v>109.85</v>
      </c>
      <c r="AG62" s="1">
        <f>SUM(Table1[[#This Row],[Miscellaneous]],Table1[[#This Row],[Personal care and effects]])/2</f>
        <v>109</v>
      </c>
    </row>
    <row r="63" spans="1:33" hidden="1" x14ac:dyDescent="0.3">
      <c r="A63" t="s">
        <v>33</v>
      </c>
      <c r="B63">
        <v>2022</v>
      </c>
      <c r="C63" t="s">
        <v>45</v>
      </c>
      <c r="D63">
        <v>166.9</v>
      </c>
      <c r="E63">
        <v>207.2</v>
      </c>
      <c r="F63">
        <v>180.2</v>
      </c>
      <c r="G63">
        <v>172.3</v>
      </c>
      <c r="H63">
        <v>194</v>
      </c>
      <c r="I63">
        <v>159.1</v>
      </c>
      <c r="J63">
        <v>171.6</v>
      </c>
      <c r="K63">
        <v>170.2</v>
      </c>
      <c r="L63">
        <v>121.5</v>
      </c>
      <c r="M63">
        <v>204.8</v>
      </c>
      <c r="N63">
        <v>176.4</v>
      </c>
      <c r="O63">
        <v>186.9</v>
      </c>
      <c r="P63">
        <v>176.6</v>
      </c>
      <c r="Q63">
        <v>164.2</v>
      </c>
      <c r="R63">
        <v>181.9</v>
      </c>
      <c r="S63">
        <v>175.5</v>
      </c>
      <c r="T63">
        <v>182.3</v>
      </c>
      <c r="U63">
        <v>167.5</v>
      </c>
      <c r="V63">
        <v>170.8</v>
      </c>
      <c r="W63">
        <v>176.9</v>
      </c>
      <c r="X63">
        <v>173.4</v>
      </c>
      <c r="Y63">
        <v>174.6</v>
      </c>
      <c r="Z63">
        <v>177.8</v>
      </c>
      <c r="AA63" s="1">
        <f>SUM(Table1[[#This Row],[Cereals and products]:[Food and beverages]])/13</f>
        <v>175.97692307692307</v>
      </c>
      <c r="AB63" s="1">
        <f>SUM(Table1[[#This Row],[Fuel and light]])</f>
        <v>181.9</v>
      </c>
      <c r="AC63" s="1">
        <f>SUM(Table1[[#This Row],[Transport and communication]])</f>
        <v>167.5</v>
      </c>
      <c r="AD63" s="1">
        <f>SUM(Table1[[#This Row],[Housing]],Table1[[#This Row],[Household goods and services]])/2</f>
        <v>169.85</v>
      </c>
      <c r="AE63" s="1">
        <f>SUM(Table1[[#This Row],[Health]])</f>
        <v>182.3</v>
      </c>
      <c r="AF63" s="1">
        <f>SUM(Table1[[#This Row],[Recreation and amusement]],Table1[[#This Row],[Education]])/2</f>
        <v>173.85000000000002</v>
      </c>
      <c r="AG63" s="1">
        <f>SUM(Table1[[#This Row],[Miscellaneous]],Table1[[#This Row],[Personal care and effects]])/2</f>
        <v>174</v>
      </c>
    </row>
    <row r="64" spans="1:33" hidden="1" x14ac:dyDescent="0.3">
      <c r="A64" t="s">
        <v>35</v>
      </c>
      <c r="B64">
        <v>2022</v>
      </c>
      <c r="C64" t="s">
        <v>45</v>
      </c>
      <c r="D64">
        <v>167.4</v>
      </c>
      <c r="E64">
        <v>209.4</v>
      </c>
      <c r="F64">
        <v>181.4</v>
      </c>
      <c r="G64">
        <v>172.3</v>
      </c>
      <c r="H64">
        <v>188.9</v>
      </c>
      <c r="I64">
        <v>160.69999999999999</v>
      </c>
      <c r="J64">
        <v>183.1</v>
      </c>
      <c r="K64">
        <v>170.5</v>
      </c>
      <c r="L64">
        <v>122.1</v>
      </c>
      <c r="M64">
        <v>202.8</v>
      </c>
      <c r="N64">
        <v>170.4</v>
      </c>
      <c r="O64">
        <v>189.5</v>
      </c>
      <c r="P64">
        <v>178.3</v>
      </c>
      <c r="Q64">
        <v>171.8</v>
      </c>
      <c r="R64">
        <v>181.3</v>
      </c>
      <c r="S64">
        <v>171.4</v>
      </c>
      <c r="T64">
        <v>179.8</v>
      </c>
      <c r="U64">
        <v>163</v>
      </c>
      <c r="V64">
        <v>168.5</v>
      </c>
      <c r="W64">
        <v>173.7</v>
      </c>
      <c r="X64">
        <v>173.6</v>
      </c>
      <c r="Y64">
        <v>171.1</v>
      </c>
      <c r="Z64">
        <v>176.5</v>
      </c>
      <c r="AA64" s="1">
        <f>SUM(Table1[[#This Row],[Cereals and products]:[Food and beverages]])/13</f>
        <v>176.67692307692309</v>
      </c>
      <c r="AB64" s="1">
        <f>SUM(Table1[[#This Row],[Fuel and light]])</f>
        <v>181.3</v>
      </c>
      <c r="AC64" s="1">
        <f>SUM(Table1[[#This Row],[Transport and communication]])</f>
        <v>163</v>
      </c>
      <c r="AD64" s="1">
        <f>SUM(Table1[[#This Row],[Housing]],Table1[[#This Row],[Household goods and services]])/2</f>
        <v>171.60000000000002</v>
      </c>
      <c r="AE64" s="1">
        <f>SUM(Table1[[#This Row],[Health]])</f>
        <v>179.8</v>
      </c>
      <c r="AF64" s="1">
        <f>SUM(Table1[[#This Row],[Recreation and amusement]],Table1[[#This Row],[Education]])/2</f>
        <v>171.1</v>
      </c>
      <c r="AG64" s="1">
        <f>SUM(Table1[[#This Row],[Miscellaneous]],Table1[[#This Row],[Personal care and effects]])/2</f>
        <v>172.35</v>
      </c>
    </row>
    <row r="65" spans="1:33" hidden="1" x14ac:dyDescent="0.3">
      <c r="A65" t="s">
        <v>36</v>
      </c>
      <c r="B65">
        <v>2022</v>
      </c>
      <c r="C65" t="s">
        <v>45</v>
      </c>
      <c r="D65">
        <v>168.4</v>
      </c>
      <c r="E65">
        <v>213.4</v>
      </c>
      <c r="F65">
        <v>183.2</v>
      </c>
      <c r="G65">
        <v>172.3</v>
      </c>
      <c r="H65">
        <v>180</v>
      </c>
      <c r="I65">
        <v>162.6</v>
      </c>
      <c r="J65">
        <v>205.5</v>
      </c>
      <c r="K65">
        <v>171</v>
      </c>
      <c r="L65">
        <v>123.4</v>
      </c>
      <c r="M65">
        <v>198.8</v>
      </c>
      <c r="N65">
        <v>162.1</v>
      </c>
      <c r="O65">
        <v>192.4</v>
      </c>
      <c r="P65">
        <v>181.3</v>
      </c>
      <c r="Q65">
        <v>171.8</v>
      </c>
      <c r="R65">
        <v>180.3</v>
      </c>
      <c r="S65">
        <v>166.9</v>
      </c>
      <c r="T65">
        <v>175.8</v>
      </c>
      <c r="U65">
        <v>158.9</v>
      </c>
      <c r="V65">
        <v>166.7</v>
      </c>
      <c r="W65">
        <v>171.5</v>
      </c>
      <c r="X65">
        <v>173.8</v>
      </c>
      <c r="Y65">
        <v>167.4</v>
      </c>
      <c r="Z65">
        <v>174.1</v>
      </c>
      <c r="AA65" s="1">
        <f>SUM(Table1[[#This Row],[Cereals and products]:[Food and beverages]])/13</f>
        <v>178.03076923076924</v>
      </c>
      <c r="AB65" s="1">
        <f>SUM(Table1[[#This Row],[Fuel and light]])</f>
        <v>180.3</v>
      </c>
      <c r="AC65" s="1">
        <f>SUM(Table1[[#This Row],[Transport and communication]])</f>
        <v>158.9</v>
      </c>
      <c r="AD65" s="1">
        <f>SUM(Table1[[#This Row],[Housing]],Table1[[#This Row],[Household goods and services]])/2</f>
        <v>169.35000000000002</v>
      </c>
      <c r="AE65" s="1">
        <f>SUM(Table1[[#This Row],[Health]])</f>
        <v>175.8</v>
      </c>
      <c r="AF65" s="1">
        <f>SUM(Table1[[#This Row],[Recreation and amusement]],Table1[[#This Row],[Education]])/2</f>
        <v>169.1</v>
      </c>
      <c r="AG65" s="1">
        <f>SUM(Table1[[#This Row],[Miscellaneous]],Table1[[#This Row],[Personal care and effects]])/2</f>
        <v>170.60000000000002</v>
      </c>
    </row>
    <row r="66" spans="1:33" hidden="1" x14ac:dyDescent="0.3">
      <c r="A66" t="s">
        <v>33</v>
      </c>
      <c r="B66">
        <v>2019</v>
      </c>
      <c r="C66" t="s">
        <v>46</v>
      </c>
      <c r="D66">
        <v>136.9</v>
      </c>
      <c r="E66">
        <v>154.1</v>
      </c>
      <c r="F66">
        <v>138.69999999999999</v>
      </c>
      <c r="G66">
        <v>142.5</v>
      </c>
      <c r="H66">
        <v>124.1</v>
      </c>
      <c r="I66">
        <v>136.1</v>
      </c>
      <c r="J66">
        <v>128.19999999999999</v>
      </c>
      <c r="K66">
        <v>122.3</v>
      </c>
      <c r="L66">
        <v>108.3</v>
      </c>
      <c r="M66">
        <v>138.9</v>
      </c>
      <c r="N66">
        <v>137.4</v>
      </c>
      <c r="O66">
        <v>156.4</v>
      </c>
      <c r="P66">
        <v>137.30000000000001</v>
      </c>
      <c r="Q66">
        <f>AVERAGE(Q67:Q68)</f>
        <v>149</v>
      </c>
      <c r="R66">
        <v>146.4</v>
      </c>
      <c r="S66">
        <v>150</v>
      </c>
      <c r="T66">
        <v>150.4</v>
      </c>
      <c r="U66">
        <v>129.9</v>
      </c>
      <c r="V66">
        <v>143.80000000000001</v>
      </c>
      <c r="W66">
        <v>155.5</v>
      </c>
      <c r="X66">
        <v>134</v>
      </c>
      <c r="Y66">
        <v>142.4</v>
      </c>
      <c r="Z66">
        <v>141.19999999999999</v>
      </c>
      <c r="AA66" s="1">
        <f>SUM(Table1[[#This Row],[Cereals and products]:[Food and beverages]])/13</f>
        <v>135.4769230769231</v>
      </c>
      <c r="AB66" s="1">
        <f>SUM(Table1[[#This Row],[Fuel and light]])</f>
        <v>146.4</v>
      </c>
      <c r="AC66" s="1">
        <f>SUM(Table1[[#This Row],[Transport and communication]])</f>
        <v>129.9</v>
      </c>
      <c r="AD66" s="1">
        <f>SUM(Table1[[#This Row],[Housing]],Table1[[#This Row],[Household goods and services]])/2</f>
        <v>149.5</v>
      </c>
      <c r="AE66" s="1">
        <f>SUM(Table1[[#This Row],[Health]])</f>
        <v>150.4</v>
      </c>
      <c r="AF66" s="1">
        <f>SUM(Table1[[#This Row],[Recreation and amusement]],Table1[[#This Row],[Education]])/2</f>
        <v>149.65</v>
      </c>
      <c r="AG66" s="1">
        <f>SUM(Table1[[#This Row],[Miscellaneous]],Table1[[#This Row],[Personal care and effects]])/2</f>
        <v>138.19999999999999</v>
      </c>
    </row>
    <row r="67" spans="1:33" hidden="1" x14ac:dyDescent="0.3">
      <c r="A67" t="s">
        <v>35</v>
      </c>
      <c r="B67">
        <v>2019</v>
      </c>
      <c r="C67" t="s">
        <v>46</v>
      </c>
      <c r="D67">
        <v>137.80000000000001</v>
      </c>
      <c r="E67">
        <v>153</v>
      </c>
      <c r="F67">
        <v>140.30000000000001</v>
      </c>
      <c r="G67">
        <v>142.30000000000001</v>
      </c>
      <c r="H67">
        <v>122</v>
      </c>
      <c r="I67">
        <v>137.6</v>
      </c>
      <c r="J67">
        <v>132.6</v>
      </c>
      <c r="K67">
        <v>121.8</v>
      </c>
      <c r="L67">
        <v>109</v>
      </c>
      <c r="M67">
        <v>139.5</v>
      </c>
      <c r="N67">
        <v>133.69999999999999</v>
      </c>
      <c r="O67">
        <v>155.19999999999999</v>
      </c>
      <c r="P67">
        <v>138.1</v>
      </c>
      <c r="Q67">
        <v>149</v>
      </c>
      <c r="R67">
        <v>139.69999999999999</v>
      </c>
      <c r="S67">
        <v>143.80000000000001</v>
      </c>
      <c r="T67">
        <v>146.19999999999999</v>
      </c>
      <c r="U67">
        <v>124.6</v>
      </c>
      <c r="V67">
        <v>137.69999999999999</v>
      </c>
      <c r="W67">
        <v>150.30000000000001</v>
      </c>
      <c r="X67">
        <v>133.4</v>
      </c>
      <c r="Y67">
        <v>137.69999999999999</v>
      </c>
      <c r="Z67">
        <v>140.4</v>
      </c>
      <c r="AA67" s="1">
        <f>SUM(Table1[[#This Row],[Cereals and products]:[Food and beverages]])/13</f>
        <v>135.6076923076923</v>
      </c>
      <c r="AB67" s="1">
        <f>SUM(Table1[[#This Row],[Fuel and light]])</f>
        <v>139.69999999999999</v>
      </c>
      <c r="AC67" s="1">
        <f>SUM(Table1[[#This Row],[Transport and communication]])</f>
        <v>124.6</v>
      </c>
      <c r="AD67" s="1">
        <f>SUM(Table1[[#This Row],[Housing]],Table1[[#This Row],[Household goods and services]])/2</f>
        <v>146.4</v>
      </c>
      <c r="AE67" s="1">
        <f>SUM(Table1[[#This Row],[Health]])</f>
        <v>146.19999999999999</v>
      </c>
      <c r="AF67" s="1">
        <f>SUM(Table1[[#This Row],[Recreation and amusement]],Table1[[#This Row],[Education]])/2</f>
        <v>144</v>
      </c>
      <c r="AG67" s="1">
        <f>SUM(Table1[[#This Row],[Miscellaneous]],Table1[[#This Row],[Personal care and effects]])/2</f>
        <v>135.55000000000001</v>
      </c>
    </row>
    <row r="68" spans="1:33" hidden="1" x14ac:dyDescent="0.3">
      <c r="A68" t="s">
        <v>36</v>
      </c>
      <c r="B68">
        <v>2019</v>
      </c>
      <c r="C68" t="s">
        <v>46</v>
      </c>
      <c r="D68">
        <v>139.69999999999999</v>
      </c>
      <c r="E68">
        <v>151.1</v>
      </c>
      <c r="F68">
        <v>142.9</v>
      </c>
      <c r="G68">
        <v>141.9</v>
      </c>
      <c r="H68">
        <v>118.4</v>
      </c>
      <c r="I68">
        <v>139.4</v>
      </c>
      <c r="J68">
        <v>141.19999999999999</v>
      </c>
      <c r="K68">
        <v>120.7</v>
      </c>
      <c r="L68">
        <v>110.4</v>
      </c>
      <c r="M68">
        <v>140.69999999999999</v>
      </c>
      <c r="N68">
        <v>128.5</v>
      </c>
      <c r="O68">
        <v>153.9</v>
      </c>
      <c r="P68">
        <v>139.6</v>
      </c>
      <c r="Q68">
        <v>149</v>
      </c>
      <c r="R68">
        <v>128.80000000000001</v>
      </c>
      <c r="S68">
        <v>136.80000000000001</v>
      </c>
      <c r="T68">
        <v>139.19999999999999</v>
      </c>
      <c r="U68">
        <v>119.9</v>
      </c>
      <c r="V68">
        <v>133</v>
      </c>
      <c r="W68">
        <v>146.69999999999999</v>
      </c>
      <c r="X68">
        <v>132.5</v>
      </c>
      <c r="Y68">
        <v>132.80000000000001</v>
      </c>
      <c r="Z68">
        <v>139.5</v>
      </c>
      <c r="AA68" s="1">
        <f>SUM(Table1[[#This Row],[Cereals and products]:[Food and beverages]])/13</f>
        <v>136.03076923076924</v>
      </c>
      <c r="AB68" s="1">
        <f>SUM(Table1[[#This Row],[Fuel and light]])</f>
        <v>128.80000000000001</v>
      </c>
      <c r="AC68" s="1">
        <f>SUM(Table1[[#This Row],[Transport and communication]])</f>
        <v>119.9</v>
      </c>
      <c r="AD68" s="1">
        <f>SUM(Table1[[#This Row],[Housing]],Table1[[#This Row],[Household goods and services]])/2</f>
        <v>142.9</v>
      </c>
      <c r="AE68" s="1">
        <f>SUM(Table1[[#This Row],[Health]])</f>
        <v>139.19999999999999</v>
      </c>
      <c r="AF68" s="1">
        <f>SUM(Table1[[#This Row],[Recreation and amusement]],Table1[[#This Row],[Education]])/2</f>
        <v>139.85</v>
      </c>
      <c r="AG68" s="1">
        <f>SUM(Table1[[#This Row],[Miscellaneous]],Table1[[#This Row],[Personal care and effects]])/2</f>
        <v>132.65</v>
      </c>
    </row>
    <row r="69" spans="1:33" hidden="1" x14ac:dyDescent="0.3">
      <c r="A69" t="s">
        <v>33</v>
      </c>
      <c r="B69">
        <v>2019</v>
      </c>
      <c r="C69" t="s">
        <v>47</v>
      </c>
      <c r="D69">
        <v>137.4</v>
      </c>
      <c r="E69">
        <v>159.5</v>
      </c>
      <c r="F69">
        <v>134.5</v>
      </c>
      <c r="G69">
        <v>142.6</v>
      </c>
      <c r="H69">
        <v>124</v>
      </c>
      <c r="I69">
        <v>143.69999999999999</v>
      </c>
      <c r="J69">
        <v>133.4</v>
      </c>
      <c r="K69">
        <v>125.1</v>
      </c>
      <c r="L69">
        <v>109.3</v>
      </c>
      <c r="M69">
        <v>139.30000000000001</v>
      </c>
      <c r="N69">
        <v>137.69999999999999</v>
      </c>
      <c r="O69">
        <v>156.4</v>
      </c>
      <c r="P69">
        <v>139.19999999999999</v>
      </c>
      <c r="Q69">
        <v>150.1</v>
      </c>
      <c r="R69">
        <v>146.9</v>
      </c>
      <c r="S69">
        <v>149.5</v>
      </c>
      <c r="T69">
        <v>151.30000000000001</v>
      </c>
      <c r="U69">
        <v>130.19999999999999</v>
      </c>
      <c r="V69">
        <v>145.9</v>
      </c>
      <c r="W69">
        <v>156.69999999999999</v>
      </c>
      <c r="X69">
        <v>133.9</v>
      </c>
      <c r="Y69">
        <v>142.9</v>
      </c>
      <c r="Z69">
        <v>142.4</v>
      </c>
      <c r="AA69" s="1">
        <f>SUM(Table1[[#This Row],[Cereals and products]:[Food and beverages]])/13</f>
        <v>137.0846153846154</v>
      </c>
      <c r="AB69" s="1">
        <f>SUM(Table1[[#This Row],[Fuel and light]])</f>
        <v>146.9</v>
      </c>
      <c r="AC69" s="1">
        <f>SUM(Table1[[#This Row],[Transport and communication]])</f>
        <v>130.19999999999999</v>
      </c>
      <c r="AD69" s="1">
        <f>SUM(Table1[[#This Row],[Housing]],Table1[[#This Row],[Household goods and services]])/2</f>
        <v>149.80000000000001</v>
      </c>
      <c r="AE69" s="1">
        <f>SUM(Table1[[#This Row],[Health]])</f>
        <v>151.30000000000001</v>
      </c>
      <c r="AF69" s="1">
        <f>SUM(Table1[[#This Row],[Recreation and amusement]],Table1[[#This Row],[Education]])/2</f>
        <v>151.30000000000001</v>
      </c>
      <c r="AG69" s="1">
        <f>SUM(Table1[[#This Row],[Miscellaneous]],Table1[[#This Row],[Personal care and effects]])/2</f>
        <v>138.4</v>
      </c>
    </row>
    <row r="70" spans="1:33" hidden="1" x14ac:dyDescent="0.3">
      <c r="A70" t="s">
        <v>35</v>
      </c>
      <c r="B70">
        <v>2019</v>
      </c>
      <c r="C70" t="s">
        <v>47</v>
      </c>
      <c r="D70">
        <v>138.30000000000001</v>
      </c>
      <c r="E70">
        <v>158.5</v>
      </c>
      <c r="F70">
        <v>136</v>
      </c>
      <c r="G70">
        <v>142.5</v>
      </c>
      <c r="H70">
        <v>122</v>
      </c>
      <c r="I70">
        <v>146.5</v>
      </c>
      <c r="J70">
        <v>143</v>
      </c>
      <c r="K70">
        <v>124.9</v>
      </c>
      <c r="L70">
        <v>109.9</v>
      </c>
      <c r="M70">
        <v>139.9</v>
      </c>
      <c r="N70">
        <v>134</v>
      </c>
      <c r="O70">
        <v>155.5</v>
      </c>
      <c r="P70">
        <v>140.9</v>
      </c>
      <c r="Q70">
        <v>150.1</v>
      </c>
      <c r="R70">
        <v>140.30000000000001</v>
      </c>
      <c r="S70">
        <v>143.69999999999999</v>
      </c>
      <c r="T70">
        <v>146.9</v>
      </c>
      <c r="U70">
        <v>124.9</v>
      </c>
      <c r="V70">
        <v>139.19999999999999</v>
      </c>
      <c r="W70">
        <v>151.6</v>
      </c>
      <c r="X70">
        <v>133.4</v>
      </c>
      <c r="Y70">
        <v>138.19999999999999</v>
      </c>
      <c r="Z70">
        <v>142</v>
      </c>
      <c r="AA70" s="1">
        <f>SUM(Table1[[#This Row],[Cereals and products]:[Food and beverages]])/13</f>
        <v>137.83846153846156</v>
      </c>
      <c r="AB70" s="1">
        <f>SUM(Table1[[#This Row],[Fuel and light]])</f>
        <v>140.30000000000001</v>
      </c>
      <c r="AC70" s="1">
        <f>SUM(Table1[[#This Row],[Transport and communication]])</f>
        <v>124.9</v>
      </c>
      <c r="AD70" s="1">
        <f>SUM(Table1[[#This Row],[Housing]],Table1[[#This Row],[Household goods and services]])/2</f>
        <v>146.89999999999998</v>
      </c>
      <c r="AE70" s="1">
        <f>SUM(Table1[[#This Row],[Health]])</f>
        <v>146.9</v>
      </c>
      <c r="AF70" s="1">
        <f>SUM(Table1[[#This Row],[Recreation and amusement]],Table1[[#This Row],[Education]])/2</f>
        <v>145.39999999999998</v>
      </c>
      <c r="AG70" s="1">
        <f>SUM(Table1[[#This Row],[Miscellaneous]],Table1[[#This Row],[Personal care and effects]])/2</f>
        <v>135.80000000000001</v>
      </c>
    </row>
    <row r="71" spans="1:33" hidden="1" x14ac:dyDescent="0.3">
      <c r="A71" t="s">
        <v>36</v>
      </c>
      <c r="B71">
        <v>2019</v>
      </c>
      <c r="C71" t="s">
        <v>47</v>
      </c>
      <c r="D71">
        <v>140.4</v>
      </c>
      <c r="E71">
        <v>156.69999999999999</v>
      </c>
      <c r="F71">
        <v>138.30000000000001</v>
      </c>
      <c r="G71">
        <v>142.4</v>
      </c>
      <c r="H71">
        <v>118.6</v>
      </c>
      <c r="I71">
        <v>149.69999999999999</v>
      </c>
      <c r="J71">
        <v>161.6</v>
      </c>
      <c r="K71">
        <v>124.4</v>
      </c>
      <c r="L71">
        <v>111.2</v>
      </c>
      <c r="M71">
        <v>141</v>
      </c>
      <c r="N71">
        <v>128.9</v>
      </c>
      <c r="O71">
        <v>154.5</v>
      </c>
      <c r="P71">
        <v>143.80000000000001</v>
      </c>
      <c r="Q71">
        <v>150.1</v>
      </c>
      <c r="R71">
        <v>129.4</v>
      </c>
      <c r="S71">
        <v>137.19999999999999</v>
      </c>
      <c r="T71">
        <v>139.80000000000001</v>
      </c>
      <c r="U71">
        <v>120.1</v>
      </c>
      <c r="V71">
        <v>134</v>
      </c>
      <c r="W71">
        <v>148</v>
      </c>
      <c r="X71">
        <v>132.6</v>
      </c>
      <c r="Y71">
        <v>133.30000000000001</v>
      </c>
      <c r="Z71">
        <v>141.5</v>
      </c>
      <c r="AA71" s="1">
        <f>SUM(Table1[[#This Row],[Cereals and products]:[Food and beverages]])/13</f>
        <v>139.34615384615387</v>
      </c>
      <c r="AB71" s="1">
        <f>SUM(Table1[[#This Row],[Fuel and light]])</f>
        <v>129.4</v>
      </c>
      <c r="AC71" s="1">
        <f>SUM(Table1[[#This Row],[Transport and communication]])</f>
        <v>120.1</v>
      </c>
      <c r="AD71" s="1">
        <f>SUM(Table1[[#This Row],[Housing]],Table1[[#This Row],[Household goods and services]])/2</f>
        <v>143.64999999999998</v>
      </c>
      <c r="AE71" s="1">
        <f>SUM(Table1[[#This Row],[Health]])</f>
        <v>139.80000000000001</v>
      </c>
      <c r="AF71" s="1">
        <f>SUM(Table1[[#This Row],[Recreation and amusement]],Table1[[#This Row],[Education]])/2</f>
        <v>141</v>
      </c>
      <c r="AG71" s="1">
        <f>SUM(Table1[[#This Row],[Miscellaneous]],Table1[[#This Row],[Personal care and effects]])/2</f>
        <v>132.94999999999999</v>
      </c>
    </row>
    <row r="72" spans="1:33" hidden="1" x14ac:dyDescent="0.3">
      <c r="A72" t="s">
        <v>33</v>
      </c>
      <c r="B72">
        <v>2019</v>
      </c>
      <c r="C72" t="s">
        <v>45</v>
      </c>
      <c r="D72">
        <v>141.80000000000001</v>
      </c>
      <c r="E72">
        <v>163.69999999999999</v>
      </c>
      <c r="F72">
        <v>143.80000000000001</v>
      </c>
      <c r="G72">
        <v>147.1</v>
      </c>
      <c r="H72">
        <v>126</v>
      </c>
      <c r="I72">
        <v>146.19999999999999</v>
      </c>
      <c r="J72">
        <v>191.4</v>
      </c>
      <c r="K72">
        <v>136.19999999999999</v>
      </c>
      <c r="L72">
        <v>113.8</v>
      </c>
      <c r="M72">
        <v>147.30000000000001</v>
      </c>
      <c r="N72">
        <v>138.69999999999999</v>
      </c>
      <c r="O72">
        <v>157.69999999999999</v>
      </c>
      <c r="P72">
        <v>150.9</v>
      </c>
      <c r="Q72">
        <v>146.9</v>
      </c>
      <c r="R72">
        <v>148.4</v>
      </c>
      <c r="S72">
        <v>150.9</v>
      </c>
      <c r="T72">
        <v>154.30000000000001</v>
      </c>
      <c r="U72">
        <v>132.1</v>
      </c>
      <c r="V72">
        <v>149.1</v>
      </c>
      <c r="W72">
        <v>160.80000000000001</v>
      </c>
      <c r="X72">
        <v>140.6</v>
      </c>
      <c r="Y72">
        <v>146.1</v>
      </c>
      <c r="Z72">
        <v>149.9</v>
      </c>
      <c r="AA72" s="1">
        <f>SUM(Table1[[#This Row],[Cereals and products]:[Food and beverages]])/13</f>
        <v>146.50769230769231</v>
      </c>
      <c r="AB72" s="1">
        <f>SUM(Table1[[#This Row],[Fuel and light]])</f>
        <v>148.4</v>
      </c>
      <c r="AC72" s="1">
        <f>SUM(Table1[[#This Row],[Transport and communication]])</f>
        <v>132.1</v>
      </c>
      <c r="AD72" s="1">
        <f>SUM(Table1[[#This Row],[Housing]],Table1[[#This Row],[Household goods and services]])/2</f>
        <v>148.9</v>
      </c>
      <c r="AE72" s="1">
        <f>SUM(Table1[[#This Row],[Health]])</f>
        <v>154.30000000000001</v>
      </c>
      <c r="AF72" s="1">
        <f>SUM(Table1[[#This Row],[Recreation and amusement]],Table1[[#This Row],[Education]])/2</f>
        <v>154.94999999999999</v>
      </c>
      <c r="AG72" s="1">
        <f>SUM(Table1[[#This Row],[Miscellaneous]],Table1[[#This Row],[Personal care and effects]])/2</f>
        <v>143.35</v>
      </c>
    </row>
    <row r="73" spans="1:33" hidden="1" x14ac:dyDescent="0.3">
      <c r="A73" t="s">
        <v>35</v>
      </c>
      <c r="B73">
        <v>2019</v>
      </c>
      <c r="C73" t="s">
        <v>45</v>
      </c>
      <c r="D73">
        <v>142.5</v>
      </c>
      <c r="E73">
        <v>163.19999999999999</v>
      </c>
      <c r="F73">
        <v>145.6</v>
      </c>
      <c r="G73">
        <v>146.69999999999999</v>
      </c>
      <c r="H73">
        <v>124.3</v>
      </c>
      <c r="I73">
        <v>147.4</v>
      </c>
      <c r="J73">
        <v>199.6</v>
      </c>
      <c r="K73">
        <v>135.69999999999999</v>
      </c>
      <c r="L73">
        <v>114.2</v>
      </c>
      <c r="M73">
        <v>147</v>
      </c>
      <c r="N73">
        <v>135.30000000000001</v>
      </c>
      <c r="O73">
        <v>157.5</v>
      </c>
      <c r="P73">
        <v>151.9</v>
      </c>
      <c r="Q73">
        <v>153.5</v>
      </c>
      <c r="R73">
        <v>142.30000000000001</v>
      </c>
      <c r="S73">
        <v>145.30000000000001</v>
      </c>
      <c r="T73">
        <v>149.9</v>
      </c>
      <c r="U73">
        <v>126.6</v>
      </c>
      <c r="V73">
        <v>142.1</v>
      </c>
      <c r="W73">
        <v>155.5</v>
      </c>
      <c r="X73">
        <v>140.30000000000001</v>
      </c>
      <c r="Y73">
        <v>141.30000000000001</v>
      </c>
      <c r="Z73">
        <v>148.6</v>
      </c>
      <c r="AA73" s="1">
        <f>SUM(Table1[[#This Row],[Cereals and products]:[Food and beverages]])/13</f>
        <v>146.99230769230769</v>
      </c>
      <c r="AB73" s="1">
        <f>SUM(Table1[[#This Row],[Fuel and light]])</f>
        <v>142.30000000000001</v>
      </c>
      <c r="AC73" s="1">
        <f>SUM(Table1[[#This Row],[Transport and communication]])</f>
        <v>126.6</v>
      </c>
      <c r="AD73" s="1">
        <f>SUM(Table1[[#This Row],[Housing]],Table1[[#This Row],[Household goods and services]])/2</f>
        <v>149.4</v>
      </c>
      <c r="AE73" s="1">
        <f>SUM(Table1[[#This Row],[Health]])</f>
        <v>149.9</v>
      </c>
      <c r="AF73" s="1">
        <f>SUM(Table1[[#This Row],[Recreation and amusement]],Table1[[#This Row],[Education]])/2</f>
        <v>148.80000000000001</v>
      </c>
      <c r="AG73" s="1">
        <f>SUM(Table1[[#This Row],[Miscellaneous]],Table1[[#This Row],[Personal care and effects]])/2</f>
        <v>140.80000000000001</v>
      </c>
    </row>
    <row r="74" spans="1:33" hidden="1" x14ac:dyDescent="0.3">
      <c r="A74" t="s">
        <v>36</v>
      </c>
      <c r="B74">
        <v>2019</v>
      </c>
      <c r="C74" t="s">
        <v>45</v>
      </c>
      <c r="D74">
        <v>144.1</v>
      </c>
      <c r="E74">
        <v>162.4</v>
      </c>
      <c r="F74">
        <v>148.4</v>
      </c>
      <c r="G74">
        <v>145.9</v>
      </c>
      <c r="H74">
        <v>121.5</v>
      </c>
      <c r="I74">
        <v>148.80000000000001</v>
      </c>
      <c r="J74">
        <v>215.7</v>
      </c>
      <c r="K74">
        <v>134.6</v>
      </c>
      <c r="L74">
        <v>115</v>
      </c>
      <c r="M74">
        <v>146.30000000000001</v>
      </c>
      <c r="N74">
        <v>130.5</v>
      </c>
      <c r="O74">
        <v>157.19999999999999</v>
      </c>
      <c r="P74">
        <v>153.6</v>
      </c>
      <c r="Q74">
        <v>153.5</v>
      </c>
      <c r="R74">
        <v>132.19999999999999</v>
      </c>
      <c r="S74">
        <v>139.1</v>
      </c>
      <c r="T74">
        <v>142.80000000000001</v>
      </c>
      <c r="U74">
        <v>121.7</v>
      </c>
      <c r="V74">
        <v>136.69999999999999</v>
      </c>
      <c r="W74">
        <v>151.80000000000001</v>
      </c>
      <c r="X74">
        <v>139.80000000000001</v>
      </c>
      <c r="Y74">
        <v>136.30000000000001</v>
      </c>
      <c r="Z74">
        <v>147</v>
      </c>
      <c r="AA74" s="1">
        <f>SUM(Table1[[#This Row],[Cereals and products]:[Food and beverages]])/13</f>
        <v>147.99999999999997</v>
      </c>
      <c r="AB74" s="1">
        <f>SUM(Table1[[#This Row],[Fuel and light]])</f>
        <v>132.19999999999999</v>
      </c>
      <c r="AC74" s="1">
        <f>SUM(Table1[[#This Row],[Transport and communication]])</f>
        <v>121.7</v>
      </c>
      <c r="AD74" s="1">
        <f>SUM(Table1[[#This Row],[Housing]],Table1[[#This Row],[Household goods and services]])/2</f>
        <v>146.30000000000001</v>
      </c>
      <c r="AE74" s="1">
        <f>SUM(Table1[[#This Row],[Health]])</f>
        <v>142.80000000000001</v>
      </c>
      <c r="AF74" s="1">
        <f>SUM(Table1[[#This Row],[Recreation and amusement]],Table1[[#This Row],[Education]])/2</f>
        <v>144.25</v>
      </c>
      <c r="AG74" s="1">
        <f>SUM(Table1[[#This Row],[Miscellaneous]],Table1[[#This Row],[Personal care and effects]])/2</f>
        <v>138.05000000000001</v>
      </c>
    </row>
    <row r="75" spans="1:33" hidden="1" x14ac:dyDescent="0.3">
      <c r="A75" t="s">
        <v>33</v>
      </c>
      <c r="B75">
        <v>2018</v>
      </c>
      <c r="C75" t="s">
        <v>45</v>
      </c>
      <c r="D75">
        <v>137.1</v>
      </c>
      <c r="E75">
        <v>150.80000000000001</v>
      </c>
      <c r="F75">
        <v>136.69999999999999</v>
      </c>
      <c r="G75">
        <v>141.9</v>
      </c>
      <c r="H75">
        <v>122.8</v>
      </c>
      <c r="I75">
        <v>143.9</v>
      </c>
      <c r="J75">
        <v>147.5</v>
      </c>
      <c r="K75">
        <v>121</v>
      </c>
      <c r="L75">
        <v>111.6</v>
      </c>
      <c r="M75">
        <v>140.6</v>
      </c>
      <c r="N75">
        <v>137.5</v>
      </c>
      <c r="O75">
        <v>156.1</v>
      </c>
      <c r="P75">
        <v>140</v>
      </c>
      <c r="Q75">
        <v>138.6</v>
      </c>
      <c r="R75">
        <v>150.30000000000001</v>
      </c>
      <c r="S75">
        <v>148</v>
      </c>
      <c r="T75">
        <v>145.4</v>
      </c>
      <c r="U75">
        <v>130.30000000000001</v>
      </c>
      <c r="V75">
        <v>143.1</v>
      </c>
      <c r="W75">
        <v>150.19999999999999</v>
      </c>
      <c r="X75">
        <v>133.1</v>
      </c>
      <c r="Y75">
        <v>140.1</v>
      </c>
      <c r="Z75">
        <v>142.4</v>
      </c>
      <c r="AA75" s="1">
        <f>SUM(Table1[[#This Row],[Cereals and products]:[Food and beverages]])/13</f>
        <v>137.49999999999997</v>
      </c>
      <c r="AB75" s="1">
        <f>SUM(Table1[[#This Row],[Fuel and light]])</f>
        <v>150.30000000000001</v>
      </c>
      <c r="AC75" s="1">
        <f>SUM(Table1[[#This Row],[Transport and communication]])</f>
        <v>130.30000000000001</v>
      </c>
      <c r="AD75" s="1">
        <f>SUM(Table1[[#This Row],[Housing]],Table1[[#This Row],[Household goods and services]])/2</f>
        <v>143.30000000000001</v>
      </c>
      <c r="AE75" s="1">
        <f>SUM(Table1[[#This Row],[Health]])</f>
        <v>145.4</v>
      </c>
      <c r="AF75" s="1">
        <f>SUM(Table1[[#This Row],[Recreation and amusement]],Table1[[#This Row],[Education]])/2</f>
        <v>146.64999999999998</v>
      </c>
      <c r="AG75" s="1">
        <f>SUM(Table1[[#This Row],[Miscellaneous]],Table1[[#This Row],[Personal care and effects]])/2</f>
        <v>136.6</v>
      </c>
    </row>
    <row r="76" spans="1:33" hidden="1" x14ac:dyDescent="0.3">
      <c r="A76" t="s">
        <v>35</v>
      </c>
      <c r="B76">
        <v>2018</v>
      </c>
      <c r="C76" t="s">
        <v>45</v>
      </c>
      <c r="D76">
        <v>137.4</v>
      </c>
      <c r="E76">
        <v>149.19999999999999</v>
      </c>
      <c r="F76">
        <v>137.1</v>
      </c>
      <c r="G76">
        <v>141.80000000000001</v>
      </c>
      <c r="H76">
        <v>121.1</v>
      </c>
      <c r="I76">
        <v>142.80000000000001</v>
      </c>
      <c r="J76">
        <v>146.69999999999999</v>
      </c>
      <c r="K76">
        <v>119.1</v>
      </c>
      <c r="L76">
        <v>111.9</v>
      </c>
      <c r="M76">
        <v>140.9</v>
      </c>
      <c r="N76">
        <v>133.5</v>
      </c>
      <c r="O76">
        <v>154.5</v>
      </c>
      <c r="P76">
        <v>139.69999999999999</v>
      </c>
      <c r="Q76">
        <v>146.9</v>
      </c>
      <c r="R76">
        <v>145.1</v>
      </c>
      <c r="S76">
        <v>142.19999999999999</v>
      </c>
      <c r="T76">
        <v>142.1</v>
      </c>
      <c r="U76">
        <v>125.5</v>
      </c>
      <c r="V76">
        <v>136.5</v>
      </c>
      <c r="W76">
        <v>147.80000000000001</v>
      </c>
      <c r="X76">
        <v>132</v>
      </c>
      <c r="Y76">
        <v>136.30000000000001</v>
      </c>
      <c r="Z76">
        <v>140.80000000000001</v>
      </c>
      <c r="AA76" s="1">
        <f>SUM(Table1[[#This Row],[Cereals and products]:[Food and beverages]])/13</f>
        <v>136.59230769230771</v>
      </c>
      <c r="AB76" s="1">
        <f>SUM(Table1[[#This Row],[Fuel and light]])</f>
        <v>145.1</v>
      </c>
      <c r="AC76" s="1">
        <f>SUM(Table1[[#This Row],[Transport and communication]])</f>
        <v>125.5</v>
      </c>
      <c r="AD76" s="1">
        <f>SUM(Table1[[#This Row],[Housing]],Table1[[#This Row],[Household goods and services]])/2</f>
        <v>144.55000000000001</v>
      </c>
      <c r="AE76" s="1">
        <f>SUM(Table1[[#This Row],[Health]])</f>
        <v>142.1</v>
      </c>
      <c r="AF76" s="1">
        <f>SUM(Table1[[#This Row],[Recreation and amusement]],Table1[[#This Row],[Education]])/2</f>
        <v>142.15</v>
      </c>
      <c r="AG76" s="1">
        <f>SUM(Table1[[#This Row],[Miscellaneous]],Table1[[#This Row],[Personal care and effects]])/2</f>
        <v>134.15</v>
      </c>
    </row>
    <row r="77" spans="1:33" hidden="1" x14ac:dyDescent="0.3">
      <c r="A77" t="s">
        <v>36</v>
      </c>
      <c r="B77">
        <v>2018</v>
      </c>
      <c r="C77" t="s">
        <v>45</v>
      </c>
      <c r="D77">
        <v>138.1</v>
      </c>
      <c r="E77">
        <v>146.30000000000001</v>
      </c>
      <c r="F77">
        <v>137.80000000000001</v>
      </c>
      <c r="G77">
        <v>141.6</v>
      </c>
      <c r="H77">
        <v>118.1</v>
      </c>
      <c r="I77">
        <v>141.5</v>
      </c>
      <c r="J77">
        <v>145.19999999999999</v>
      </c>
      <c r="K77">
        <v>115.3</v>
      </c>
      <c r="L77">
        <v>112.5</v>
      </c>
      <c r="M77">
        <v>141.4</v>
      </c>
      <c r="N77">
        <v>128</v>
      </c>
      <c r="O77">
        <v>152.6</v>
      </c>
      <c r="P77">
        <v>139.1</v>
      </c>
      <c r="Q77">
        <v>146.9</v>
      </c>
      <c r="R77">
        <v>136.69999999999999</v>
      </c>
      <c r="S77">
        <v>135.80000000000001</v>
      </c>
      <c r="T77">
        <v>136.80000000000001</v>
      </c>
      <c r="U77">
        <v>121.2</v>
      </c>
      <c r="V77">
        <v>131.30000000000001</v>
      </c>
      <c r="W77">
        <v>146.1</v>
      </c>
      <c r="X77">
        <v>130.5</v>
      </c>
      <c r="Y77">
        <v>132.19999999999999</v>
      </c>
      <c r="Z77">
        <v>139</v>
      </c>
      <c r="AA77" s="1">
        <f>SUM(Table1[[#This Row],[Cereals and products]:[Food and beverages]])/13</f>
        <v>135.19230769230768</v>
      </c>
      <c r="AB77" s="1">
        <f>SUM(Table1[[#This Row],[Fuel and light]])</f>
        <v>136.69999999999999</v>
      </c>
      <c r="AC77" s="1">
        <f>SUM(Table1[[#This Row],[Transport and communication]])</f>
        <v>121.2</v>
      </c>
      <c r="AD77" s="1">
        <f>SUM(Table1[[#This Row],[Housing]],Table1[[#This Row],[Household goods and services]])/2</f>
        <v>141.35000000000002</v>
      </c>
      <c r="AE77" s="1">
        <f>SUM(Table1[[#This Row],[Health]])</f>
        <v>136.80000000000001</v>
      </c>
      <c r="AF77" s="1">
        <f>SUM(Table1[[#This Row],[Recreation and amusement]],Table1[[#This Row],[Education]])/2</f>
        <v>138.69999999999999</v>
      </c>
      <c r="AG77" s="1">
        <f>SUM(Table1[[#This Row],[Miscellaneous]],Table1[[#This Row],[Personal care and effects]])/2</f>
        <v>131.35</v>
      </c>
    </row>
    <row r="78" spans="1:33" hidden="1" x14ac:dyDescent="0.3">
      <c r="A78" t="s">
        <v>36</v>
      </c>
      <c r="B78">
        <v>2017</v>
      </c>
      <c r="C78" t="s">
        <v>45</v>
      </c>
      <c r="D78">
        <v>134.30000000000001</v>
      </c>
      <c r="E78">
        <v>142.1</v>
      </c>
      <c r="F78">
        <v>146.69999999999999</v>
      </c>
      <c r="G78">
        <v>139.5</v>
      </c>
      <c r="H78">
        <v>115.2</v>
      </c>
      <c r="I78">
        <v>136.4</v>
      </c>
      <c r="J78">
        <v>185.2</v>
      </c>
      <c r="K78">
        <v>122.2</v>
      </c>
      <c r="L78">
        <v>123.9</v>
      </c>
      <c r="M78">
        <v>138.30000000000001</v>
      </c>
      <c r="N78">
        <v>125.4</v>
      </c>
      <c r="O78">
        <v>146</v>
      </c>
      <c r="P78">
        <v>141.5</v>
      </c>
      <c r="Q78">
        <v>138.6</v>
      </c>
      <c r="R78">
        <v>125.7</v>
      </c>
      <c r="S78">
        <v>128.80000000000001</v>
      </c>
      <c r="T78">
        <v>127.4</v>
      </c>
      <c r="U78">
        <v>115.3</v>
      </c>
      <c r="V78">
        <v>125.1</v>
      </c>
      <c r="W78">
        <v>136.6</v>
      </c>
      <c r="X78">
        <v>124.9</v>
      </c>
      <c r="Y78">
        <v>124.9</v>
      </c>
      <c r="Z78">
        <v>134.80000000000001</v>
      </c>
      <c r="AA78" s="1">
        <f>SUM(Table1[[#This Row],[Cereals and products]:[Food and beverages]])/13</f>
        <v>138.2076923076923</v>
      </c>
      <c r="AB78" s="1">
        <f>SUM(Table1[[#This Row],[Fuel and light]])</f>
        <v>125.7</v>
      </c>
      <c r="AC78" s="1">
        <f>SUM(Table1[[#This Row],[Transport and communication]])</f>
        <v>115.3</v>
      </c>
      <c r="AD78" s="1">
        <f>SUM(Table1[[#This Row],[Housing]],Table1[[#This Row],[Household goods and services]])/2</f>
        <v>133.69999999999999</v>
      </c>
      <c r="AE78" s="1">
        <f>SUM(Table1[[#This Row],[Health]])</f>
        <v>127.4</v>
      </c>
      <c r="AF78" s="1">
        <f>SUM(Table1[[#This Row],[Recreation and amusement]],Table1[[#This Row],[Education]])/2</f>
        <v>130.85</v>
      </c>
      <c r="AG78" s="1">
        <f>SUM(Table1[[#This Row],[Miscellaneous]],Table1[[#This Row],[Personal care and effects]])/2</f>
        <v>124.9</v>
      </c>
    </row>
    <row r="79" spans="1:33" hidden="1" x14ac:dyDescent="0.3">
      <c r="A79" t="s">
        <v>35</v>
      </c>
      <c r="B79">
        <v>2017</v>
      </c>
      <c r="C79" t="s">
        <v>45</v>
      </c>
      <c r="D79">
        <v>135.69999999999999</v>
      </c>
      <c r="E79">
        <v>142.4</v>
      </c>
      <c r="F79">
        <v>142.9</v>
      </c>
      <c r="G79">
        <v>140.80000000000001</v>
      </c>
      <c r="H79">
        <v>119.2</v>
      </c>
      <c r="I79">
        <v>142.19999999999999</v>
      </c>
      <c r="J79">
        <v>173.8</v>
      </c>
      <c r="K79">
        <v>131.19999999999999</v>
      </c>
      <c r="L79">
        <v>123</v>
      </c>
      <c r="M79">
        <v>136.80000000000001</v>
      </c>
      <c r="N79">
        <v>129.19999999999999</v>
      </c>
      <c r="O79">
        <v>148.9</v>
      </c>
      <c r="P79">
        <v>142.1</v>
      </c>
      <c r="Q79">
        <v>138.6</v>
      </c>
      <c r="R79">
        <v>135.30000000000001</v>
      </c>
      <c r="S79">
        <v>134.4</v>
      </c>
      <c r="T79">
        <v>132.6</v>
      </c>
      <c r="U79">
        <v>118.3</v>
      </c>
      <c r="V79">
        <v>128.9</v>
      </c>
      <c r="W79">
        <v>138.6</v>
      </c>
      <c r="X79">
        <v>126.8</v>
      </c>
      <c r="Y79">
        <v>128.4</v>
      </c>
      <c r="Z79">
        <v>137.6</v>
      </c>
      <c r="AA79" s="1">
        <f>SUM(Table1[[#This Row],[Cereals and products]:[Food and beverages]])/13</f>
        <v>139.09230769230768</v>
      </c>
      <c r="AB79" s="1">
        <f>SUM(Table1[[#This Row],[Fuel and light]])</f>
        <v>135.30000000000001</v>
      </c>
      <c r="AC79" s="1">
        <f>SUM(Table1[[#This Row],[Transport and communication]])</f>
        <v>118.3</v>
      </c>
      <c r="AD79" s="1">
        <f>SUM(Table1[[#This Row],[Housing]],Table1[[#This Row],[Household goods and services]])/2</f>
        <v>136.5</v>
      </c>
      <c r="AE79" s="1">
        <f>SUM(Table1[[#This Row],[Health]])</f>
        <v>132.6</v>
      </c>
      <c r="AF79" s="1">
        <f>SUM(Table1[[#This Row],[Recreation and amusement]],Table1[[#This Row],[Education]])/2</f>
        <v>133.75</v>
      </c>
      <c r="AG79" s="1">
        <f>SUM(Table1[[#This Row],[Miscellaneous]],Table1[[#This Row],[Personal care and effects]])/2</f>
        <v>127.6</v>
      </c>
    </row>
    <row r="80" spans="1:33" hidden="1" x14ac:dyDescent="0.3">
      <c r="A80" t="s">
        <v>33</v>
      </c>
      <c r="B80">
        <v>2017</v>
      </c>
      <c r="C80" t="s">
        <v>45</v>
      </c>
      <c r="D80">
        <v>136.30000000000001</v>
      </c>
      <c r="E80">
        <v>142.5</v>
      </c>
      <c r="F80">
        <v>140.5</v>
      </c>
      <c r="G80">
        <v>141.5</v>
      </c>
      <c r="H80">
        <v>121.6</v>
      </c>
      <c r="I80">
        <v>147.30000000000001</v>
      </c>
      <c r="J80">
        <v>168</v>
      </c>
      <c r="K80">
        <v>135.80000000000001</v>
      </c>
      <c r="L80">
        <v>122.5</v>
      </c>
      <c r="M80">
        <v>136</v>
      </c>
      <c r="N80">
        <v>131.9</v>
      </c>
      <c r="O80">
        <v>151.4</v>
      </c>
      <c r="P80">
        <v>142.4</v>
      </c>
      <c r="Q80">
        <v>138.6</v>
      </c>
      <c r="R80">
        <v>141.1</v>
      </c>
      <c r="S80">
        <v>139.4</v>
      </c>
      <c r="T80">
        <v>135.80000000000001</v>
      </c>
      <c r="U80">
        <v>121.6</v>
      </c>
      <c r="V80">
        <v>133.69999999999999</v>
      </c>
      <c r="W80">
        <v>141.5</v>
      </c>
      <c r="X80">
        <v>128.1</v>
      </c>
      <c r="Y80">
        <v>131.69999999999999</v>
      </c>
      <c r="Z80">
        <v>140</v>
      </c>
      <c r="AA80" s="1">
        <f>SUM(Table1[[#This Row],[Cereals and products]:[Food and beverages]])/13</f>
        <v>139.82307692307694</v>
      </c>
      <c r="AB80" s="1">
        <f>SUM(Table1[[#This Row],[Fuel and light]])</f>
        <v>141.1</v>
      </c>
      <c r="AC80" s="1">
        <f>SUM(Table1[[#This Row],[Transport and communication]])</f>
        <v>121.6</v>
      </c>
      <c r="AD80" s="1">
        <f>SUM(Table1[[#This Row],[Housing]],Table1[[#This Row],[Household goods and services]])/2</f>
        <v>139</v>
      </c>
      <c r="AE80" s="1">
        <f>SUM(Table1[[#This Row],[Health]])</f>
        <v>135.80000000000001</v>
      </c>
      <c r="AF80" s="1">
        <f>SUM(Table1[[#This Row],[Recreation and amusement]],Table1[[#This Row],[Education]])/2</f>
        <v>137.6</v>
      </c>
      <c r="AG80" s="1">
        <f>SUM(Table1[[#This Row],[Miscellaneous]],Table1[[#This Row],[Personal care and effects]])/2</f>
        <v>129.89999999999998</v>
      </c>
    </row>
    <row r="81" spans="1:33" hidden="1" x14ac:dyDescent="0.3">
      <c r="A81" t="s">
        <v>36</v>
      </c>
      <c r="B81">
        <v>2016</v>
      </c>
      <c r="C81" t="s">
        <v>45</v>
      </c>
      <c r="D81">
        <v>130.19999999999999</v>
      </c>
      <c r="E81">
        <v>138.5</v>
      </c>
      <c r="F81">
        <v>134.1</v>
      </c>
      <c r="G81">
        <v>132.9</v>
      </c>
      <c r="H81">
        <v>112.6</v>
      </c>
      <c r="I81">
        <v>130.80000000000001</v>
      </c>
      <c r="J81">
        <v>142</v>
      </c>
      <c r="K81">
        <v>174.9</v>
      </c>
      <c r="L81">
        <v>115.6</v>
      </c>
      <c r="M81">
        <v>145.4</v>
      </c>
      <c r="N81">
        <v>122.7</v>
      </c>
      <c r="O81">
        <v>140.30000000000001</v>
      </c>
      <c r="P81">
        <v>135.19999999999999</v>
      </c>
      <c r="Q81">
        <v>129.1</v>
      </c>
      <c r="R81">
        <v>116.2</v>
      </c>
      <c r="S81">
        <v>124.7</v>
      </c>
      <c r="T81">
        <v>122.1</v>
      </c>
      <c r="U81">
        <v>113.4</v>
      </c>
      <c r="V81">
        <v>121.7</v>
      </c>
      <c r="W81">
        <v>132.1</v>
      </c>
      <c r="X81">
        <v>121.3</v>
      </c>
      <c r="Y81">
        <v>121.3</v>
      </c>
      <c r="Z81">
        <v>128.5</v>
      </c>
      <c r="AA81" s="1">
        <f>SUM(Table1[[#This Row],[Cereals and products]:[Food and beverages]])/13</f>
        <v>135.01538461538462</v>
      </c>
      <c r="AB81" s="1">
        <f>SUM(Table1[[#This Row],[Fuel and light]])</f>
        <v>116.2</v>
      </c>
      <c r="AC81" s="1">
        <f>SUM(Table1[[#This Row],[Transport and communication]])</f>
        <v>113.4</v>
      </c>
      <c r="AD81" s="1">
        <f>SUM(Table1[[#This Row],[Housing]],Table1[[#This Row],[Household goods and services]])/2</f>
        <v>126.9</v>
      </c>
      <c r="AE81" s="1">
        <f>SUM(Table1[[#This Row],[Health]])</f>
        <v>122.1</v>
      </c>
      <c r="AF81" s="1">
        <f>SUM(Table1[[#This Row],[Recreation and amusement]],Table1[[#This Row],[Education]])/2</f>
        <v>126.9</v>
      </c>
      <c r="AG81" s="1">
        <f>SUM(Table1[[#This Row],[Miscellaneous]],Table1[[#This Row],[Personal care and effects]])/2</f>
        <v>121.3</v>
      </c>
    </row>
    <row r="82" spans="1:33" hidden="1" x14ac:dyDescent="0.3">
      <c r="A82" t="s">
        <v>35</v>
      </c>
      <c r="B82">
        <v>2016</v>
      </c>
      <c r="C82" t="s">
        <v>45</v>
      </c>
      <c r="D82">
        <v>131.4</v>
      </c>
      <c r="E82">
        <v>137.80000000000001</v>
      </c>
      <c r="F82">
        <v>132</v>
      </c>
      <c r="G82">
        <v>135</v>
      </c>
      <c r="H82">
        <v>118</v>
      </c>
      <c r="I82">
        <v>134.1</v>
      </c>
      <c r="J82">
        <v>141.9</v>
      </c>
      <c r="K82">
        <v>171.7</v>
      </c>
      <c r="L82">
        <v>114.1</v>
      </c>
      <c r="M82">
        <v>139.69999999999999</v>
      </c>
      <c r="N82">
        <v>126.2</v>
      </c>
      <c r="O82">
        <v>141.80000000000001</v>
      </c>
      <c r="P82">
        <v>136.1</v>
      </c>
      <c r="Q82">
        <v>129.1</v>
      </c>
      <c r="R82">
        <v>125</v>
      </c>
      <c r="S82">
        <v>128.6</v>
      </c>
      <c r="T82">
        <v>126.4</v>
      </c>
      <c r="U82">
        <v>115.7</v>
      </c>
      <c r="V82">
        <v>124</v>
      </c>
      <c r="W82">
        <v>132.80000000000001</v>
      </c>
      <c r="X82">
        <v>122.6</v>
      </c>
      <c r="Y82">
        <v>123.8</v>
      </c>
      <c r="Z82">
        <v>131.19999999999999</v>
      </c>
      <c r="AA82" s="1">
        <f>SUM(Table1[[#This Row],[Cereals and products]:[Food and beverages]])/13</f>
        <v>135.36923076923077</v>
      </c>
      <c r="AB82" s="1">
        <f>SUM(Table1[[#This Row],[Fuel and light]])</f>
        <v>125</v>
      </c>
      <c r="AC82" s="1">
        <f>SUM(Table1[[#This Row],[Transport and communication]])</f>
        <v>115.7</v>
      </c>
      <c r="AD82" s="1">
        <f>SUM(Table1[[#This Row],[Housing]],Table1[[#This Row],[Household goods and services]])/2</f>
        <v>128.85</v>
      </c>
      <c r="AE82" s="1">
        <f>SUM(Table1[[#This Row],[Health]])</f>
        <v>126.4</v>
      </c>
      <c r="AF82" s="1">
        <f>SUM(Table1[[#This Row],[Recreation and amusement]],Table1[[#This Row],[Education]])/2</f>
        <v>128.4</v>
      </c>
      <c r="AG82" s="1">
        <f>SUM(Table1[[#This Row],[Miscellaneous]],Table1[[#This Row],[Personal care and effects]])/2</f>
        <v>123.19999999999999</v>
      </c>
    </row>
    <row r="83" spans="1:33" hidden="1" x14ac:dyDescent="0.3">
      <c r="A83" t="s">
        <v>33</v>
      </c>
      <c r="B83">
        <v>2016</v>
      </c>
      <c r="C83" t="s">
        <v>45</v>
      </c>
      <c r="D83">
        <v>132</v>
      </c>
      <c r="E83">
        <v>137.4</v>
      </c>
      <c r="F83">
        <v>130.6</v>
      </c>
      <c r="G83">
        <v>136.19999999999999</v>
      </c>
      <c r="H83">
        <v>121.1</v>
      </c>
      <c r="I83">
        <v>136.9</v>
      </c>
      <c r="J83">
        <v>141.80000000000001</v>
      </c>
      <c r="K83">
        <v>170</v>
      </c>
      <c r="L83">
        <v>113.4</v>
      </c>
      <c r="M83">
        <v>136.80000000000001</v>
      </c>
      <c r="N83">
        <v>128.69999999999999</v>
      </c>
      <c r="O83">
        <v>143.1</v>
      </c>
      <c r="P83">
        <v>136.6</v>
      </c>
      <c r="Q83">
        <v>129.1</v>
      </c>
      <c r="R83">
        <v>130.30000000000001</v>
      </c>
      <c r="S83">
        <v>132.1</v>
      </c>
      <c r="T83">
        <v>129.1</v>
      </c>
      <c r="U83">
        <v>118.2</v>
      </c>
      <c r="V83">
        <v>126.9</v>
      </c>
      <c r="W83">
        <v>133.69999999999999</v>
      </c>
      <c r="X83">
        <v>123.5</v>
      </c>
      <c r="Y83">
        <v>126.1</v>
      </c>
      <c r="Z83">
        <v>133.6</v>
      </c>
      <c r="AA83" s="1">
        <f>SUM(Table1[[#This Row],[Cereals and products]:[Food and beverages]])/13</f>
        <v>135.73846153846154</v>
      </c>
      <c r="AB83" s="1">
        <f>SUM(Table1[[#This Row],[Fuel and light]])</f>
        <v>130.30000000000001</v>
      </c>
      <c r="AC83" s="1">
        <f>SUM(Table1[[#This Row],[Transport and communication]])</f>
        <v>118.2</v>
      </c>
      <c r="AD83" s="1">
        <f>SUM(Table1[[#This Row],[Housing]],Table1[[#This Row],[Household goods and services]])/2</f>
        <v>130.6</v>
      </c>
      <c r="AE83" s="1">
        <f>SUM(Table1[[#This Row],[Health]])</f>
        <v>129.1</v>
      </c>
      <c r="AF83" s="1">
        <f>SUM(Table1[[#This Row],[Recreation and amusement]],Table1[[#This Row],[Education]])/2</f>
        <v>130.30000000000001</v>
      </c>
      <c r="AG83" s="1">
        <f>SUM(Table1[[#This Row],[Miscellaneous]],Table1[[#This Row],[Personal care and effects]])/2</f>
        <v>124.8</v>
      </c>
    </row>
    <row r="84" spans="1:33" hidden="1" x14ac:dyDescent="0.3">
      <c r="A84" t="s">
        <v>36</v>
      </c>
      <c r="B84">
        <v>2015</v>
      </c>
      <c r="C84" t="s">
        <v>45</v>
      </c>
      <c r="D84">
        <v>124</v>
      </c>
      <c r="E84">
        <v>129.80000000000001</v>
      </c>
      <c r="F84">
        <v>121.5</v>
      </c>
      <c r="G84">
        <v>128.6</v>
      </c>
      <c r="H84">
        <v>110</v>
      </c>
      <c r="I84">
        <v>123.7</v>
      </c>
      <c r="J84">
        <v>164.6</v>
      </c>
      <c r="K84">
        <v>191.6</v>
      </c>
      <c r="L84">
        <v>90.8</v>
      </c>
      <c r="M84">
        <v>137.1</v>
      </c>
      <c r="N84">
        <v>119.8</v>
      </c>
      <c r="O84">
        <v>133.69999999999999</v>
      </c>
      <c r="P84">
        <v>133.30000000000001</v>
      </c>
      <c r="Q84">
        <v>122.9</v>
      </c>
      <c r="R84">
        <v>115.1</v>
      </c>
      <c r="S84">
        <v>121</v>
      </c>
      <c r="T84">
        <v>118.1</v>
      </c>
      <c r="U84">
        <v>109.3</v>
      </c>
      <c r="V84">
        <v>117.9</v>
      </c>
      <c r="W84">
        <v>126.6</v>
      </c>
      <c r="X84">
        <v>113.3</v>
      </c>
      <c r="Y84">
        <v>116.6</v>
      </c>
      <c r="Z84">
        <v>124.6</v>
      </c>
      <c r="AA84" s="1">
        <f>SUM(Table1[[#This Row],[Cereals and products]:[Food and beverages]])/13</f>
        <v>131.42307692307691</v>
      </c>
      <c r="AB84" s="1">
        <f>SUM(Table1[[#This Row],[Fuel and light]])</f>
        <v>115.1</v>
      </c>
      <c r="AC84" s="1">
        <f>SUM(Table1[[#This Row],[Transport and communication]])</f>
        <v>109.3</v>
      </c>
      <c r="AD84" s="1">
        <f>SUM(Table1[[#This Row],[Housing]],Table1[[#This Row],[Household goods and services]])/2</f>
        <v>121.95</v>
      </c>
      <c r="AE84" s="1">
        <f>SUM(Table1[[#This Row],[Health]])</f>
        <v>118.1</v>
      </c>
      <c r="AF84" s="1">
        <f>SUM(Table1[[#This Row],[Recreation and amusement]],Table1[[#This Row],[Education]])/2</f>
        <v>122.25</v>
      </c>
      <c r="AG84" s="1">
        <f>SUM(Table1[[#This Row],[Miscellaneous]],Table1[[#This Row],[Personal care and effects]])/2</f>
        <v>114.94999999999999</v>
      </c>
    </row>
    <row r="85" spans="1:33" hidden="1" x14ac:dyDescent="0.3">
      <c r="A85" t="s">
        <v>35</v>
      </c>
      <c r="B85">
        <v>2015</v>
      </c>
      <c r="C85" t="s">
        <v>45</v>
      </c>
      <c r="D85">
        <v>125.4</v>
      </c>
      <c r="E85">
        <v>130.30000000000001</v>
      </c>
      <c r="F85">
        <v>121.6</v>
      </c>
      <c r="G85">
        <v>129.19999999999999</v>
      </c>
      <c r="H85">
        <v>114.9</v>
      </c>
      <c r="I85">
        <v>128.19999999999999</v>
      </c>
      <c r="J85">
        <v>158.4</v>
      </c>
      <c r="K85">
        <v>171.2</v>
      </c>
      <c r="L85">
        <v>93.3</v>
      </c>
      <c r="M85">
        <v>131.19999999999999</v>
      </c>
      <c r="N85">
        <v>121.7</v>
      </c>
      <c r="O85">
        <v>134</v>
      </c>
      <c r="P85">
        <v>132.69999999999999</v>
      </c>
      <c r="Q85">
        <v>122.9</v>
      </c>
      <c r="R85">
        <v>121.6</v>
      </c>
      <c r="S85">
        <v>123.4</v>
      </c>
      <c r="T85">
        <v>120.9</v>
      </c>
      <c r="U85">
        <v>111.5</v>
      </c>
      <c r="V85">
        <v>119.2</v>
      </c>
      <c r="W85">
        <v>126.3</v>
      </c>
      <c r="X85">
        <v>113.8</v>
      </c>
      <c r="Y85">
        <v>118.1</v>
      </c>
      <c r="Z85">
        <v>126.6</v>
      </c>
      <c r="AA85" s="1">
        <f>SUM(Table1[[#This Row],[Cereals and products]:[Food and beverages]])/13</f>
        <v>130.16153846153844</v>
      </c>
      <c r="AB85" s="1">
        <f>SUM(Table1[[#This Row],[Fuel and light]])</f>
        <v>121.6</v>
      </c>
      <c r="AC85" s="1">
        <f>SUM(Table1[[#This Row],[Transport and communication]])</f>
        <v>111.5</v>
      </c>
      <c r="AD85" s="1">
        <f>SUM(Table1[[#This Row],[Housing]],Table1[[#This Row],[Household goods and services]])/2</f>
        <v>123.15</v>
      </c>
      <c r="AE85" s="1">
        <f>SUM(Table1[[#This Row],[Health]])</f>
        <v>120.9</v>
      </c>
      <c r="AF85" s="1">
        <f>SUM(Table1[[#This Row],[Recreation and amusement]],Table1[[#This Row],[Education]])/2</f>
        <v>122.75</v>
      </c>
      <c r="AG85" s="1">
        <f>SUM(Table1[[#This Row],[Miscellaneous]],Table1[[#This Row],[Personal care and effects]])/2</f>
        <v>115.94999999999999</v>
      </c>
    </row>
    <row r="86" spans="1:33" hidden="1" x14ac:dyDescent="0.3">
      <c r="A86" t="s">
        <v>33</v>
      </c>
      <c r="B86">
        <v>2015</v>
      </c>
      <c r="C86" t="s">
        <v>45</v>
      </c>
      <c r="D86">
        <v>126.1</v>
      </c>
      <c r="E86">
        <v>130.6</v>
      </c>
      <c r="F86">
        <v>121.7</v>
      </c>
      <c r="G86">
        <v>129.5</v>
      </c>
      <c r="H86">
        <v>117.8</v>
      </c>
      <c r="I86">
        <v>132.1</v>
      </c>
      <c r="J86">
        <v>155.19999999999999</v>
      </c>
      <c r="K86">
        <v>160.80000000000001</v>
      </c>
      <c r="L86">
        <v>94.5</v>
      </c>
      <c r="M86">
        <v>128.30000000000001</v>
      </c>
      <c r="N86">
        <v>123.1</v>
      </c>
      <c r="O86">
        <v>134.19999999999999</v>
      </c>
      <c r="P86">
        <v>132.4</v>
      </c>
      <c r="Q86">
        <v>122.9</v>
      </c>
      <c r="R86">
        <v>125.6</v>
      </c>
      <c r="S86">
        <v>125.6</v>
      </c>
      <c r="T86">
        <v>122.6</v>
      </c>
      <c r="U86">
        <v>114</v>
      </c>
      <c r="V86">
        <v>120.9</v>
      </c>
      <c r="W86">
        <v>125.8</v>
      </c>
      <c r="X86">
        <v>114.2</v>
      </c>
      <c r="Y86">
        <v>119.6</v>
      </c>
      <c r="Z86">
        <v>128.30000000000001</v>
      </c>
      <c r="AA86" s="1">
        <f>SUM(Table1[[#This Row],[Cereals and products]:[Food and beverages]])/13</f>
        <v>129.71538461538461</v>
      </c>
      <c r="AB86" s="1">
        <f>SUM(Table1[[#This Row],[Fuel and light]])</f>
        <v>125.6</v>
      </c>
      <c r="AC86" s="1">
        <f>SUM(Table1[[#This Row],[Transport and communication]])</f>
        <v>114</v>
      </c>
      <c r="AD86" s="1">
        <f>SUM(Table1[[#This Row],[Housing]],Table1[[#This Row],[Household goods and services]])/2</f>
        <v>124.25</v>
      </c>
      <c r="AE86" s="1">
        <f>SUM(Table1[[#This Row],[Health]])</f>
        <v>122.6</v>
      </c>
      <c r="AF86" s="1">
        <f>SUM(Table1[[#This Row],[Recreation and amusement]],Table1[[#This Row],[Education]])/2</f>
        <v>123.35</v>
      </c>
      <c r="AG86" s="1">
        <f>SUM(Table1[[#This Row],[Miscellaneous]],Table1[[#This Row],[Personal care and effects]])/2</f>
        <v>116.9</v>
      </c>
    </row>
    <row r="87" spans="1:33" hidden="1" x14ac:dyDescent="0.3">
      <c r="A87" t="s">
        <v>33</v>
      </c>
      <c r="B87">
        <v>2014</v>
      </c>
      <c r="C87" t="s">
        <v>45</v>
      </c>
      <c r="D87">
        <v>122.7</v>
      </c>
      <c r="E87">
        <v>122.6</v>
      </c>
      <c r="F87">
        <v>119.9</v>
      </c>
      <c r="G87">
        <v>124</v>
      </c>
      <c r="H87">
        <v>110.5</v>
      </c>
      <c r="I87">
        <v>128.80000000000001</v>
      </c>
      <c r="J87">
        <v>152</v>
      </c>
      <c r="K87">
        <v>116.2</v>
      </c>
      <c r="L87">
        <v>103.3</v>
      </c>
      <c r="M87">
        <v>115.8</v>
      </c>
      <c r="N87">
        <v>116.8</v>
      </c>
      <c r="O87">
        <v>124.5</v>
      </c>
      <c r="P87">
        <v>124.9</v>
      </c>
      <c r="Q87">
        <v>111.1</v>
      </c>
      <c r="R87">
        <v>117.3</v>
      </c>
      <c r="S87">
        <v>118.1</v>
      </c>
      <c r="T87">
        <v>115.9</v>
      </c>
      <c r="U87">
        <v>112</v>
      </c>
      <c r="V87">
        <v>113.3</v>
      </c>
      <c r="W87">
        <v>117.2</v>
      </c>
      <c r="X87">
        <v>108.8</v>
      </c>
      <c r="Y87">
        <v>114.1</v>
      </c>
      <c r="Z87">
        <v>121.1</v>
      </c>
      <c r="AA87" s="1">
        <f>SUM(Table1[[#This Row],[Cereals and products]:[Food and beverages]])/13</f>
        <v>121.69230769230769</v>
      </c>
      <c r="AB87" s="1">
        <f>SUM(Table1[[#This Row],[Fuel and light]])</f>
        <v>117.3</v>
      </c>
      <c r="AC87" s="1">
        <f>SUM(Table1[[#This Row],[Transport and communication]])</f>
        <v>112</v>
      </c>
      <c r="AD87" s="1">
        <f>SUM(Table1[[#This Row],[Housing]],Table1[[#This Row],[Household goods and services]])/2</f>
        <v>114.6</v>
      </c>
      <c r="AE87" s="1">
        <f>SUM(Table1[[#This Row],[Health]])</f>
        <v>115.9</v>
      </c>
      <c r="AF87" s="1">
        <f>SUM(Table1[[#This Row],[Recreation and amusement]],Table1[[#This Row],[Education]])/2</f>
        <v>115.25</v>
      </c>
      <c r="AG87" s="1">
        <f>SUM(Table1[[#This Row],[Miscellaneous]],Table1[[#This Row],[Personal care and effects]])/2</f>
        <v>111.44999999999999</v>
      </c>
    </row>
    <row r="88" spans="1:33" hidden="1" x14ac:dyDescent="0.3">
      <c r="A88" t="s">
        <v>35</v>
      </c>
      <c r="B88">
        <v>2014</v>
      </c>
      <c r="C88" t="s">
        <v>45</v>
      </c>
      <c r="D88">
        <v>123.3</v>
      </c>
      <c r="E88">
        <v>123.7</v>
      </c>
      <c r="F88">
        <v>121</v>
      </c>
      <c r="G88">
        <v>124.2</v>
      </c>
      <c r="H88">
        <v>107.8</v>
      </c>
      <c r="I88">
        <v>125.7</v>
      </c>
      <c r="J88">
        <v>152.4</v>
      </c>
      <c r="K88">
        <v>117.2</v>
      </c>
      <c r="L88">
        <v>102.1</v>
      </c>
      <c r="M88">
        <v>118.7</v>
      </c>
      <c r="N88">
        <v>116.4</v>
      </c>
      <c r="O88">
        <v>125.6</v>
      </c>
      <c r="P88">
        <v>125.1</v>
      </c>
      <c r="Q88">
        <v>117.1</v>
      </c>
      <c r="R88">
        <v>115.5</v>
      </c>
      <c r="S88">
        <v>117.3</v>
      </c>
      <c r="T88">
        <v>114.8</v>
      </c>
      <c r="U88">
        <v>110.8</v>
      </c>
      <c r="V88">
        <v>113.7</v>
      </c>
      <c r="W88">
        <v>119</v>
      </c>
      <c r="X88">
        <v>109.1</v>
      </c>
      <c r="Y88">
        <v>113.8</v>
      </c>
      <c r="Z88">
        <v>120.1</v>
      </c>
      <c r="AA88" s="1">
        <f>SUM(Table1[[#This Row],[Cereals and products]:[Food and beverages]])/13</f>
        <v>121.78461538461539</v>
      </c>
      <c r="AB88" s="1">
        <f>SUM(Table1[[#This Row],[Fuel and light]])</f>
        <v>115.5</v>
      </c>
      <c r="AC88" s="1">
        <f>SUM(Table1[[#This Row],[Transport and communication]])</f>
        <v>110.8</v>
      </c>
      <c r="AD88" s="1">
        <f>SUM(Table1[[#This Row],[Housing]],Table1[[#This Row],[Household goods and services]])/2</f>
        <v>117.19999999999999</v>
      </c>
      <c r="AE88" s="1">
        <f>SUM(Table1[[#This Row],[Health]])</f>
        <v>114.8</v>
      </c>
      <c r="AF88" s="1">
        <f>SUM(Table1[[#This Row],[Recreation and amusement]],Table1[[#This Row],[Education]])/2</f>
        <v>116.35</v>
      </c>
      <c r="AG88" s="1">
        <f>SUM(Table1[[#This Row],[Miscellaneous]],Table1[[#This Row],[Personal care and effects]])/2</f>
        <v>111.44999999999999</v>
      </c>
    </row>
    <row r="89" spans="1:33" hidden="1" x14ac:dyDescent="0.3">
      <c r="A89" t="s">
        <v>36</v>
      </c>
      <c r="B89">
        <v>2014</v>
      </c>
      <c r="C89" t="s">
        <v>45</v>
      </c>
      <c r="D89">
        <v>124.5</v>
      </c>
      <c r="E89">
        <v>125.6</v>
      </c>
      <c r="F89">
        <v>122.7</v>
      </c>
      <c r="G89">
        <v>124.6</v>
      </c>
      <c r="H89">
        <v>103.2</v>
      </c>
      <c r="I89">
        <v>122.2</v>
      </c>
      <c r="J89">
        <v>153.19999999999999</v>
      </c>
      <c r="K89">
        <v>119.3</v>
      </c>
      <c r="L89">
        <v>99.8</v>
      </c>
      <c r="M89">
        <v>124.6</v>
      </c>
      <c r="N89">
        <v>115.8</v>
      </c>
      <c r="O89">
        <v>126.9</v>
      </c>
      <c r="P89">
        <v>125.4</v>
      </c>
      <c r="Q89">
        <v>117.1</v>
      </c>
      <c r="R89">
        <v>112.6</v>
      </c>
      <c r="S89">
        <v>116.4</v>
      </c>
      <c r="T89">
        <v>113</v>
      </c>
      <c r="U89">
        <v>109.7</v>
      </c>
      <c r="V89">
        <v>114</v>
      </c>
      <c r="W89">
        <v>120.3</v>
      </c>
      <c r="X89">
        <v>109.6</v>
      </c>
      <c r="Y89">
        <v>113.4</v>
      </c>
      <c r="Z89">
        <v>119</v>
      </c>
      <c r="AA89" s="1">
        <f>SUM(Table1[[#This Row],[Cereals and products]:[Food and beverages]])/13</f>
        <v>122.13846153846154</v>
      </c>
      <c r="AB89" s="1">
        <f>SUM(Table1[[#This Row],[Fuel and light]])</f>
        <v>112.6</v>
      </c>
      <c r="AC89" s="1">
        <f>SUM(Table1[[#This Row],[Transport and communication]])</f>
        <v>109.7</v>
      </c>
      <c r="AD89" s="1">
        <f>SUM(Table1[[#This Row],[Housing]],Table1[[#This Row],[Household goods and services]])/2</f>
        <v>116.75</v>
      </c>
      <c r="AE89" s="1">
        <f>SUM(Table1[[#This Row],[Health]])</f>
        <v>113</v>
      </c>
      <c r="AF89" s="1">
        <f>SUM(Table1[[#This Row],[Recreation and amusement]],Table1[[#This Row],[Education]])/2</f>
        <v>117.15</v>
      </c>
      <c r="AG89" s="1">
        <f>SUM(Table1[[#This Row],[Miscellaneous]],Table1[[#This Row],[Personal care and effects]])/2</f>
        <v>111.5</v>
      </c>
    </row>
    <row r="90" spans="1:33" hidden="1" x14ac:dyDescent="0.3">
      <c r="A90" t="s">
        <v>35</v>
      </c>
      <c r="B90">
        <v>2013</v>
      </c>
      <c r="C90" t="s">
        <v>45</v>
      </c>
      <c r="D90">
        <v>118.1</v>
      </c>
      <c r="E90">
        <v>115.4</v>
      </c>
      <c r="F90">
        <v>118.7</v>
      </c>
      <c r="G90">
        <v>112.5</v>
      </c>
      <c r="H90">
        <v>106.8</v>
      </c>
      <c r="I90">
        <v>113.5</v>
      </c>
      <c r="J90">
        <v>183.1</v>
      </c>
      <c r="K90">
        <v>108.2</v>
      </c>
      <c r="L90">
        <v>102.2</v>
      </c>
      <c r="M90">
        <v>109.4</v>
      </c>
      <c r="N90">
        <v>111.8</v>
      </c>
      <c r="O90">
        <v>116.5</v>
      </c>
      <c r="P90">
        <v>122.6</v>
      </c>
      <c r="Q90">
        <v>111.1</v>
      </c>
      <c r="R90">
        <v>111.6</v>
      </c>
      <c r="S90">
        <v>111.1</v>
      </c>
      <c r="T90">
        <v>109.3</v>
      </c>
      <c r="U90">
        <v>109.5</v>
      </c>
      <c r="V90">
        <v>108.6</v>
      </c>
      <c r="W90">
        <v>111.2</v>
      </c>
      <c r="X90">
        <v>108.1</v>
      </c>
      <c r="Y90">
        <v>109.7</v>
      </c>
      <c r="Z90">
        <v>116.3</v>
      </c>
      <c r="AA90" s="1">
        <f>SUM(Table1[[#This Row],[Cereals and products]:[Food and beverages]])/13</f>
        <v>118.36923076923077</v>
      </c>
      <c r="AB90" s="1">
        <f>SUM(Table1[[#This Row],[Fuel and light]])</f>
        <v>111.6</v>
      </c>
      <c r="AC90" s="1">
        <f>SUM(Table1[[#This Row],[Transport and communication]])</f>
        <v>109.5</v>
      </c>
      <c r="AD90" s="1">
        <f>SUM(Table1[[#This Row],[Housing]],Table1[[#This Row],[Household goods and services]])/2</f>
        <v>111.1</v>
      </c>
      <c r="AE90" s="1">
        <f>SUM(Table1[[#This Row],[Health]])</f>
        <v>109.3</v>
      </c>
      <c r="AF90" s="1">
        <f>SUM(Table1[[#This Row],[Recreation and amusement]],Table1[[#This Row],[Education]])/2</f>
        <v>109.9</v>
      </c>
      <c r="AG90" s="1">
        <f>SUM(Table1[[#This Row],[Miscellaneous]],Table1[[#This Row],[Personal care and effects]])/2</f>
        <v>108.9</v>
      </c>
    </row>
    <row r="91" spans="1:33" hidden="1" x14ac:dyDescent="0.3">
      <c r="A91" t="s">
        <v>36</v>
      </c>
      <c r="B91">
        <v>2013</v>
      </c>
      <c r="C91" t="s">
        <v>45</v>
      </c>
      <c r="D91">
        <v>119.8</v>
      </c>
      <c r="E91">
        <v>116.3</v>
      </c>
      <c r="F91">
        <v>122.6</v>
      </c>
      <c r="G91">
        <v>112</v>
      </c>
      <c r="H91">
        <v>103.2</v>
      </c>
      <c r="I91">
        <v>110</v>
      </c>
      <c r="J91">
        <v>192.8</v>
      </c>
      <c r="K91">
        <v>106.3</v>
      </c>
      <c r="L91">
        <v>99.5</v>
      </c>
      <c r="M91">
        <v>110.3</v>
      </c>
      <c r="N91">
        <v>111.8</v>
      </c>
      <c r="O91">
        <v>117.1</v>
      </c>
      <c r="P91">
        <v>122.9</v>
      </c>
      <c r="Q91">
        <v>111.1</v>
      </c>
      <c r="R91">
        <v>110</v>
      </c>
      <c r="S91">
        <v>110.9</v>
      </c>
      <c r="T91">
        <v>108.6</v>
      </c>
      <c r="U91">
        <v>109.5</v>
      </c>
      <c r="V91">
        <v>108.5</v>
      </c>
      <c r="W91">
        <v>111.3</v>
      </c>
      <c r="X91">
        <v>107.9</v>
      </c>
      <c r="Y91">
        <v>109.6</v>
      </c>
      <c r="Z91">
        <v>115</v>
      </c>
      <c r="AA91" s="1">
        <f>SUM(Table1[[#This Row],[Cereals and products]:[Food and beverages]])/13</f>
        <v>118.8153846153846</v>
      </c>
      <c r="AB91" s="1">
        <f>SUM(Table1[[#This Row],[Fuel and light]])</f>
        <v>110</v>
      </c>
      <c r="AC91" s="1">
        <f>SUM(Table1[[#This Row],[Transport and communication]])</f>
        <v>109.5</v>
      </c>
      <c r="AD91" s="1">
        <f>SUM(Table1[[#This Row],[Housing]],Table1[[#This Row],[Household goods and services]])/2</f>
        <v>111</v>
      </c>
      <c r="AE91" s="1">
        <f>SUM(Table1[[#This Row],[Health]])</f>
        <v>108.6</v>
      </c>
      <c r="AF91" s="1">
        <f>SUM(Table1[[#This Row],[Recreation and amusement]],Table1[[#This Row],[Education]])/2</f>
        <v>109.9</v>
      </c>
      <c r="AG91" s="1">
        <f>SUM(Table1[[#This Row],[Miscellaneous]],Table1[[#This Row],[Personal care and effects]])/2</f>
        <v>108.75</v>
      </c>
    </row>
    <row r="92" spans="1:33" hidden="1" x14ac:dyDescent="0.3">
      <c r="A92" t="s">
        <v>33</v>
      </c>
      <c r="B92">
        <v>2023</v>
      </c>
      <c r="C92" t="s">
        <v>47</v>
      </c>
      <c r="D92">
        <v>173.2</v>
      </c>
      <c r="E92">
        <v>211.5</v>
      </c>
      <c r="F92">
        <v>171</v>
      </c>
      <c r="G92">
        <v>179.6</v>
      </c>
      <c r="H92">
        <v>173.3</v>
      </c>
      <c r="I92">
        <v>169</v>
      </c>
      <c r="J92">
        <v>148.69999999999999</v>
      </c>
      <c r="K92">
        <v>174.9</v>
      </c>
      <c r="L92">
        <v>121.9</v>
      </c>
      <c r="M92">
        <v>221</v>
      </c>
      <c r="N92">
        <v>178.7</v>
      </c>
      <c r="O92">
        <v>191.1</v>
      </c>
      <c r="P92">
        <v>176.8</v>
      </c>
      <c r="Q92">
        <f>AVERAGE(Q93:Q94)</f>
        <v>175.6</v>
      </c>
      <c r="R92">
        <v>182.5</v>
      </c>
      <c r="S92">
        <v>179.8</v>
      </c>
      <c r="T92">
        <v>187.8</v>
      </c>
      <c r="U92">
        <v>169.7</v>
      </c>
      <c r="V92">
        <v>173.8</v>
      </c>
      <c r="W92">
        <v>180.3</v>
      </c>
      <c r="X92">
        <v>184.9</v>
      </c>
      <c r="Y92">
        <v>179.5</v>
      </c>
      <c r="Z92">
        <v>179.8</v>
      </c>
      <c r="AA92" s="1">
        <f>SUM(Table1[[#This Row],[Cereals and products]:[Food and beverages]])/13</f>
        <v>176.20769230769235</v>
      </c>
      <c r="AB92" s="1">
        <f>SUM(Table1[[#This Row],[Fuel and light]])</f>
        <v>182.5</v>
      </c>
      <c r="AC92" s="1">
        <f>SUM(Table1[[#This Row],[Transport and communication]])</f>
        <v>169.7</v>
      </c>
      <c r="AD92" s="1">
        <f>SUM(Table1[[#This Row],[Housing]],Table1[[#This Row],[Household goods and services]])/2</f>
        <v>177.7</v>
      </c>
      <c r="AE92" s="1">
        <f>SUM(Table1[[#This Row],[Health]])</f>
        <v>187.8</v>
      </c>
      <c r="AF92" s="1">
        <f>SUM(Table1[[#This Row],[Recreation and amusement]],Table1[[#This Row],[Education]])/2</f>
        <v>177.05</v>
      </c>
      <c r="AG92" s="1">
        <f>SUM(Table1[[#This Row],[Miscellaneous]],Table1[[#This Row],[Personal care and effects]])/2</f>
        <v>182.2</v>
      </c>
    </row>
    <row r="93" spans="1:33" x14ac:dyDescent="0.3">
      <c r="A93" t="s">
        <v>35</v>
      </c>
      <c r="B93">
        <v>2023</v>
      </c>
      <c r="C93" t="s">
        <v>47</v>
      </c>
      <c r="D93">
        <v>173.7</v>
      </c>
      <c r="E93">
        <v>214.3</v>
      </c>
      <c r="F93">
        <v>173.2</v>
      </c>
      <c r="G93">
        <v>179.5</v>
      </c>
      <c r="H93">
        <v>170</v>
      </c>
      <c r="I93">
        <v>172.2</v>
      </c>
      <c r="J93">
        <v>161</v>
      </c>
      <c r="K93">
        <v>175.6</v>
      </c>
      <c r="L93">
        <v>122.7</v>
      </c>
      <c r="M93">
        <v>218</v>
      </c>
      <c r="N93">
        <v>173.4</v>
      </c>
      <c r="O93">
        <v>194.2</v>
      </c>
      <c r="P93">
        <v>179.1</v>
      </c>
      <c r="Q93">
        <v>175.6</v>
      </c>
      <c r="R93">
        <v>182.8</v>
      </c>
      <c r="S93">
        <v>175.2</v>
      </c>
      <c r="T93">
        <v>185.7</v>
      </c>
      <c r="U93">
        <v>164.8</v>
      </c>
      <c r="V93">
        <v>171.2</v>
      </c>
      <c r="W93">
        <v>177.1</v>
      </c>
      <c r="X93">
        <v>185.2</v>
      </c>
      <c r="Y93">
        <v>175.7</v>
      </c>
      <c r="Z93">
        <v>179.1</v>
      </c>
      <c r="AA93" s="1">
        <f>SUM(Table1[[#This Row],[Cereals and products]:[Food and beverages]])/13</f>
        <v>177.45384615384617</v>
      </c>
      <c r="AB93" s="1">
        <f>SUM(Table1[[#This Row],[Fuel and light]])</f>
        <v>182.8</v>
      </c>
      <c r="AC93" s="1">
        <f>SUM(Table1[[#This Row],[Transport and communication]])</f>
        <v>164.8</v>
      </c>
      <c r="AD93" s="1">
        <f>SUM(Table1[[#This Row],[Housing]],Table1[[#This Row],[Household goods and services]])/2</f>
        <v>175.39999999999998</v>
      </c>
      <c r="AE93" s="1">
        <f>SUM(Table1[[#This Row],[Health]])</f>
        <v>185.7</v>
      </c>
      <c r="AF93" s="1">
        <f>SUM(Table1[[#This Row],[Recreation and amusement]],Table1[[#This Row],[Education]])/2</f>
        <v>174.14999999999998</v>
      </c>
      <c r="AG93" s="1">
        <f>SUM(Table1[[#This Row],[Miscellaneous]],Table1[[#This Row],[Personal care and effects]])/2</f>
        <v>180.45</v>
      </c>
    </row>
    <row r="94" spans="1:33" hidden="1" x14ac:dyDescent="0.3">
      <c r="A94" t="s">
        <v>36</v>
      </c>
      <c r="B94">
        <v>2023</v>
      </c>
      <c r="C94" t="s">
        <v>47</v>
      </c>
      <c r="D94">
        <v>174.7</v>
      </c>
      <c r="E94">
        <v>219.4</v>
      </c>
      <c r="F94">
        <v>176.7</v>
      </c>
      <c r="G94">
        <v>179.4</v>
      </c>
      <c r="H94">
        <v>164.4</v>
      </c>
      <c r="I94">
        <v>175.8</v>
      </c>
      <c r="J94">
        <v>185</v>
      </c>
      <c r="K94">
        <v>176.9</v>
      </c>
      <c r="L94">
        <v>124.2</v>
      </c>
      <c r="M94">
        <v>211.9</v>
      </c>
      <c r="N94">
        <v>165.9</v>
      </c>
      <c r="O94">
        <v>197.7</v>
      </c>
      <c r="P94">
        <v>183.1</v>
      </c>
      <c r="Q94">
        <v>175.6</v>
      </c>
      <c r="R94">
        <v>183.4</v>
      </c>
      <c r="S94">
        <v>170.1</v>
      </c>
      <c r="T94">
        <v>182.2</v>
      </c>
      <c r="U94">
        <v>160.4</v>
      </c>
      <c r="V94">
        <v>169.2</v>
      </c>
      <c r="W94">
        <v>174.8</v>
      </c>
      <c r="X94">
        <v>185.6</v>
      </c>
      <c r="Y94">
        <v>171.6</v>
      </c>
      <c r="Z94">
        <v>178.2</v>
      </c>
      <c r="AA94" s="1">
        <f>SUM(Table1[[#This Row],[Cereals and products]:[Food and beverages]])/13</f>
        <v>179.62307692307692</v>
      </c>
      <c r="AB94" s="1">
        <f>SUM(Table1[[#This Row],[Fuel and light]])</f>
        <v>183.4</v>
      </c>
      <c r="AC94" s="1">
        <f>SUM(Table1[[#This Row],[Transport and communication]])</f>
        <v>160.4</v>
      </c>
      <c r="AD94" s="1">
        <f>SUM(Table1[[#This Row],[Housing]],Table1[[#This Row],[Household goods and services]])/2</f>
        <v>172.85</v>
      </c>
      <c r="AE94" s="1">
        <f>SUM(Table1[[#This Row],[Health]])</f>
        <v>182.2</v>
      </c>
      <c r="AF94" s="1">
        <f>SUM(Table1[[#This Row],[Recreation and amusement]],Table1[[#This Row],[Education]])/2</f>
        <v>172</v>
      </c>
      <c r="AG94" s="1">
        <f>SUM(Table1[[#This Row],[Miscellaneous]],Table1[[#This Row],[Personal care and effects]])/2</f>
        <v>178.6</v>
      </c>
    </row>
    <row r="95" spans="1:33" hidden="1" x14ac:dyDescent="0.3">
      <c r="A95" t="s">
        <v>33</v>
      </c>
      <c r="B95">
        <v>2022</v>
      </c>
      <c r="C95" t="s">
        <v>47</v>
      </c>
      <c r="D95">
        <v>152.9</v>
      </c>
      <c r="E95">
        <v>214.7</v>
      </c>
      <c r="F95">
        <v>161.4</v>
      </c>
      <c r="G95">
        <v>164.6</v>
      </c>
      <c r="H95">
        <v>209.9</v>
      </c>
      <c r="I95">
        <v>168</v>
      </c>
      <c r="J95">
        <v>160.4</v>
      </c>
      <c r="K95">
        <v>165</v>
      </c>
      <c r="L95">
        <v>118.9</v>
      </c>
      <c r="M95">
        <v>186.6</v>
      </c>
      <c r="N95">
        <v>173.2</v>
      </c>
      <c r="O95">
        <v>180.4</v>
      </c>
      <c r="P95">
        <v>170.8</v>
      </c>
      <c r="Q95">
        <f>AVERAGE(Q96:Q97)</f>
        <v>167.5</v>
      </c>
      <c r="R95">
        <v>175.3</v>
      </c>
      <c r="S95">
        <v>168.9</v>
      </c>
      <c r="T95">
        <v>177.7</v>
      </c>
      <c r="U95">
        <v>167.1</v>
      </c>
      <c r="V95">
        <v>167.6</v>
      </c>
      <c r="W95">
        <v>171.8</v>
      </c>
      <c r="X95">
        <v>168.5</v>
      </c>
      <c r="Y95">
        <v>170.9</v>
      </c>
      <c r="Z95">
        <v>172.5</v>
      </c>
      <c r="AA95" s="1">
        <f>SUM(Table1[[#This Row],[Cereals and products]:[Food and beverages]])/13</f>
        <v>171.2923076923077</v>
      </c>
      <c r="AB95" s="1">
        <f>SUM(Table1[[#This Row],[Fuel and light]])</f>
        <v>175.3</v>
      </c>
      <c r="AC95" s="1">
        <f>SUM(Table1[[#This Row],[Transport and communication]])</f>
        <v>167.1</v>
      </c>
      <c r="AD95" s="1">
        <f>SUM(Table1[[#This Row],[Housing]],Table1[[#This Row],[Household goods and services]])/2</f>
        <v>168.2</v>
      </c>
      <c r="AE95" s="1">
        <f>SUM(Table1[[#This Row],[Health]])</f>
        <v>177.7</v>
      </c>
      <c r="AF95" s="1">
        <f>SUM(Table1[[#This Row],[Recreation and amusement]],Table1[[#This Row],[Education]])/2</f>
        <v>169.7</v>
      </c>
      <c r="AG95" s="1">
        <f>SUM(Table1[[#This Row],[Miscellaneous]],Table1[[#This Row],[Personal care and effects]])/2</f>
        <v>169.7</v>
      </c>
    </row>
    <row r="96" spans="1:33" hidden="1" x14ac:dyDescent="0.3">
      <c r="A96" t="s">
        <v>35</v>
      </c>
      <c r="B96">
        <v>2022</v>
      </c>
      <c r="C96" t="s">
        <v>47</v>
      </c>
      <c r="D96">
        <v>154.1</v>
      </c>
      <c r="E96">
        <v>217</v>
      </c>
      <c r="F96">
        <v>162.4</v>
      </c>
      <c r="G96">
        <v>164.9</v>
      </c>
      <c r="H96">
        <v>202.4</v>
      </c>
      <c r="I96">
        <v>171</v>
      </c>
      <c r="J96">
        <v>174.9</v>
      </c>
      <c r="K96">
        <v>164.7</v>
      </c>
      <c r="L96">
        <v>119.7</v>
      </c>
      <c r="M96">
        <v>184.9</v>
      </c>
      <c r="N96">
        <v>167.1</v>
      </c>
      <c r="O96">
        <v>182.5</v>
      </c>
      <c r="P96">
        <v>173.3</v>
      </c>
      <c r="Q96">
        <v>167.5</v>
      </c>
      <c r="R96">
        <v>174.6</v>
      </c>
      <c r="S96">
        <v>165.2</v>
      </c>
      <c r="T96">
        <v>174.8</v>
      </c>
      <c r="U96">
        <v>163</v>
      </c>
      <c r="V96">
        <v>165.1</v>
      </c>
      <c r="W96">
        <v>167.9</v>
      </c>
      <c r="X96">
        <v>168.4</v>
      </c>
      <c r="Y96">
        <v>167.5</v>
      </c>
      <c r="Z96">
        <v>171.7</v>
      </c>
      <c r="AA96" s="1">
        <f>SUM(Table1[[#This Row],[Cereals and products]:[Food and beverages]])/13</f>
        <v>172.22307692307697</v>
      </c>
      <c r="AB96" s="1">
        <f>SUM(Table1[[#This Row],[Fuel and light]])</f>
        <v>174.6</v>
      </c>
      <c r="AC96" s="1">
        <f>SUM(Table1[[#This Row],[Transport and communication]])</f>
        <v>163</v>
      </c>
      <c r="AD96" s="1">
        <f>SUM(Table1[[#This Row],[Housing]],Table1[[#This Row],[Household goods and services]])/2</f>
        <v>166.35</v>
      </c>
      <c r="AE96" s="1">
        <f>SUM(Table1[[#This Row],[Health]])</f>
        <v>174.8</v>
      </c>
      <c r="AF96" s="1">
        <f>SUM(Table1[[#This Row],[Recreation and amusement]],Table1[[#This Row],[Education]])/2</f>
        <v>166.5</v>
      </c>
      <c r="AG96" s="1">
        <f>SUM(Table1[[#This Row],[Miscellaneous]],Table1[[#This Row],[Personal care and effects]])/2</f>
        <v>167.95</v>
      </c>
    </row>
    <row r="97" spans="1:33" hidden="1" x14ac:dyDescent="0.3">
      <c r="A97" t="s">
        <v>36</v>
      </c>
      <c r="B97">
        <v>2022</v>
      </c>
      <c r="C97" t="s">
        <v>47</v>
      </c>
      <c r="D97">
        <v>156.69999999999999</v>
      </c>
      <c r="E97">
        <v>221.2</v>
      </c>
      <c r="F97">
        <v>164.1</v>
      </c>
      <c r="G97">
        <v>165.4</v>
      </c>
      <c r="H97">
        <v>189.5</v>
      </c>
      <c r="I97">
        <v>174.5</v>
      </c>
      <c r="J97">
        <v>203.2</v>
      </c>
      <c r="K97">
        <v>164.1</v>
      </c>
      <c r="L97">
        <v>121.2</v>
      </c>
      <c r="M97">
        <v>181.4</v>
      </c>
      <c r="N97">
        <v>158.5</v>
      </c>
      <c r="O97">
        <v>184.9</v>
      </c>
      <c r="P97">
        <v>177.5</v>
      </c>
      <c r="Q97">
        <v>167.5</v>
      </c>
      <c r="R97">
        <v>173.5</v>
      </c>
      <c r="S97">
        <v>161.1</v>
      </c>
      <c r="T97">
        <v>170.1</v>
      </c>
      <c r="U97">
        <v>159.4</v>
      </c>
      <c r="V97">
        <v>163.19999999999999</v>
      </c>
      <c r="W97">
        <v>165.2</v>
      </c>
      <c r="X97">
        <v>168.2</v>
      </c>
      <c r="Y97">
        <v>163.80000000000001</v>
      </c>
      <c r="Z97">
        <v>170.8</v>
      </c>
      <c r="AA97" s="1">
        <f>SUM(Table1[[#This Row],[Cereals and products]:[Food and beverages]])/13</f>
        <v>174.01538461538465</v>
      </c>
      <c r="AB97" s="1">
        <f>SUM(Table1[[#This Row],[Fuel and light]])</f>
        <v>173.5</v>
      </c>
      <c r="AC97" s="1">
        <f>SUM(Table1[[#This Row],[Transport and communication]])</f>
        <v>159.4</v>
      </c>
      <c r="AD97" s="1">
        <f>SUM(Table1[[#This Row],[Housing]],Table1[[#This Row],[Household goods and services]])/2</f>
        <v>164.3</v>
      </c>
      <c r="AE97" s="1">
        <f>SUM(Table1[[#This Row],[Health]])</f>
        <v>170.1</v>
      </c>
      <c r="AF97" s="1">
        <f>SUM(Table1[[#This Row],[Recreation and amusement]],Table1[[#This Row],[Education]])/2</f>
        <v>164.2</v>
      </c>
      <c r="AG97" s="1">
        <f>SUM(Table1[[#This Row],[Miscellaneous]],Table1[[#This Row],[Personal care and effects]])/2</f>
        <v>166</v>
      </c>
    </row>
    <row r="98" spans="1:33" hidden="1" x14ac:dyDescent="0.3">
      <c r="A98" t="s">
        <v>33</v>
      </c>
      <c r="B98">
        <v>2019</v>
      </c>
      <c r="C98" t="s">
        <v>40</v>
      </c>
      <c r="D98">
        <v>141</v>
      </c>
      <c r="E98">
        <v>161.6</v>
      </c>
      <c r="F98">
        <v>141.19999999999999</v>
      </c>
      <c r="G98">
        <v>146.5</v>
      </c>
      <c r="H98">
        <v>125.6</v>
      </c>
      <c r="I98">
        <v>145.69999999999999</v>
      </c>
      <c r="J98">
        <v>178.8</v>
      </c>
      <c r="K98">
        <v>133.1</v>
      </c>
      <c r="L98">
        <v>113.6</v>
      </c>
      <c r="M98">
        <v>145.5</v>
      </c>
      <c r="N98">
        <v>138.6</v>
      </c>
      <c r="O98">
        <v>157.4</v>
      </c>
      <c r="P98">
        <v>148.30000000000001</v>
      </c>
      <c r="Q98">
        <v>146.44999999999999</v>
      </c>
      <c r="R98">
        <v>147.69999999999999</v>
      </c>
      <c r="S98">
        <v>150.6</v>
      </c>
      <c r="T98">
        <v>153.69999999999999</v>
      </c>
      <c r="U98">
        <v>131.69999999999999</v>
      </c>
      <c r="V98">
        <v>148.69999999999999</v>
      </c>
      <c r="W98">
        <v>160.69999999999999</v>
      </c>
      <c r="X98">
        <v>140.30000000000001</v>
      </c>
      <c r="Y98">
        <v>145.69999999999999</v>
      </c>
      <c r="Z98">
        <v>148.30000000000001</v>
      </c>
      <c r="AA98" s="1">
        <f>SUM(Table1[[#This Row],[Cereals and products]:[Food and beverages]])/13</f>
        <v>144.37692307692305</v>
      </c>
      <c r="AB98" s="1">
        <f>SUM(Table1[[#This Row],[Fuel and light]])</f>
        <v>147.69999999999999</v>
      </c>
      <c r="AC98" s="1">
        <f>SUM(Table1[[#This Row],[Transport and communication]])</f>
        <v>131.69999999999999</v>
      </c>
      <c r="AD98" s="1">
        <f>SUM(Table1[[#This Row],[Housing]],Table1[[#This Row],[Household goods and services]])/2</f>
        <v>148.52499999999998</v>
      </c>
      <c r="AE98" s="1">
        <f>SUM(Table1[[#This Row],[Health]])</f>
        <v>153.69999999999999</v>
      </c>
      <c r="AF98" s="1">
        <f>SUM(Table1[[#This Row],[Recreation and amusement]],Table1[[#This Row],[Education]])/2</f>
        <v>154.69999999999999</v>
      </c>
      <c r="AG98" s="1">
        <f>SUM(Table1[[#This Row],[Miscellaneous]],Table1[[#This Row],[Personal care and effects]])/2</f>
        <v>143</v>
      </c>
    </row>
    <row r="99" spans="1:33" hidden="1" x14ac:dyDescent="0.3">
      <c r="A99" t="s">
        <v>35</v>
      </c>
      <c r="B99">
        <v>2019</v>
      </c>
      <c r="C99" t="s">
        <v>40</v>
      </c>
      <c r="D99">
        <v>141.80000000000001</v>
      </c>
      <c r="E99">
        <v>161</v>
      </c>
      <c r="F99">
        <v>142.6</v>
      </c>
      <c r="G99">
        <v>146.19999999999999</v>
      </c>
      <c r="H99">
        <v>123.9</v>
      </c>
      <c r="I99">
        <v>148</v>
      </c>
      <c r="J99">
        <v>188.4</v>
      </c>
      <c r="K99">
        <v>132.5</v>
      </c>
      <c r="L99">
        <v>114</v>
      </c>
      <c r="M99">
        <v>145.4</v>
      </c>
      <c r="N99">
        <v>135.1</v>
      </c>
      <c r="O99">
        <v>157.1</v>
      </c>
      <c r="P99">
        <v>149.6</v>
      </c>
      <c r="Q99">
        <v>153</v>
      </c>
      <c r="R99">
        <v>140.6</v>
      </c>
      <c r="S99">
        <v>145</v>
      </c>
      <c r="T99">
        <v>149.4</v>
      </c>
      <c r="U99">
        <v>126.3</v>
      </c>
      <c r="V99">
        <v>141.69999999999999</v>
      </c>
      <c r="W99">
        <v>155.4</v>
      </c>
      <c r="X99">
        <v>140</v>
      </c>
      <c r="Y99">
        <v>141</v>
      </c>
      <c r="Z99">
        <v>147.19999999999999</v>
      </c>
      <c r="AA99" s="1">
        <f>SUM(Table1[[#This Row],[Cereals and products]:[Food and beverages]])/13</f>
        <v>145.04615384615383</v>
      </c>
      <c r="AB99" s="1">
        <f>SUM(Table1[[#This Row],[Fuel and light]])</f>
        <v>140.6</v>
      </c>
      <c r="AC99" s="1">
        <f>SUM(Table1[[#This Row],[Transport and communication]])</f>
        <v>126.3</v>
      </c>
      <c r="AD99" s="1">
        <f>SUM(Table1[[#This Row],[Housing]],Table1[[#This Row],[Household goods and services]])/2</f>
        <v>149</v>
      </c>
      <c r="AE99" s="1">
        <f>SUM(Table1[[#This Row],[Health]])</f>
        <v>149.4</v>
      </c>
      <c r="AF99" s="1">
        <f>SUM(Table1[[#This Row],[Recreation and amusement]],Table1[[#This Row],[Education]])/2</f>
        <v>148.55000000000001</v>
      </c>
      <c r="AG99" s="1">
        <f>SUM(Table1[[#This Row],[Miscellaneous]],Table1[[#This Row],[Personal care and effects]])/2</f>
        <v>140.5</v>
      </c>
    </row>
    <row r="100" spans="1:33" hidden="1" x14ac:dyDescent="0.3">
      <c r="A100" t="s">
        <v>36</v>
      </c>
      <c r="B100">
        <v>2019</v>
      </c>
      <c r="C100" t="s">
        <v>40</v>
      </c>
      <c r="D100">
        <v>143.5</v>
      </c>
      <c r="E100">
        <v>159.80000000000001</v>
      </c>
      <c r="F100">
        <v>144.69999999999999</v>
      </c>
      <c r="G100">
        <v>145.6</v>
      </c>
      <c r="H100">
        <v>121.1</v>
      </c>
      <c r="I100">
        <v>150.6</v>
      </c>
      <c r="J100">
        <v>207.2</v>
      </c>
      <c r="K100">
        <v>131.19999999999999</v>
      </c>
      <c r="L100">
        <v>114.8</v>
      </c>
      <c r="M100">
        <v>145.19999999999999</v>
      </c>
      <c r="N100">
        <v>130.19999999999999</v>
      </c>
      <c r="O100">
        <v>156.80000000000001</v>
      </c>
      <c r="P100">
        <v>151.9</v>
      </c>
      <c r="Q100">
        <v>153</v>
      </c>
      <c r="R100">
        <v>128.9</v>
      </c>
      <c r="S100">
        <v>138.69999999999999</v>
      </c>
      <c r="T100">
        <v>142.4</v>
      </c>
      <c r="U100">
        <v>121.5</v>
      </c>
      <c r="V100">
        <v>136.19999999999999</v>
      </c>
      <c r="W100">
        <v>151.69999999999999</v>
      </c>
      <c r="X100">
        <v>139.5</v>
      </c>
      <c r="Y100">
        <v>136</v>
      </c>
      <c r="Z100">
        <v>146</v>
      </c>
      <c r="AA100" s="1">
        <f>SUM(Table1[[#This Row],[Cereals and products]:[Food and beverages]])/13</f>
        <v>146.35384615384618</v>
      </c>
      <c r="AB100" s="1">
        <f>SUM(Table1[[#This Row],[Fuel and light]])</f>
        <v>128.9</v>
      </c>
      <c r="AC100" s="1">
        <f>SUM(Table1[[#This Row],[Transport and communication]])</f>
        <v>121.5</v>
      </c>
      <c r="AD100" s="1">
        <f>SUM(Table1[[#This Row],[Housing]],Table1[[#This Row],[Household goods and services]])/2</f>
        <v>145.85</v>
      </c>
      <c r="AE100" s="1">
        <f>SUM(Table1[[#This Row],[Health]])</f>
        <v>142.4</v>
      </c>
      <c r="AF100" s="1">
        <f>SUM(Table1[[#This Row],[Recreation and amusement]],Table1[[#This Row],[Education]])/2</f>
        <v>143.94999999999999</v>
      </c>
      <c r="AG100" s="1">
        <f>SUM(Table1[[#This Row],[Miscellaneous]],Table1[[#This Row],[Personal care and effects]])/2</f>
        <v>137.75</v>
      </c>
    </row>
    <row r="101" spans="1:33" hidden="1" x14ac:dyDescent="0.3">
      <c r="A101" t="s">
        <v>33</v>
      </c>
      <c r="B101">
        <v>2019</v>
      </c>
      <c r="C101" t="s">
        <v>34</v>
      </c>
      <c r="D101">
        <v>140.1</v>
      </c>
      <c r="E101">
        <v>161.9</v>
      </c>
      <c r="F101">
        <v>138.30000000000001</v>
      </c>
      <c r="G101">
        <v>145.69999999999999</v>
      </c>
      <c r="H101">
        <v>125.1</v>
      </c>
      <c r="I101">
        <v>143.80000000000001</v>
      </c>
      <c r="J101">
        <v>163.4</v>
      </c>
      <c r="K101">
        <v>132.19999999999999</v>
      </c>
      <c r="L101">
        <v>112.8</v>
      </c>
      <c r="M101">
        <v>144.19999999999999</v>
      </c>
      <c r="N101">
        <v>138.5</v>
      </c>
      <c r="O101">
        <v>157.19999999999999</v>
      </c>
      <c r="P101">
        <v>145.5</v>
      </c>
      <c r="Q101">
        <v>145.30000000000001</v>
      </c>
      <c r="R101">
        <v>146.9</v>
      </c>
      <c r="S101">
        <v>150.30000000000001</v>
      </c>
      <c r="T101">
        <v>153.4</v>
      </c>
      <c r="U101">
        <v>131.6</v>
      </c>
      <c r="V101">
        <v>148.30000000000001</v>
      </c>
      <c r="W101">
        <v>160.19999999999999</v>
      </c>
      <c r="X101">
        <v>140.19999999999999</v>
      </c>
      <c r="Y101">
        <v>145.4</v>
      </c>
      <c r="Z101">
        <v>146.69999999999999</v>
      </c>
      <c r="AA101" s="1">
        <f>SUM(Table1[[#This Row],[Cereals and products]:[Food and beverages]])/13</f>
        <v>142.2076923076923</v>
      </c>
      <c r="AB101" s="1">
        <f>SUM(Table1[[#This Row],[Fuel and light]])</f>
        <v>146.9</v>
      </c>
      <c r="AC101" s="1">
        <f>SUM(Table1[[#This Row],[Transport and communication]])</f>
        <v>131.6</v>
      </c>
      <c r="AD101" s="1">
        <f>SUM(Table1[[#This Row],[Housing]],Table1[[#This Row],[Household goods and services]])/2</f>
        <v>147.80000000000001</v>
      </c>
      <c r="AE101" s="1">
        <f>SUM(Table1[[#This Row],[Health]])</f>
        <v>153.4</v>
      </c>
      <c r="AF101" s="1">
        <f>SUM(Table1[[#This Row],[Recreation and amusement]],Table1[[#This Row],[Education]])/2</f>
        <v>154.25</v>
      </c>
      <c r="AG101" s="1">
        <f>SUM(Table1[[#This Row],[Miscellaneous]],Table1[[#This Row],[Personal care and effects]])/2</f>
        <v>142.80000000000001</v>
      </c>
    </row>
    <row r="102" spans="1:33" hidden="1" x14ac:dyDescent="0.3">
      <c r="A102" t="s">
        <v>35</v>
      </c>
      <c r="B102">
        <v>2019</v>
      </c>
      <c r="C102" t="s">
        <v>34</v>
      </c>
      <c r="D102">
        <v>140.9</v>
      </c>
      <c r="E102">
        <v>160.80000000000001</v>
      </c>
      <c r="F102">
        <v>139.6</v>
      </c>
      <c r="G102">
        <v>145.4</v>
      </c>
      <c r="H102">
        <v>123.5</v>
      </c>
      <c r="I102">
        <v>146.6</v>
      </c>
      <c r="J102">
        <v>173.2</v>
      </c>
      <c r="K102">
        <v>131.6</v>
      </c>
      <c r="L102">
        <v>113.2</v>
      </c>
      <c r="M102">
        <v>144.1</v>
      </c>
      <c r="N102">
        <v>135</v>
      </c>
      <c r="O102">
        <v>156.80000000000001</v>
      </c>
      <c r="P102">
        <v>147</v>
      </c>
      <c r="Q102">
        <v>152.19999999999999</v>
      </c>
      <c r="R102">
        <v>139.19999999999999</v>
      </c>
      <c r="S102">
        <v>144.6</v>
      </c>
      <c r="T102">
        <v>149</v>
      </c>
      <c r="U102">
        <v>126.1</v>
      </c>
      <c r="V102">
        <v>141.30000000000001</v>
      </c>
      <c r="W102">
        <v>155.19999999999999</v>
      </c>
      <c r="X102">
        <v>139.69999999999999</v>
      </c>
      <c r="Y102">
        <v>140.69999999999999</v>
      </c>
      <c r="Z102">
        <v>145.80000000000001</v>
      </c>
      <c r="AA102" s="1">
        <f>SUM(Table1[[#This Row],[Cereals and products]:[Food and beverages]])/13</f>
        <v>142.89999999999998</v>
      </c>
      <c r="AB102" s="1">
        <f>SUM(Table1[[#This Row],[Fuel and light]])</f>
        <v>139.19999999999999</v>
      </c>
      <c r="AC102" s="1">
        <f>SUM(Table1[[#This Row],[Transport and communication]])</f>
        <v>126.1</v>
      </c>
      <c r="AD102" s="1">
        <f>SUM(Table1[[#This Row],[Housing]],Table1[[#This Row],[Household goods and services]])/2</f>
        <v>148.39999999999998</v>
      </c>
      <c r="AE102" s="1">
        <f>SUM(Table1[[#This Row],[Health]])</f>
        <v>149</v>
      </c>
      <c r="AF102" s="1">
        <f>SUM(Table1[[#This Row],[Recreation and amusement]],Table1[[#This Row],[Education]])/2</f>
        <v>148.25</v>
      </c>
      <c r="AG102" s="1">
        <f>SUM(Table1[[#This Row],[Miscellaneous]],Table1[[#This Row],[Personal care and effects]])/2</f>
        <v>140.19999999999999</v>
      </c>
    </row>
    <row r="103" spans="1:33" hidden="1" x14ac:dyDescent="0.3">
      <c r="A103" t="s">
        <v>36</v>
      </c>
      <c r="B103">
        <v>2019</v>
      </c>
      <c r="C103" t="s">
        <v>34</v>
      </c>
      <c r="D103">
        <v>142.69999999999999</v>
      </c>
      <c r="E103">
        <v>158.69999999999999</v>
      </c>
      <c r="F103">
        <v>141.6</v>
      </c>
      <c r="G103">
        <v>144.9</v>
      </c>
      <c r="H103">
        <v>120.8</v>
      </c>
      <c r="I103">
        <v>149.80000000000001</v>
      </c>
      <c r="J103">
        <v>192.4</v>
      </c>
      <c r="K103">
        <v>130.30000000000001</v>
      </c>
      <c r="L103">
        <v>114</v>
      </c>
      <c r="M103">
        <v>143.80000000000001</v>
      </c>
      <c r="N103">
        <v>130</v>
      </c>
      <c r="O103">
        <v>156.4</v>
      </c>
      <c r="P103">
        <v>149.5</v>
      </c>
      <c r="Q103">
        <v>152.19999999999999</v>
      </c>
      <c r="R103">
        <v>126.6</v>
      </c>
      <c r="S103">
        <v>138.30000000000001</v>
      </c>
      <c r="T103">
        <v>141.9</v>
      </c>
      <c r="U103">
        <v>121.2</v>
      </c>
      <c r="V103">
        <v>135.9</v>
      </c>
      <c r="W103">
        <v>151.6</v>
      </c>
      <c r="X103">
        <v>139</v>
      </c>
      <c r="Y103">
        <v>135.69999999999999</v>
      </c>
      <c r="Z103">
        <v>144.69999999999999</v>
      </c>
      <c r="AA103" s="1">
        <f>SUM(Table1[[#This Row],[Cereals and products]:[Food and beverages]])/13</f>
        <v>144.22307692307692</v>
      </c>
      <c r="AB103" s="1">
        <f>SUM(Table1[[#This Row],[Fuel and light]])</f>
        <v>126.6</v>
      </c>
      <c r="AC103" s="1">
        <f>SUM(Table1[[#This Row],[Transport and communication]])</f>
        <v>121.2</v>
      </c>
      <c r="AD103" s="1">
        <f>SUM(Table1[[#This Row],[Housing]],Table1[[#This Row],[Household goods and services]])/2</f>
        <v>145.25</v>
      </c>
      <c r="AE103" s="1">
        <f>SUM(Table1[[#This Row],[Health]])</f>
        <v>141.9</v>
      </c>
      <c r="AF103" s="1">
        <f>SUM(Table1[[#This Row],[Recreation and amusement]],Table1[[#This Row],[Education]])/2</f>
        <v>143.75</v>
      </c>
      <c r="AG103" s="1">
        <f>SUM(Table1[[#This Row],[Miscellaneous]],Table1[[#This Row],[Personal care and effects]])/2</f>
        <v>137.35</v>
      </c>
    </row>
    <row r="104" spans="1:33" hidden="1" x14ac:dyDescent="0.3">
      <c r="A104" t="s">
        <v>33</v>
      </c>
      <c r="B104">
        <v>2020</v>
      </c>
      <c r="C104" t="s">
        <v>48</v>
      </c>
      <c r="D104">
        <v>147.19999999999999</v>
      </c>
      <c r="E104">
        <v>144.5</v>
      </c>
      <c r="F104">
        <v>146.9</v>
      </c>
      <c r="G104">
        <v>155.6</v>
      </c>
      <c r="H104">
        <v>137.1</v>
      </c>
      <c r="I104">
        <v>147.30000000000001</v>
      </c>
      <c r="J104">
        <v>162.69999999999999</v>
      </c>
      <c r="K104">
        <v>150.19999999999999</v>
      </c>
      <c r="L104">
        <v>119.8</v>
      </c>
      <c r="M104">
        <v>158.69999999999999</v>
      </c>
      <c r="N104">
        <v>139.19999999999999</v>
      </c>
      <c r="O104">
        <v>152.5</v>
      </c>
      <c r="P104">
        <v>150.1</v>
      </c>
      <c r="Q104">
        <f>AVERAGE(Q105:Q106)</f>
        <v>155.6</v>
      </c>
      <c r="R104">
        <v>148.4</v>
      </c>
      <c r="S104">
        <v>138.80000000000001</v>
      </c>
      <c r="T104">
        <v>154.30000000000001</v>
      </c>
      <c r="U104">
        <v>123.6</v>
      </c>
      <c r="V104">
        <v>133.69999999999999</v>
      </c>
      <c r="W104">
        <v>142.6</v>
      </c>
      <c r="X104">
        <v>129.80000000000001</v>
      </c>
      <c r="Y104">
        <v>132.80000000000001</v>
      </c>
      <c r="Z104">
        <v>138.1</v>
      </c>
      <c r="AA104" s="1">
        <f>SUM(Table1[[#This Row],[Cereals and products]:[Food and beverages]])/13</f>
        <v>147.06153846153848</v>
      </c>
      <c r="AB104" s="1">
        <f>SUM(Table1[[#This Row],[Fuel and light]])</f>
        <v>148.4</v>
      </c>
      <c r="AC104" s="1">
        <f>SUM(Table1[[#This Row],[Transport and communication]])</f>
        <v>123.6</v>
      </c>
      <c r="AD104" s="1">
        <f>SUM(Table1[[#This Row],[Housing]],Table1[[#This Row],[Household goods and services]])/2</f>
        <v>147.19999999999999</v>
      </c>
      <c r="AE104" s="1">
        <f>SUM(Table1[[#This Row],[Health]])</f>
        <v>154.30000000000001</v>
      </c>
      <c r="AF104" s="1">
        <f>SUM(Table1[[#This Row],[Recreation and amusement]],Table1[[#This Row],[Education]])/2</f>
        <v>138.14999999999998</v>
      </c>
      <c r="AG104" s="1">
        <f>SUM(Table1[[#This Row],[Miscellaneous]],Table1[[#This Row],[Personal care and effects]])/2</f>
        <v>131.30000000000001</v>
      </c>
    </row>
    <row r="105" spans="1:33" hidden="1" x14ac:dyDescent="0.3">
      <c r="A105" t="s">
        <v>35</v>
      </c>
      <c r="B105">
        <v>2020</v>
      </c>
      <c r="C105" t="s">
        <v>48</v>
      </c>
      <c r="D105">
        <v>148.69999999999999</v>
      </c>
      <c r="E105">
        <v>144.5</v>
      </c>
      <c r="F105">
        <v>148.80000000000001</v>
      </c>
      <c r="G105">
        <v>155.6</v>
      </c>
      <c r="H105">
        <v>135.1</v>
      </c>
      <c r="I105">
        <v>149.9</v>
      </c>
      <c r="J105">
        <v>168.6</v>
      </c>
      <c r="K105">
        <v>150.4</v>
      </c>
      <c r="L105">
        <v>120.3</v>
      </c>
      <c r="M105">
        <v>157.1</v>
      </c>
      <c r="N105">
        <v>136.80000000000001</v>
      </c>
      <c r="O105">
        <v>153.19999999999999</v>
      </c>
      <c r="P105">
        <v>151.4</v>
      </c>
      <c r="Q105">
        <v>155.6</v>
      </c>
      <c r="R105">
        <v>144.1</v>
      </c>
      <c r="S105">
        <v>139.80000000000001</v>
      </c>
      <c r="T105">
        <v>150.69999999999999</v>
      </c>
      <c r="U105">
        <v>124.5</v>
      </c>
      <c r="V105">
        <v>134.80000000000001</v>
      </c>
      <c r="W105">
        <v>143.1</v>
      </c>
      <c r="X105">
        <v>130.1</v>
      </c>
      <c r="Y105">
        <v>133.5</v>
      </c>
      <c r="Z105">
        <v>138.6</v>
      </c>
      <c r="AA105" s="1">
        <f>SUM(Table1[[#This Row],[Cereals and products]:[Food and beverages]])/13</f>
        <v>147.72307692307692</v>
      </c>
      <c r="AB105" s="1">
        <f>SUM(Table1[[#This Row],[Fuel and light]])</f>
        <v>144.1</v>
      </c>
      <c r="AC105" s="1">
        <f>SUM(Table1[[#This Row],[Transport and communication]])</f>
        <v>124.5</v>
      </c>
      <c r="AD105" s="1">
        <f>SUM(Table1[[#This Row],[Housing]],Table1[[#This Row],[Household goods and services]])/2</f>
        <v>147.69999999999999</v>
      </c>
      <c r="AE105" s="1">
        <f>SUM(Table1[[#This Row],[Health]])</f>
        <v>150.69999999999999</v>
      </c>
      <c r="AF105" s="1">
        <f>SUM(Table1[[#This Row],[Recreation and amusement]],Table1[[#This Row],[Education]])/2</f>
        <v>138.94999999999999</v>
      </c>
      <c r="AG105" s="1">
        <f>SUM(Table1[[#This Row],[Miscellaneous]],Table1[[#This Row],[Personal care and effects]])/2</f>
        <v>131.80000000000001</v>
      </c>
    </row>
    <row r="106" spans="1:33" hidden="1" x14ac:dyDescent="0.3">
      <c r="A106" t="s">
        <v>36</v>
      </c>
      <c r="B106">
        <v>2020</v>
      </c>
      <c r="C106" t="s">
        <v>48</v>
      </c>
      <c r="D106">
        <v>151.80000000000001</v>
      </c>
      <c r="E106">
        <v>144.5</v>
      </c>
      <c r="F106">
        <v>151.9</v>
      </c>
      <c r="G106">
        <v>155.5</v>
      </c>
      <c r="H106">
        <v>131.6</v>
      </c>
      <c r="I106">
        <v>152.9</v>
      </c>
      <c r="J106">
        <v>180</v>
      </c>
      <c r="K106">
        <v>150.80000000000001</v>
      </c>
      <c r="L106">
        <v>121.2</v>
      </c>
      <c r="M106">
        <v>154</v>
      </c>
      <c r="N106">
        <v>133.5</v>
      </c>
      <c r="O106">
        <v>152.80000000000001</v>
      </c>
      <c r="P106">
        <v>153.5</v>
      </c>
      <c r="Q106">
        <v>155.6</v>
      </c>
      <c r="R106">
        <v>137.1</v>
      </c>
      <c r="S106">
        <v>139.30000000000001</v>
      </c>
      <c r="T106">
        <v>144.80000000000001</v>
      </c>
      <c r="U106">
        <v>124</v>
      </c>
      <c r="V106">
        <v>134.19999999999999</v>
      </c>
      <c r="W106">
        <v>142.80000000000001</v>
      </c>
      <c r="X106">
        <v>129.94999999999999</v>
      </c>
      <c r="Y106">
        <v>133.1</v>
      </c>
      <c r="Z106">
        <v>138.4</v>
      </c>
      <c r="AA106" s="1">
        <f>SUM(Table1[[#This Row],[Cereals and products]:[Food and beverages]])/13</f>
        <v>148.76923076923077</v>
      </c>
      <c r="AB106" s="1">
        <f>SUM(Table1[[#This Row],[Fuel and light]])</f>
        <v>137.1</v>
      </c>
      <c r="AC106" s="1">
        <f>SUM(Table1[[#This Row],[Transport and communication]])</f>
        <v>124</v>
      </c>
      <c r="AD106" s="1">
        <f>SUM(Table1[[#This Row],[Housing]],Table1[[#This Row],[Household goods and services]])/2</f>
        <v>147.44999999999999</v>
      </c>
      <c r="AE106" s="1">
        <f>SUM(Table1[[#This Row],[Health]])</f>
        <v>144.80000000000001</v>
      </c>
      <c r="AF106" s="1">
        <f>SUM(Table1[[#This Row],[Recreation and amusement]],Table1[[#This Row],[Education]])/2</f>
        <v>138.5</v>
      </c>
      <c r="AG106" s="1">
        <f>SUM(Table1[[#This Row],[Miscellaneous]],Table1[[#This Row],[Personal care and effects]])/2</f>
        <v>131.52499999999998</v>
      </c>
    </row>
    <row r="107" spans="1:33" hidden="1" x14ac:dyDescent="0.3">
      <c r="A107" t="s">
        <v>36</v>
      </c>
      <c r="B107">
        <v>2018</v>
      </c>
      <c r="C107" t="s">
        <v>47</v>
      </c>
      <c r="D107">
        <v>135</v>
      </c>
      <c r="E107">
        <v>148.19999999999999</v>
      </c>
      <c r="F107">
        <v>130.5</v>
      </c>
      <c r="G107">
        <v>140.69999999999999</v>
      </c>
      <c r="H107">
        <v>116.4</v>
      </c>
      <c r="I107">
        <v>151.30000000000001</v>
      </c>
      <c r="J107">
        <v>131.4</v>
      </c>
      <c r="K107">
        <v>112.8</v>
      </c>
      <c r="L107">
        <v>105.3</v>
      </c>
      <c r="M107">
        <v>139.6</v>
      </c>
      <c r="N107">
        <v>126.6</v>
      </c>
      <c r="O107">
        <v>148.69999999999999</v>
      </c>
      <c r="P107">
        <v>136.4</v>
      </c>
      <c r="Q107">
        <v>143.19999999999999</v>
      </c>
      <c r="R107">
        <v>124.7</v>
      </c>
      <c r="S107">
        <v>132.5</v>
      </c>
      <c r="T107">
        <v>132</v>
      </c>
      <c r="U107">
        <v>119.8</v>
      </c>
      <c r="V107">
        <v>128</v>
      </c>
      <c r="W107">
        <v>140.4</v>
      </c>
      <c r="X107">
        <v>128.1</v>
      </c>
      <c r="Y107">
        <v>128.9</v>
      </c>
      <c r="Z107">
        <v>135.4</v>
      </c>
      <c r="AA107" s="1">
        <f>SUM(Table1[[#This Row],[Cereals and products]:[Food and beverages]])/13</f>
        <v>132.53076923076921</v>
      </c>
      <c r="AB107" s="1">
        <f>SUM(Table1[[#This Row],[Fuel and light]])</f>
        <v>124.7</v>
      </c>
      <c r="AC107" s="1">
        <f>SUM(Table1[[#This Row],[Transport and communication]])</f>
        <v>119.8</v>
      </c>
      <c r="AD107" s="1">
        <f>SUM(Table1[[#This Row],[Housing]],Table1[[#This Row],[Household goods and services]])/2</f>
        <v>137.85</v>
      </c>
      <c r="AE107" s="1">
        <f>SUM(Table1[[#This Row],[Health]])</f>
        <v>132</v>
      </c>
      <c r="AF107" s="1">
        <f>SUM(Table1[[#This Row],[Recreation and amusement]],Table1[[#This Row],[Education]])/2</f>
        <v>134.19999999999999</v>
      </c>
      <c r="AG107" s="1">
        <f>SUM(Table1[[#This Row],[Miscellaneous]],Table1[[#This Row],[Personal care and effects]])/2</f>
        <v>128.5</v>
      </c>
    </row>
    <row r="108" spans="1:33" hidden="1" x14ac:dyDescent="0.3">
      <c r="A108" t="s">
        <v>35</v>
      </c>
      <c r="B108">
        <v>2018</v>
      </c>
      <c r="C108" t="s">
        <v>47</v>
      </c>
      <c r="D108">
        <v>136.6</v>
      </c>
      <c r="E108">
        <v>146.6</v>
      </c>
      <c r="F108">
        <v>133.6</v>
      </c>
      <c r="G108">
        <v>142.1</v>
      </c>
      <c r="H108">
        <v>121</v>
      </c>
      <c r="I108">
        <v>154.6</v>
      </c>
      <c r="J108">
        <v>135.6</v>
      </c>
      <c r="K108">
        <v>122.3</v>
      </c>
      <c r="L108">
        <v>109.6</v>
      </c>
      <c r="M108">
        <v>138.1</v>
      </c>
      <c r="N108">
        <v>129.9</v>
      </c>
      <c r="O108">
        <v>151.69999999999999</v>
      </c>
      <c r="P108">
        <v>138.1</v>
      </c>
      <c r="Q108">
        <v>143.19999999999999</v>
      </c>
      <c r="R108">
        <v>136.9</v>
      </c>
      <c r="S108">
        <v>137.4</v>
      </c>
      <c r="T108">
        <v>136</v>
      </c>
      <c r="U108">
        <v>122.9</v>
      </c>
      <c r="V108">
        <v>131.80000000000001</v>
      </c>
      <c r="W108">
        <v>142.1</v>
      </c>
      <c r="X108">
        <v>129.9</v>
      </c>
      <c r="Y108">
        <v>132.1</v>
      </c>
      <c r="Z108">
        <v>137.80000000000001</v>
      </c>
      <c r="AA108" s="1">
        <f>SUM(Table1[[#This Row],[Cereals and products]:[Food and beverages]])/13</f>
        <v>135.36923076923077</v>
      </c>
      <c r="AB108" s="1">
        <f>SUM(Table1[[#This Row],[Fuel and light]])</f>
        <v>136.9</v>
      </c>
      <c r="AC108" s="1">
        <f>SUM(Table1[[#This Row],[Transport and communication]])</f>
        <v>122.9</v>
      </c>
      <c r="AD108" s="1">
        <f>SUM(Table1[[#This Row],[Housing]],Table1[[#This Row],[Household goods and services]])/2</f>
        <v>140.30000000000001</v>
      </c>
      <c r="AE108" s="1">
        <f>SUM(Table1[[#This Row],[Health]])</f>
        <v>136</v>
      </c>
      <c r="AF108" s="1">
        <f>SUM(Table1[[#This Row],[Recreation and amusement]],Table1[[#This Row],[Education]])/2</f>
        <v>136.94999999999999</v>
      </c>
      <c r="AG108" s="1">
        <f>SUM(Table1[[#This Row],[Miscellaneous]],Table1[[#This Row],[Personal care and effects]])/2</f>
        <v>131</v>
      </c>
    </row>
    <row r="109" spans="1:33" hidden="1" x14ac:dyDescent="0.3">
      <c r="A109" t="s">
        <v>33</v>
      </c>
      <c r="B109">
        <v>2018</v>
      </c>
      <c r="C109" t="s">
        <v>47</v>
      </c>
      <c r="D109">
        <v>137.4</v>
      </c>
      <c r="E109">
        <v>145.69999999999999</v>
      </c>
      <c r="F109">
        <v>135.5</v>
      </c>
      <c r="G109">
        <v>142.9</v>
      </c>
      <c r="H109">
        <v>123.6</v>
      </c>
      <c r="I109">
        <v>157.5</v>
      </c>
      <c r="J109">
        <v>137.80000000000001</v>
      </c>
      <c r="K109">
        <v>127.2</v>
      </c>
      <c r="L109">
        <v>111.8</v>
      </c>
      <c r="M109">
        <v>137.4</v>
      </c>
      <c r="N109">
        <v>132.19999999999999</v>
      </c>
      <c r="O109">
        <v>154.30000000000001</v>
      </c>
      <c r="P109">
        <v>139.1</v>
      </c>
      <c r="Q109">
        <v>143.19999999999999</v>
      </c>
      <c r="R109">
        <v>144.30000000000001</v>
      </c>
      <c r="S109">
        <v>141.80000000000001</v>
      </c>
      <c r="T109">
        <v>138.4</v>
      </c>
      <c r="U109">
        <v>126.4</v>
      </c>
      <c r="V109">
        <v>136.80000000000001</v>
      </c>
      <c r="W109">
        <v>144.4</v>
      </c>
      <c r="X109">
        <v>131.19999999999999</v>
      </c>
      <c r="Y109">
        <v>135.1</v>
      </c>
      <c r="Z109">
        <v>139.80000000000001</v>
      </c>
      <c r="AA109" s="1">
        <f>SUM(Table1[[#This Row],[Cereals and products]:[Food and beverages]])/13</f>
        <v>137.1076923076923</v>
      </c>
      <c r="AB109" s="1">
        <f>SUM(Table1[[#This Row],[Fuel and light]])</f>
        <v>144.30000000000001</v>
      </c>
      <c r="AC109" s="1">
        <f>SUM(Table1[[#This Row],[Transport and communication]])</f>
        <v>126.4</v>
      </c>
      <c r="AD109" s="1">
        <f>SUM(Table1[[#This Row],[Housing]],Table1[[#This Row],[Household goods and services]])/2</f>
        <v>142.5</v>
      </c>
      <c r="AE109" s="1">
        <f>SUM(Table1[[#This Row],[Health]])</f>
        <v>138.4</v>
      </c>
      <c r="AF109" s="1">
        <f>SUM(Table1[[#This Row],[Recreation and amusement]],Table1[[#This Row],[Education]])/2</f>
        <v>140.60000000000002</v>
      </c>
      <c r="AG109" s="1">
        <f>SUM(Table1[[#This Row],[Miscellaneous]],Table1[[#This Row],[Personal care and effects]])/2</f>
        <v>133.14999999999998</v>
      </c>
    </row>
    <row r="110" spans="1:33" hidden="1" x14ac:dyDescent="0.3">
      <c r="A110" t="s">
        <v>36</v>
      </c>
      <c r="B110">
        <v>2017</v>
      </c>
      <c r="C110" t="s">
        <v>47</v>
      </c>
      <c r="D110">
        <v>132.6</v>
      </c>
      <c r="E110">
        <v>144.1</v>
      </c>
      <c r="F110">
        <v>125.6</v>
      </c>
      <c r="G110">
        <v>136.80000000000001</v>
      </c>
      <c r="H110">
        <v>113.4</v>
      </c>
      <c r="I110">
        <v>135.19999999999999</v>
      </c>
      <c r="J110">
        <v>129.19999999999999</v>
      </c>
      <c r="K110">
        <v>131.5</v>
      </c>
      <c r="L110">
        <v>121</v>
      </c>
      <c r="M110">
        <v>139.9</v>
      </c>
      <c r="N110">
        <v>123.8</v>
      </c>
      <c r="O110">
        <v>142.9</v>
      </c>
      <c r="P110">
        <v>133.6</v>
      </c>
      <c r="Q110">
        <v>132.1</v>
      </c>
      <c r="R110">
        <v>120.1</v>
      </c>
      <c r="S110">
        <v>126.5</v>
      </c>
      <c r="T110">
        <v>123.6</v>
      </c>
      <c r="U110">
        <v>114.3</v>
      </c>
      <c r="V110">
        <v>122.8</v>
      </c>
      <c r="W110">
        <v>133.80000000000001</v>
      </c>
      <c r="X110">
        <v>122</v>
      </c>
      <c r="Y110">
        <v>122.6</v>
      </c>
      <c r="Z110">
        <v>129.30000000000001</v>
      </c>
      <c r="AA110" s="1">
        <f>SUM(Table1[[#This Row],[Cereals and products]:[Food and beverages]])/13</f>
        <v>131.50769230769231</v>
      </c>
      <c r="AB110" s="1">
        <f>SUM(Table1[[#This Row],[Fuel and light]])</f>
        <v>120.1</v>
      </c>
      <c r="AC110" s="1">
        <f>SUM(Table1[[#This Row],[Transport and communication]])</f>
        <v>114.3</v>
      </c>
      <c r="AD110" s="1">
        <f>SUM(Table1[[#This Row],[Housing]],Table1[[#This Row],[Household goods and services]])/2</f>
        <v>129.30000000000001</v>
      </c>
      <c r="AE110" s="1">
        <f>SUM(Table1[[#This Row],[Health]])</f>
        <v>123.6</v>
      </c>
      <c r="AF110" s="1">
        <f>SUM(Table1[[#This Row],[Recreation and amusement]],Table1[[#This Row],[Education]])/2</f>
        <v>128.30000000000001</v>
      </c>
      <c r="AG110" s="1">
        <f>SUM(Table1[[#This Row],[Miscellaneous]],Table1[[#This Row],[Personal care and effects]])/2</f>
        <v>122.3</v>
      </c>
    </row>
    <row r="111" spans="1:33" hidden="1" x14ac:dyDescent="0.3">
      <c r="A111" t="s">
        <v>35</v>
      </c>
      <c r="B111">
        <v>2017</v>
      </c>
      <c r="C111" t="s">
        <v>47</v>
      </c>
      <c r="D111">
        <v>132.9</v>
      </c>
      <c r="E111">
        <v>141.6</v>
      </c>
      <c r="F111">
        <v>126.3</v>
      </c>
      <c r="G111">
        <v>137.69999999999999</v>
      </c>
      <c r="H111">
        <v>118.1</v>
      </c>
      <c r="I111">
        <v>137.9</v>
      </c>
      <c r="J111">
        <v>125.6</v>
      </c>
      <c r="K111">
        <v>138.30000000000001</v>
      </c>
      <c r="L111">
        <v>119.4</v>
      </c>
      <c r="M111">
        <v>136</v>
      </c>
      <c r="N111">
        <v>127.6</v>
      </c>
      <c r="O111">
        <v>144.5</v>
      </c>
      <c r="P111">
        <v>133.69999999999999</v>
      </c>
      <c r="Q111">
        <v>132.1</v>
      </c>
      <c r="R111">
        <v>129.4</v>
      </c>
      <c r="S111">
        <v>130.9</v>
      </c>
      <c r="T111">
        <v>128.4</v>
      </c>
      <c r="U111">
        <v>116.7</v>
      </c>
      <c r="V111">
        <v>125.7</v>
      </c>
      <c r="W111">
        <v>134.80000000000001</v>
      </c>
      <c r="X111">
        <v>123</v>
      </c>
      <c r="Y111">
        <v>125.3</v>
      </c>
      <c r="Z111">
        <v>131.4</v>
      </c>
      <c r="AA111" s="1">
        <f>SUM(Table1[[#This Row],[Cereals and products]:[Food and beverages]])/13</f>
        <v>132.27692307692308</v>
      </c>
      <c r="AB111" s="1">
        <f>SUM(Table1[[#This Row],[Fuel and light]])</f>
        <v>129.4</v>
      </c>
      <c r="AC111" s="1">
        <f>SUM(Table1[[#This Row],[Transport and communication]])</f>
        <v>116.7</v>
      </c>
      <c r="AD111" s="1">
        <f>SUM(Table1[[#This Row],[Housing]],Table1[[#This Row],[Household goods and services]])/2</f>
        <v>131.5</v>
      </c>
      <c r="AE111" s="1">
        <f>SUM(Table1[[#This Row],[Health]])</f>
        <v>128.4</v>
      </c>
      <c r="AF111" s="1">
        <f>SUM(Table1[[#This Row],[Recreation and amusement]],Table1[[#This Row],[Education]])/2</f>
        <v>130.25</v>
      </c>
      <c r="AG111" s="1">
        <f>SUM(Table1[[#This Row],[Miscellaneous]],Table1[[#This Row],[Personal care and effects]])/2</f>
        <v>124.15</v>
      </c>
    </row>
    <row r="112" spans="1:33" hidden="1" x14ac:dyDescent="0.3">
      <c r="A112" t="s">
        <v>33</v>
      </c>
      <c r="B112">
        <v>2017</v>
      </c>
      <c r="C112" t="s">
        <v>47</v>
      </c>
      <c r="D112">
        <v>133.1</v>
      </c>
      <c r="E112">
        <v>140.30000000000001</v>
      </c>
      <c r="F112">
        <v>126.8</v>
      </c>
      <c r="G112">
        <v>138.19999999999999</v>
      </c>
      <c r="H112">
        <v>120.8</v>
      </c>
      <c r="I112">
        <v>140.19999999999999</v>
      </c>
      <c r="J112">
        <v>123.8</v>
      </c>
      <c r="K112">
        <v>141.80000000000001</v>
      </c>
      <c r="L112">
        <v>118.6</v>
      </c>
      <c r="M112">
        <v>134</v>
      </c>
      <c r="N112">
        <v>130.30000000000001</v>
      </c>
      <c r="O112">
        <v>145.80000000000001</v>
      </c>
      <c r="P112">
        <v>133.80000000000001</v>
      </c>
      <c r="Q112">
        <v>132.1</v>
      </c>
      <c r="R112">
        <v>135</v>
      </c>
      <c r="S112">
        <v>134.9</v>
      </c>
      <c r="T112">
        <v>131.4</v>
      </c>
      <c r="U112">
        <v>119.4</v>
      </c>
      <c r="V112">
        <v>129.4</v>
      </c>
      <c r="W112">
        <v>136.30000000000001</v>
      </c>
      <c r="X112">
        <v>123.7</v>
      </c>
      <c r="Y112">
        <v>127.9</v>
      </c>
      <c r="Z112">
        <v>133.30000000000001</v>
      </c>
      <c r="AA112" s="1">
        <f>SUM(Table1[[#This Row],[Cereals and products]:[Food and beverages]])/13</f>
        <v>132.88461538461536</v>
      </c>
      <c r="AB112" s="1">
        <f>SUM(Table1[[#This Row],[Fuel and light]])</f>
        <v>135</v>
      </c>
      <c r="AC112" s="1">
        <f>SUM(Table1[[#This Row],[Transport and communication]])</f>
        <v>119.4</v>
      </c>
      <c r="AD112" s="1">
        <f>SUM(Table1[[#This Row],[Housing]],Table1[[#This Row],[Household goods and services]])/2</f>
        <v>133.5</v>
      </c>
      <c r="AE112" s="1">
        <f>SUM(Table1[[#This Row],[Health]])</f>
        <v>131.4</v>
      </c>
      <c r="AF112" s="1">
        <f>SUM(Table1[[#This Row],[Recreation and amusement]],Table1[[#This Row],[Education]])/2</f>
        <v>132.85000000000002</v>
      </c>
      <c r="AG112" s="1">
        <f>SUM(Table1[[#This Row],[Miscellaneous]],Table1[[#This Row],[Personal care and effects]])/2</f>
        <v>125.80000000000001</v>
      </c>
    </row>
    <row r="113" spans="1:33" hidden="1" x14ac:dyDescent="0.3">
      <c r="A113" t="s">
        <v>36</v>
      </c>
      <c r="B113">
        <v>2016</v>
      </c>
      <c r="C113" t="s">
        <v>47</v>
      </c>
      <c r="D113">
        <v>125</v>
      </c>
      <c r="E113">
        <v>142.1</v>
      </c>
      <c r="F113">
        <v>127</v>
      </c>
      <c r="G113">
        <v>130.4</v>
      </c>
      <c r="H113">
        <v>109.6</v>
      </c>
      <c r="I113">
        <v>133.5</v>
      </c>
      <c r="J113">
        <v>151.4</v>
      </c>
      <c r="K113">
        <v>182.8</v>
      </c>
      <c r="L113">
        <v>111.1</v>
      </c>
      <c r="M113">
        <v>141.5</v>
      </c>
      <c r="N113">
        <v>121.5</v>
      </c>
      <c r="O113">
        <v>136.30000000000001</v>
      </c>
      <c r="P113">
        <v>134.6</v>
      </c>
      <c r="Q113">
        <v>126</v>
      </c>
      <c r="R113">
        <v>115</v>
      </c>
      <c r="S113">
        <v>123.2</v>
      </c>
      <c r="T113">
        <v>120.3</v>
      </c>
      <c r="U113">
        <v>110.7</v>
      </c>
      <c r="V113">
        <v>119.8</v>
      </c>
      <c r="W113">
        <v>128</v>
      </c>
      <c r="X113">
        <v>118.5</v>
      </c>
      <c r="Y113">
        <v>118.7</v>
      </c>
      <c r="Z113">
        <v>126.6</v>
      </c>
      <c r="AA113" s="1">
        <f>SUM(Table1[[#This Row],[Cereals and products]:[Food and beverages]])/13</f>
        <v>134.36923076923074</v>
      </c>
      <c r="AB113" s="1">
        <f>SUM(Table1[[#This Row],[Fuel and light]])</f>
        <v>115</v>
      </c>
      <c r="AC113" s="1">
        <f>SUM(Table1[[#This Row],[Transport and communication]])</f>
        <v>110.7</v>
      </c>
      <c r="AD113" s="1">
        <f>SUM(Table1[[#This Row],[Housing]],Table1[[#This Row],[Household goods and services]])/2</f>
        <v>124.6</v>
      </c>
      <c r="AE113" s="1">
        <f>SUM(Table1[[#This Row],[Health]])</f>
        <v>120.3</v>
      </c>
      <c r="AF113" s="1">
        <f>SUM(Table1[[#This Row],[Recreation and amusement]],Table1[[#This Row],[Education]])/2</f>
        <v>123.9</v>
      </c>
      <c r="AG113" s="1">
        <f>SUM(Table1[[#This Row],[Miscellaneous]],Table1[[#This Row],[Personal care and effects]])/2</f>
        <v>118.6</v>
      </c>
    </row>
    <row r="114" spans="1:33" hidden="1" x14ac:dyDescent="0.3">
      <c r="A114" t="s">
        <v>35</v>
      </c>
      <c r="B114">
        <v>2016</v>
      </c>
      <c r="C114" t="s">
        <v>47</v>
      </c>
      <c r="D114">
        <v>126.8</v>
      </c>
      <c r="E114">
        <v>139.1</v>
      </c>
      <c r="F114">
        <v>125.4</v>
      </c>
      <c r="G114">
        <v>131.69999999999999</v>
      </c>
      <c r="H114">
        <v>115</v>
      </c>
      <c r="I114">
        <v>136</v>
      </c>
      <c r="J114">
        <v>145.1</v>
      </c>
      <c r="K114">
        <v>171.7</v>
      </c>
      <c r="L114">
        <v>108.7</v>
      </c>
      <c r="M114">
        <v>135.30000000000001</v>
      </c>
      <c r="N114">
        <v>124.2</v>
      </c>
      <c r="O114">
        <v>137.4</v>
      </c>
      <c r="P114">
        <v>134</v>
      </c>
      <c r="Q114">
        <v>126</v>
      </c>
      <c r="R114">
        <v>122.7</v>
      </c>
      <c r="S114">
        <v>126</v>
      </c>
      <c r="T114">
        <v>123.7</v>
      </c>
      <c r="U114">
        <v>112.8</v>
      </c>
      <c r="V114">
        <v>121.5</v>
      </c>
      <c r="W114">
        <v>128.5</v>
      </c>
      <c r="X114">
        <v>119.2</v>
      </c>
      <c r="Y114">
        <v>120.7</v>
      </c>
      <c r="Z114">
        <v>128.6</v>
      </c>
      <c r="AA114" s="1">
        <f>SUM(Table1[[#This Row],[Cereals and products]:[Food and beverages]])/13</f>
        <v>133.1076923076923</v>
      </c>
      <c r="AB114" s="1">
        <f>SUM(Table1[[#This Row],[Fuel and light]])</f>
        <v>122.7</v>
      </c>
      <c r="AC114" s="1">
        <f>SUM(Table1[[#This Row],[Transport and communication]])</f>
        <v>112.8</v>
      </c>
      <c r="AD114" s="1">
        <f>SUM(Table1[[#This Row],[Housing]],Table1[[#This Row],[Household goods and services]])/2</f>
        <v>126</v>
      </c>
      <c r="AE114" s="1">
        <f>SUM(Table1[[#This Row],[Health]])</f>
        <v>123.7</v>
      </c>
      <c r="AF114" s="1">
        <f>SUM(Table1[[#This Row],[Recreation and amusement]],Table1[[#This Row],[Education]])/2</f>
        <v>125</v>
      </c>
      <c r="AG114" s="1">
        <f>SUM(Table1[[#This Row],[Miscellaneous]],Table1[[#This Row],[Personal care and effects]])/2</f>
        <v>119.95</v>
      </c>
    </row>
    <row r="115" spans="1:33" hidden="1" x14ac:dyDescent="0.3">
      <c r="A115" t="s">
        <v>33</v>
      </c>
      <c r="B115">
        <v>2016</v>
      </c>
      <c r="C115" t="s">
        <v>47</v>
      </c>
      <c r="D115">
        <v>127.6</v>
      </c>
      <c r="E115">
        <v>137.5</v>
      </c>
      <c r="F115">
        <v>124.4</v>
      </c>
      <c r="G115">
        <v>132.4</v>
      </c>
      <c r="H115">
        <v>118.2</v>
      </c>
      <c r="I115">
        <v>138.1</v>
      </c>
      <c r="J115">
        <v>141.80000000000001</v>
      </c>
      <c r="K115">
        <v>166</v>
      </c>
      <c r="L115">
        <v>107.5</v>
      </c>
      <c r="M115">
        <v>132.19999999999999</v>
      </c>
      <c r="N115">
        <v>126.1</v>
      </c>
      <c r="O115">
        <v>138.30000000000001</v>
      </c>
      <c r="P115">
        <v>133.6</v>
      </c>
      <c r="Q115">
        <v>126</v>
      </c>
      <c r="R115">
        <v>127.4</v>
      </c>
      <c r="S115">
        <v>128.5</v>
      </c>
      <c r="T115">
        <v>125.8</v>
      </c>
      <c r="U115">
        <v>115.1</v>
      </c>
      <c r="V115">
        <v>123.6</v>
      </c>
      <c r="W115">
        <v>129.1</v>
      </c>
      <c r="X115">
        <v>119.7</v>
      </c>
      <c r="Y115">
        <v>122.5</v>
      </c>
      <c r="Z115">
        <v>130.30000000000001</v>
      </c>
      <c r="AA115" s="1">
        <f>SUM(Table1[[#This Row],[Cereals and products]:[Food and beverages]])/13</f>
        <v>132.59230769230768</v>
      </c>
      <c r="AB115" s="1">
        <f>SUM(Table1[[#This Row],[Fuel and light]])</f>
        <v>127.4</v>
      </c>
      <c r="AC115" s="1">
        <f>SUM(Table1[[#This Row],[Transport and communication]])</f>
        <v>115.1</v>
      </c>
      <c r="AD115" s="1">
        <f>SUM(Table1[[#This Row],[Housing]],Table1[[#This Row],[Household goods and services]])/2</f>
        <v>127.25</v>
      </c>
      <c r="AE115" s="1">
        <f>SUM(Table1[[#This Row],[Health]])</f>
        <v>125.8</v>
      </c>
      <c r="AF115" s="1">
        <f>SUM(Table1[[#This Row],[Recreation and amusement]],Table1[[#This Row],[Education]])/2</f>
        <v>126.35</v>
      </c>
      <c r="AG115" s="1">
        <f>SUM(Table1[[#This Row],[Miscellaneous]],Table1[[#This Row],[Personal care and effects]])/2</f>
        <v>121.1</v>
      </c>
    </row>
    <row r="116" spans="1:33" hidden="1" x14ac:dyDescent="0.3">
      <c r="A116" t="s">
        <v>33</v>
      </c>
      <c r="B116">
        <v>2015</v>
      </c>
      <c r="C116" t="s">
        <v>47</v>
      </c>
      <c r="D116">
        <v>123.5</v>
      </c>
      <c r="E116">
        <v>127.1</v>
      </c>
      <c r="F116">
        <v>117.3</v>
      </c>
      <c r="G116">
        <v>127.7</v>
      </c>
      <c r="H116">
        <v>112.5</v>
      </c>
      <c r="I116">
        <v>134.1</v>
      </c>
      <c r="J116">
        <v>128.5</v>
      </c>
      <c r="K116">
        <v>124.3</v>
      </c>
      <c r="L116">
        <v>97.6</v>
      </c>
      <c r="M116">
        <v>120.7</v>
      </c>
      <c r="N116">
        <v>120.2</v>
      </c>
      <c r="O116">
        <v>129.80000000000001</v>
      </c>
      <c r="P116">
        <v>124.4</v>
      </c>
      <c r="Q116">
        <v>114.3</v>
      </c>
      <c r="R116">
        <v>121.9</v>
      </c>
      <c r="S116">
        <v>121.5</v>
      </c>
      <c r="T116">
        <v>119.4</v>
      </c>
      <c r="U116">
        <v>113.3</v>
      </c>
      <c r="V116">
        <v>116.7</v>
      </c>
      <c r="W116">
        <v>120.5</v>
      </c>
      <c r="X116">
        <v>112.3</v>
      </c>
      <c r="Y116">
        <v>116.9</v>
      </c>
      <c r="Z116">
        <v>122.4</v>
      </c>
      <c r="AA116" s="1">
        <f>SUM(Table1[[#This Row],[Cereals and products]:[Food and beverages]])/13</f>
        <v>122.13076923076923</v>
      </c>
      <c r="AB116" s="1">
        <f>SUM(Table1[[#This Row],[Fuel and light]])</f>
        <v>121.9</v>
      </c>
      <c r="AC116" s="1">
        <f>SUM(Table1[[#This Row],[Transport and communication]])</f>
        <v>113.3</v>
      </c>
      <c r="AD116" s="1">
        <f>SUM(Table1[[#This Row],[Housing]],Table1[[#This Row],[Household goods and services]])/2</f>
        <v>117.9</v>
      </c>
      <c r="AE116" s="1">
        <f>SUM(Table1[[#This Row],[Health]])</f>
        <v>119.4</v>
      </c>
      <c r="AF116" s="1">
        <f>SUM(Table1[[#This Row],[Recreation and amusement]],Table1[[#This Row],[Education]])/2</f>
        <v>118.6</v>
      </c>
      <c r="AG116" s="1">
        <f>SUM(Table1[[#This Row],[Miscellaneous]],Table1[[#This Row],[Personal care and effects]])/2</f>
        <v>114.6</v>
      </c>
    </row>
    <row r="117" spans="1:33" hidden="1" x14ac:dyDescent="0.3">
      <c r="A117" t="s">
        <v>35</v>
      </c>
      <c r="B117">
        <v>2015</v>
      </c>
      <c r="C117" t="s">
        <v>47</v>
      </c>
      <c r="D117">
        <v>123.6</v>
      </c>
      <c r="E117">
        <v>128</v>
      </c>
      <c r="F117">
        <v>115</v>
      </c>
      <c r="G117">
        <v>127.3</v>
      </c>
      <c r="H117">
        <v>109.8</v>
      </c>
      <c r="I117">
        <v>132.6</v>
      </c>
      <c r="J117">
        <v>130.9</v>
      </c>
      <c r="K117">
        <v>130.5</v>
      </c>
      <c r="L117">
        <v>95.3</v>
      </c>
      <c r="M117">
        <v>123.4</v>
      </c>
      <c r="N117">
        <v>119.2</v>
      </c>
      <c r="O117">
        <v>129.80000000000001</v>
      </c>
      <c r="P117">
        <v>125</v>
      </c>
      <c r="Q117">
        <v>119.6</v>
      </c>
      <c r="R117">
        <v>119.2</v>
      </c>
      <c r="S117">
        <v>120.2</v>
      </c>
      <c r="T117">
        <v>117.7</v>
      </c>
      <c r="U117">
        <v>112</v>
      </c>
      <c r="V117">
        <v>116.3</v>
      </c>
      <c r="W117">
        <v>121.4</v>
      </c>
      <c r="X117">
        <v>112.3</v>
      </c>
      <c r="Y117">
        <v>116.1</v>
      </c>
      <c r="Z117">
        <v>121.6</v>
      </c>
      <c r="AA117" s="1">
        <f>SUM(Table1[[#This Row],[Cereals and products]:[Food and beverages]])/13</f>
        <v>122.33846153846154</v>
      </c>
      <c r="AB117" s="1">
        <f>SUM(Table1[[#This Row],[Fuel and light]])</f>
        <v>119.2</v>
      </c>
      <c r="AC117" s="1">
        <f>SUM(Table1[[#This Row],[Transport and communication]])</f>
        <v>112</v>
      </c>
      <c r="AD117" s="1">
        <f>SUM(Table1[[#This Row],[Housing]],Table1[[#This Row],[Household goods and services]])/2</f>
        <v>119.9</v>
      </c>
      <c r="AE117" s="1">
        <f>SUM(Table1[[#This Row],[Health]])</f>
        <v>117.7</v>
      </c>
      <c r="AF117" s="1">
        <f>SUM(Table1[[#This Row],[Recreation and amusement]],Table1[[#This Row],[Education]])/2</f>
        <v>118.85</v>
      </c>
      <c r="AG117" s="1">
        <f>SUM(Table1[[#This Row],[Miscellaneous]],Table1[[#This Row],[Personal care and effects]])/2</f>
        <v>114.19999999999999</v>
      </c>
    </row>
    <row r="118" spans="1:33" hidden="1" x14ac:dyDescent="0.3">
      <c r="A118" t="s">
        <v>36</v>
      </c>
      <c r="B118">
        <v>2015</v>
      </c>
      <c r="C118" t="s">
        <v>47</v>
      </c>
      <c r="D118">
        <v>123.8</v>
      </c>
      <c r="E118">
        <v>129.69999999999999</v>
      </c>
      <c r="F118">
        <v>111.3</v>
      </c>
      <c r="G118">
        <v>126.6</v>
      </c>
      <c r="H118">
        <v>105.2</v>
      </c>
      <c r="I118">
        <v>130.80000000000001</v>
      </c>
      <c r="J118">
        <v>135.6</v>
      </c>
      <c r="K118">
        <v>142.6</v>
      </c>
      <c r="L118">
        <v>90.8</v>
      </c>
      <c r="M118">
        <v>128.80000000000001</v>
      </c>
      <c r="N118">
        <v>117.7</v>
      </c>
      <c r="O118">
        <v>129.9</v>
      </c>
      <c r="P118">
        <v>126.1</v>
      </c>
      <c r="Q118">
        <v>119.6</v>
      </c>
      <c r="R118">
        <v>114.9</v>
      </c>
      <c r="S118">
        <v>118.7</v>
      </c>
      <c r="T118">
        <v>114.9</v>
      </c>
      <c r="U118">
        <v>110.8</v>
      </c>
      <c r="V118">
        <v>116</v>
      </c>
      <c r="W118">
        <v>122</v>
      </c>
      <c r="X118">
        <v>112.4</v>
      </c>
      <c r="Y118">
        <v>115.2</v>
      </c>
      <c r="Z118">
        <v>120.7</v>
      </c>
      <c r="AA118" s="1">
        <f>SUM(Table1[[#This Row],[Cereals and products]:[Food and beverages]])/13</f>
        <v>122.9923076923077</v>
      </c>
      <c r="AB118" s="1">
        <f>SUM(Table1[[#This Row],[Fuel and light]])</f>
        <v>114.9</v>
      </c>
      <c r="AC118" s="1">
        <f>SUM(Table1[[#This Row],[Transport and communication]])</f>
        <v>110.8</v>
      </c>
      <c r="AD118" s="1">
        <f>SUM(Table1[[#This Row],[Housing]],Table1[[#This Row],[Household goods and services]])/2</f>
        <v>119.15</v>
      </c>
      <c r="AE118" s="1">
        <f>SUM(Table1[[#This Row],[Health]])</f>
        <v>114.9</v>
      </c>
      <c r="AF118" s="1">
        <f>SUM(Table1[[#This Row],[Recreation and amusement]],Table1[[#This Row],[Education]])/2</f>
        <v>119</v>
      </c>
      <c r="AG118" s="1">
        <f>SUM(Table1[[#This Row],[Miscellaneous]],Table1[[#This Row],[Personal care and effects]])/2</f>
        <v>113.80000000000001</v>
      </c>
    </row>
    <row r="119" spans="1:33" hidden="1" x14ac:dyDescent="0.3">
      <c r="A119" t="s">
        <v>33</v>
      </c>
      <c r="B119">
        <v>2014</v>
      </c>
      <c r="C119" t="s">
        <v>47</v>
      </c>
      <c r="D119">
        <v>120.3</v>
      </c>
      <c r="E119">
        <v>120.2</v>
      </c>
      <c r="F119">
        <v>116.9</v>
      </c>
      <c r="G119">
        <v>118</v>
      </c>
      <c r="H119">
        <v>110.1</v>
      </c>
      <c r="I119">
        <v>126.3</v>
      </c>
      <c r="J119">
        <v>123.9</v>
      </c>
      <c r="K119">
        <v>111.5</v>
      </c>
      <c r="L119">
        <v>103.5</v>
      </c>
      <c r="M119">
        <v>111.6</v>
      </c>
      <c r="N119">
        <v>114.2</v>
      </c>
      <c r="O119">
        <v>119.2</v>
      </c>
      <c r="P119">
        <v>118.2</v>
      </c>
      <c r="Q119">
        <v>100.5</v>
      </c>
      <c r="R119">
        <v>113.4</v>
      </c>
      <c r="S119">
        <v>114.1</v>
      </c>
      <c r="T119">
        <v>112.1</v>
      </c>
      <c r="U119">
        <v>111.4</v>
      </c>
      <c r="V119">
        <v>110.9</v>
      </c>
      <c r="W119">
        <v>113.1</v>
      </c>
      <c r="X119">
        <v>108.9</v>
      </c>
      <c r="Y119">
        <v>111.8</v>
      </c>
      <c r="Z119">
        <v>116</v>
      </c>
      <c r="AA119" s="1">
        <f>SUM(Table1[[#This Row],[Cereals and products]:[Food and beverages]])/13</f>
        <v>116.45384615384614</v>
      </c>
      <c r="AB119" s="1">
        <f>SUM(Table1[[#This Row],[Fuel and light]])</f>
        <v>113.4</v>
      </c>
      <c r="AC119" s="1">
        <f>SUM(Table1[[#This Row],[Transport and communication]])</f>
        <v>111.4</v>
      </c>
      <c r="AD119" s="1">
        <f>SUM(Table1[[#This Row],[Housing]],Table1[[#This Row],[Household goods and services]])/2</f>
        <v>107.3</v>
      </c>
      <c r="AE119" s="1">
        <f>SUM(Table1[[#This Row],[Health]])</f>
        <v>112.1</v>
      </c>
      <c r="AF119" s="1">
        <f>SUM(Table1[[#This Row],[Recreation and amusement]],Table1[[#This Row],[Education]])/2</f>
        <v>112</v>
      </c>
      <c r="AG119" s="1">
        <f>SUM(Table1[[#This Row],[Miscellaneous]],Table1[[#This Row],[Personal care and effects]])/2</f>
        <v>110.35</v>
      </c>
    </row>
    <row r="120" spans="1:33" hidden="1" x14ac:dyDescent="0.3">
      <c r="A120" t="s">
        <v>35</v>
      </c>
      <c r="B120">
        <v>2014</v>
      </c>
      <c r="C120" t="s">
        <v>47</v>
      </c>
      <c r="D120">
        <v>121.1</v>
      </c>
      <c r="E120">
        <v>121.6</v>
      </c>
      <c r="F120">
        <v>115.9</v>
      </c>
      <c r="G120">
        <v>118.4</v>
      </c>
      <c r="H120">
        <v>107.7</v>
      </c>
      <c r="I120">
        <v>127.7</v>
      </c>
      <c r="J120">
        <v>125</v>
      </c>
      <c r="K120">
        <v>111.9</v>
      </c>
      <c r="L120">
        <v>102.8</v>
      </c>
      <c r="M120">
        <v>113.4</v>
      </c>
      <c r="N120">
        <v>113.7</v>
      </c>
      <c r="O120">
        <v>120.4</v>
      </c>
      <c r="P120">
        <v>118.9</v>
      </c>
      <c r="Q120">
        <v>114.3</v>
      </c>
      <c r="R120">
        <v>112.5</v>
      </c>
      <c r="S120">
        <v>114.1</v>
      </c>
      <c r="T120">
        <v>111.8</v>
      </c>
      <c r="U120">
        <v>111.3</v>
      </c>
      <c r="V120">
        <v>111.2</v>
      </c>
      <c r="W120">
        <v>113</v>
      </c>
      <c r="X120">
        <v>109.1</v>
      </c>
      <c r="Y120">
        <v>111.8</v>
      </c>
      <c r="Z120">
        <v>115.8</v>
      </c>
      <c r="AA120" s="1">
        <f>SUM(Table1[[#This Row],[Cereals and products]:[Food and beverages]])/13</f>
        <v>116.80769230769235</v>
      </c>
      <c r="AB120" s="1">
        <f>SUM(Table1[[#This Row],[Fuel and light]])</f>
        <v>112.5</v>
      </c>
      <c r="AC120" s="1">
        <f>SUM(Table1[[#This Row],[Transport and communication]])</f>
        <v>111.3</v>
      </c>
      <c r="AD120" s="1">
        <f>SUM(Table1[[#This Row],[Housing]],Table1[[#This Row],[Household goods and services]])/2</f>
        <v>114.19999999999999</v>
      </c>
      <c r="AE120" s="1">
        <f>SUM(Table1[[#This Row],[Health]])</f>
        <v>111.8</v>
      </c>
      <c r="AF120" s="1">
        <f>SUM(Table1[[#This Row],[Recreation and amusement]],Table1[[#This Row],[Education]])/2</f>
        <v>112.1</v>
      </c>
      <c r="AG120" s="1">
        <f>SUM(Table1[[#This Row],[Miscellaneous]],Table1[[#This Row],[Personal care and effects]])/2</f>
        <v>110.44999999999999</v>
      </c>
    </row>
    <row r="121" spans="1:33" hidden="1" x14ac:dyDescent="0.3">
      <c r="A121" t="s">
        <v>36</v>
      </c>
      <c r="B121">
        <v>2014</v>
      </c>
      <c r="C121" t="s">
        <v>47</v>
      </c>
      <c r="D121">
        <v>122.7</v>
      </c>
      <c r="E121">
        <v>124.1</v>
      </c>
      <c r="F121">
        <v>114.2</v>
      </c>
      <c r="G121">
        <v>119.1</v>
      </c>
      <c r="H121">
        <v>103.5</v>
      </c>
      <c r="I121">
        <v>129.19999999999999</v>
      </c>
      <c r="J121">
        <v>127</v>
      </c>
      <c r="K121">
        <v>112.6</v>
      </c>
      <c r="L121">
        <v>101.3</v>
      </c>
      <c r="M121">
        <v>117</v>
      </c>
      <c r="N121">
        <v>112.9</v>
      </c>
      <c r="O121">
        <v>121.7</v>
      </c>
      <c r="P121">
        <v>120</v>
      </c>
      <c r="Q121">
        <v>114.3</v>
      </c>
      <c r="R121">
        <v>111.1</v>
      </c>
      <c r="S121">
        <v>114.1</v>
      </c>
      <c r="T121">
        <v>111.2</v>
      </c>
      <c r="U121">
        <v>111.3</v>
      </c>
      <c r="V121">
        <v>111.5</v>
      </c>
      <c r="W121">
        <v>112.9</v>
      </c>
      <c r="X121">
        <v>109.3</v>
      </c>
      <c r="Y121">
        <v>111.7</v>
      </c>
      <c r="Z121">
        <v>115.6</v>
      </c>
      <c r="AA121" s="1">
        <f>SUM(Table1[[#This Row],[Cereals and products]:[Food and beverages]])/13</f>
        <v>117.33076923076925</v>
      </c>
      <c r="AB121" s="1">
        <f>SUM(Table1[[#This Row],[Fuel and light]])</f>
        <v>111.1</v>
      </c>
      <c r="AC121" s="1">
        <f>SUM(Table1[[#This Row],[Transport and communication]])</f>
        <v>111.3</v>
      </c>
      <c r="AD121" s="1">
        <f>SUM(Table1[[#This Row],[Housing]],Table1[[#This Row],[Household goods and services]])/2</f>
        <v>114.19999999999999</v>
      </c>
      <c r="AE121" s="1">
        <f>SUM(Table1[[#This Row],[Health]])</f>
        <v>111.2</v>
      </c>
      <c r="AF121" s="1">
        <f>SUM(Table1[[#This Row],[Recreation and amusement]],Table1[[#This Row],[Education]])/2</f>
        <v>112.2</v>
      </c>
      <c r="AG121" s="1">
        <f>SUM(Table1[[#This Row],[Miscellaneous]],Table1[[#This Row],[Personal care and effects]])/2</f>
        <v>110.5</v>
      </c>
    </row>
    <row r="122" spans="1:33" hidden="1" x14ac:dyDescent="0.3">
      <c r="A122" t="s">
        <v>33</v>
      </c>
      <c r="B122">
        <v>2013</v>
      </c>
      <c r="C122" t="s">
        <v>47</v>
      </c>
      <c r="D122">
        <v>110.9</v>
      </c>
      <c r="E122">
        <v>109.8</v>
      </c>
      <c r="F122">
        <v>105.9</v>
      </c>
      <c r="G122">
        <v>107.5</v>
      </c>
      <c r="H122">
        <v>105.3</v>
      </c>
      <c r="I122">
        <v>108.1</v>
      </c>
      <c r="J122">
        <v>107.3</v>
      </c>
      <c r="K122">
        <v>106.1</v>
      </c>
      <c r="L122">
        <v>103.7</v>
      </c>
      <c r="M122">
        <v>104</v>
      </c>
      <c r="N122">
        <v>107.4</v>
      </c>
      <c r="O122">
        <v>109.9</v>
      </c>
      <c r="P122">
        <v>108.1</v>
      </c>
      <c r="Q122">
        <v>171.8</v>
      </c>
      <c r="R122">
        <v>107.5</v>
      </c>
      <c r="S122">
        <v>106.8</v>
      </c>
      <c r="T122">
        <v>105.7</v>
      </c>
      <c r="U122">
        <v>104.1</v>
      </c>
      <c r="V122">
        <v>105</v>
      </c>
      <c r="W122">
        <v>105.5</v>
      </c>
      <c r="X122">
        <v>102.1</v>
      </c>
      <c r="Y122">
        <v>104.8</v>
      </c>
      <c r="Z122">
        <v>107.2</v>
      </c>
      <c r="AA122" s="1">
        <f>SUM(Table1[[#This Row],[Cereals and products]:[Food and beverages]])/13</f>
        <v>107.23076923076923</v>
      </c>
      <c r="AB122" s="1">
        <f>SUM(Table1[[#This Row],[Fuel and light]])</f>
        <v>107.5</v>
      </c>
      <c r="AC122" s="1">
        <f>SUM(Table1[[#This Row],[Transport and communication]])</f>
        <v>104.1</v>
      </c>
      <c r="AD122" s="1">
        <f>SUM(Table1[[#This Row],[Housing]],Table1[[#This Row],[Household goods and services]])/2</f>
        <v>139.30000000000001</v>
      </c>
      <c r="AE122" s="1">
        <f>SUM(Table1[[#This Row],[Health]])</f>
        <v>105.7</v>
      </c>
      <c r="AF122" s="1">
        <f>SUM(Table1[[#This Row],[Recreation and amusement]],Table1[[#This Row],[Education]])/2</f>
        <v>105.25</v>
      </c>
      <c r="AG122" s="1">
        <f>SUM(Table1[[#This Row],[Miscellaneous]],Table1[[#This Row],[Personal care and effects]])/2</f>
        <v>103.44999999999999</v>
      </c>
    </row>
    <row r="123" spans="1:33" hidden="1" x14ac:dyDescent="0.3">
      <c r="A123" t="s">
        <v>35</v>
      </c>
      <c r="B123">
        <v>2013</v>
      </c>
      <c r="C123" t="s">
        <v>47</v>
      </c>
      <c r="D123">
        <v>112.3</v>
      </c>
      <c r="E123">
        <v>111.3</v>
      </c>
      <c r="F123">
        <v>104.7</v>
      </c>
      <c r="G123">
        <v>106.8</v>
      </c>
      <c r="H123">
        <v>103.9</v>
      </c>
      <c r="I123">
        <v>109.3</v>
      </c>
      <c r="J123">
        <v>112.9</v>
      </c>
      <c r="K123">
        <v>105.8</v>
      </c>
      <c r="L123">
        <v>103.1</v>
      </c>
      <c r="M123">
        <v>104.3</v>
      </c>
      <c r="N123">
        <v>108.1</v>
      </c>
      <c r="O123">
        <v>110.5</v>
      </c>
      <c r="P123">
        <v>109.2</v>
      </c>
      <c r="Q123">
        <v>100.5</v>
      </c>
      <c r="R123">
        <v>107.4</v>
      </c>
      <c r="S123">
        <v>106.9</v>
      </c>
      <c r="T123">
        <v>105.9</v>
      </c>
      <c r="U123">
        <v>104</v>
      </c>
      <c r="V123">
        <v>104.8</v>
      </c>
      <c r="W123">
        <v>105.6</v>
      </c>
      <c r="X123">
        <v>102.3</v>
      </c>
      <c r="Y123">
        <v>104.8</v>
      </c>
      <c r="Z123">
        <v>106.9</v>
      </c>
      <c r="AA123" s="1">
        <f>SUM(Table1[[#This Row],[Cereals and products]:[Food and beverages]])/13</f>
        <v>107.86153846153844</v>
      </c>
      <c r="AB123" s="1">
        <f>SUM(Table1[[#This Row],[Fuel and light]])</f>
        <v>107.4</v>
      </c>
      <c r="AC123" s="1">
        <f>SUM(Table1[[#This Row],[Transport and communication]])</f>
        <v>104</v>
      </c>
      <c r="AD123" s="1">
        <f>SUM(Table1[[#This Row],[Housing]],Table1[[#This Row],[Household goods and services]])/2</f>
        <v>103.7</v>
      </c>
      <c r="AE123" s="1">
        <f>SUM(Table1[[#This Row],[Health]])</f>
        <v>105.9</v>
      </c>
      <c r="AF123" s="1">
        <f>SUM(Table1[[#This Row],[Recreation and amusement]],Table1[[#This Row],[Education]])/2</f>
        <v>105.19999999999999</v>
      </c>
      <c r="AG123" s="1">
        <f>SUM(Table1[[#This Row],[Miscellaneous]],Table1[[#This Row],[Personal care and effects]])/2</f>
        <v>103.55</v>
      </c>
    </row>
    <row r="124" spans="1:33" hidden="1" x14ac:dyDescent="0.3">
      <c r="A124" t="s">
        <v>36</v>
      </c>
      <c r="B124">
        <v>2013</v>
      </c>
      <c r="C124" t="s">
        <v>47</v>
      </c>
      <c r="D124">
        <v>115.4</v>
      </c>
      <c r="E124">
        <v>114.2</v>
      </c>
      <c r="F124">
        <v>102.7</v>
      </c>
      <c r="G124">
        <v>105.5</v>
      </c>
      <c r="H124">
        <v>101.5</v>
      </c>
      <c r="I124">
        <v>110.6</v>
      </c>
      <c r="J124">
        <v>123.7</v>
      </c>
      <c r="K124">
        <v>105.2</v>
      </c>
      <c r="L124">
        <v>101.9</v>
      </c>
      <c r="M124">
        <v>105</v>
      </c>
      <c r="N124">
        <v>109.1</v>
      </c>
      <c r="O124">
        <v>111.3</v>
      </c>
      <c r="P124">
        <v>111.1</v>
      </c>
      <c r="Q124">
        <v>100.5</v>
      </c>
      <c r="R124">
        <v>107.2</v>
      </c>
      <c r="S124">
        <v>107.1</v>
      </c>
      <c r="T124">
        <v>106.2</v>
      </c>
      <c r="U124">
        <v>103.9</v>
      </c>
      <c r="V124">
        <v>104.6</v>
      </c>
      <c r="W124">
        <v>105.7</v>
      </c>
      <c r="X124">
        <v>102.6</v>
      </c>
      <c r="Y124">
        <v>104.9</v>
      </c>
      <c r="Z124">
        <v>106.6</v>
      </c>
      <c r="AA124" s="1">
        <f>SUM(Table1[[#This Row],[Cereals and products]:[Food and beverages]])/13</f>
        <v>109.0153846153846</v>
      </c>
      <c r="AB124" s="1">
        <f>SUM(Table1[[#This Row],[Fuel and light]])</f>
        <v>107.2</v>
      </c>
      <c r="AC124" s="1">
        <f>SUM(Table1[[#This Row],[Transport and communication]])</f>
        <v>103.9</v>
      </c>
      <c r="AD124" s="1">
        <f>SUM(Table1[[#This Row],[Housing]],Table1[[#This Row],[Household goods and services]])/2</f>
        <v>103.8</v>
      </c>
      <c r="AE124" s="1">
        <f>SUM(Table1[[#This Row],[Health]])</f>
        <v>106.2</v>
      </c>
      <c r="AF124" s="1">
        <f>SUM(Table1[[#This Row],[Recreation and amusement]],Table1[[#This Row],[Education]])/2</f>
        <v>105.15</v>
      </c>
      <c r="AG124" s="1">
        <f>SUM(Table1[[#This Row],[Miscellaneous]],Table1[[#This Row],[Personal care and effects]])/2</f>
        <v>103.75</v>
      </c>
    </row>
    <row r="125" spans="1:33" hidden="1" x14ac:dyDescent="0.3">
      <c r="A125" t="s">
        <v>35</v>
      </c>
      <c r="B125">
        <v>2014</v>
      </c>
      <c r="C125" t="s">
        <v>49</v>
      </c>
      <c r="D125">
        <v>120.7</v>
      </c>
      <c r="E125">
        <v>119.3</v>
      </c>
      <c r="F125">
        <v>121</v>
      </c>
      <c r="G125">
        <v>116.1</v>
      </c>
      <c r="H125">
        <v>106.9</v>
      </c>
      <c r="I125">
        <v>118.7</v>
      </c>
      <c r="J125">
        <v>116.3</v>
      </c>
      <c r="K125">
        <v>109.8</v>
      </c>
      <c r="L125">
        <v>99.6</v>
      </c>
      <c r="M125">
        <v>111.8</v>
      </c>
      <c r="N125">
        <v>112.7</v>
      </c>
      <c r="O125">
        <v>119.3</v>
      </c>
      <c r="P125">
        <v>116.1</v>
      </c>
      <c r="Q125">
        <v>113.2</v>
      </c>
      <c r="R125">
        <v>112.5</v>
      </c>
      <c r="S125">
        <v>113.2</v>
      </c>
      <c r="T125">
        <v>111.2</v>
      </c>
      <c r="U125">
        <v>111.4</v>
      </c>
      <c r="V125">
        <v>110.6</v>
      </c>
      <c r="W125">
        <v>112</v>
      </c>
      <c r="X125">
        <v>109</v>
      </c>
      <c r="Y125">
        <v>111.3</v>
      </c>
      <c r="Z125">
        <v>114.2</v>
      </c>
      <c r="AA125" s="1">
        <f>SUM(Table1[[#This Row],[Cereals and products]:[Food and beverages]])/13</f>
        <v>114.48461538461537</v>
      </c>
      <c r="AB125" s="1">
        <f>SUM(Table1[[#This Row],[Fuel and light]])</f>
        <v>112.5</v>
      </c>
      <c r="AC125" s="1">
        <f>SUM(Table1[[#This Row],[Transport and communication]])</f>
        <v>111.4</v>
      </c>
      <c r="AD125" s="1">
        <f>SUM(Table1[[#This Row],[Housing]],Table1[[#This Row],[Household goods and services]])/2</f>
        <v>113.2</v>
      </c>
      <c r="AE125" s="1">
        <f>SUM(Table1[[#This Row],[Health]])</f>
        <v>111.2</v>
      </c>
      <c r="AF125" s="1">
        <f>SUM(Table1[[#This Row],[Recreation and amusement]],Table1[[#This Row],[Education]])/2</f>
        <v>111.3</v>
      </c>
      <c r="AG125" s="1">
        <f>SUM(Table1[[#This Row],[Miscellaneous]],Table1[[#This Row],[Personal care and effects]])/2</f>
        <v>110.15</v>
      </c>
    </row>
    <row r="126" spans="1:33" hidden="1" x14ac:dyDescent="0.3">
      <c r="A126" t="s">
        <v>33</v>
      </c>
      <c r="B126">
        <v>2023</v>
      </c>
      <c r="C126" t="s">
        <v>46</v>
      </c>
      <c r="D126">
        <v>174.3</v>
      </c>
      <c r="E126">
        <v>205.2</v>
      </c>
      <c r="F126">
        <v>173.9</v>
      </c>
      <c r="G126">
        <v>177</v>
      </c>
      <c r="H126">
        <v>183.3</v>
      </c>
      <c r="I126">
        <v>167.2</v>
      </c>
      <c r="J126">
        <v>140.9</v>
      </c>
      <c r="K126">
        <v>170.5</v>
      </c>
      <c r="L126">
        <v>119.1</v>
      </c>
      <c r="M126">
        <v>212.1</v>
      </c>
      <c r="N126">
        <v>177.6</v>
      </c>
      <c r="O126">
        <v>189.9</v>
      </c>
      <c r="P126">
        <v>174.8</v>
      </c>
      <c r="Q126">
        <f>AVERAGE(Q127:Q128)</f>
        <v>173.5</v>
      </c>
      <c r="R126">
        <v>181.4</v>
      </c>
      <c r="S126">
        <v>178.6</v>
      </c>
      <c r="T126">
        <v>186.6</v>
      </c>
      <c r="U126">
        <v>169</v>
      </c>
      <c r="V126">
        <v>172.8</v>
      </c>
      <c r="W126">
        <v>178.5</v>
      </c>
      <c r="X126">
        <v>180.7</v>
      </c>
      <c r="Y126">
        <v>177.9</v>
      </c>
      <c r="Z126">
        <v>178</v>
      </c>
      <c r="AA126" s="1">
        <f>SUM(Table1[[#This Row],[Cereals and products]:[Food and beverages]])/13</f>
        <v>174.2923076923077</v>
      </c>
      <c r="AB126" s="1">
        <f>SUM(Table1[[#This Row],[Fuel and light]])</f>
        <v>181.4</v>
      </c>
      <c r="AC126" s="1">
        <f>SUM(Table1[[#This Row],[Transport and communication]])</f>
        <v>169</v>
      </c>
      <c r="AD126" s="1">
        <f>SUM(Table1[[#This Row],[Housing]],Table1[[#This Row],[Household goods and services]])/2</f>
        <v>176.05</v>
      </c>
      <c r="AE126" s="1">
        <f>SUM(Table1[[#This Row],[Health]])</f>
        <v>186.6</v>
      </c>
      <c r="AF126" s="1">
        <f>SUM(Table1[[#This Row],[Recreation and amusement]],Table1[[#This Row],[Education]])/2</f>
        <v>175.65</v>
      </c>
      <c r="AG126" s="1">
        <f>SUM(Table1[[#This Row],[Miscellaneous]],Table1[[#This Row],[Personal care and effects]])/2</f>
        <v>179.3</v>
      </c>
    </row>
    <row r="127" spans="1:33" x14ac:dyDescent="0.3">
      <c r="A127" t="s">
        <v>35</v>
      </c>
      <c r="B127">
        <v>2023</v>
      </c>
      <c r="C127" t="s">
        <v>46</v>
      </c>
      <c r="D127">
        <v>174.4</v>
      </c>
      <c r="E127">
        <v>207.7</v>
      </c>
      <c r="F127">
        <v>175.2</v>
      </c>
      <c r="G127">
        <v>177.3</v>
      </c>
      <c r="H127">
        <v>179.2</v>
      </c>
      <c r="I127">
        <v>169.5</v>
      </c>
      <c r="J127">
        <v>152.80000000000001</v>
      </c>
      <c r="K127">
        <v>171.1</v>
      </c>
      <c r="L127">
        <v>120</v>
      </c>
      <c r="M127">
        <v>209.7</v>
      </c>
      <c r="N127">
        <v>172.3</v>
      </c>
      <c r="O127">
        <v>193</v>
      </c>
      <c r="P127">
        <v>177</v>
      </c>
      <c r="Q127">
        <v>173.5</v>
      </c>
      <c r="R127">
        <v>181.9</v>
      </c>
      <c r="S127">
        <v>174.2</v>
      </c>
      <c r="T127">
        <v>184.4</v>
      </c>
      <c r="U127">
        <v>164.2</v>
      </c>
      <c r="V127">
        <v>170.3</v>
      </c>
      <c r="W127">
        <v>175</v>
      </c>
      <c r="X127">
        <v>181</v>
      </c>
      <c r="Y127">
        <v>174.1</v>
      </c>
      <c r="Z127">
        <v>177.2</v>
      </c>
      <c r="AA127" s="1">
        <f>SUM(Table1[[#This Row],[Cereals and products]:[Food and beverages]])/13</f>
        <v>175.32307692307691</v>
      </c>
      <c r="AB127" s="1">
        <f>SUM(Table1[[#This Row],[Fuel and light]])</f>
        <v>181.9</v>
      </c>
      <c r="AC127" s="1">
        <f>SUM(Table1[[#This Row],[Transport and communication]])</f>
        <v>164.2</v>
      </c>
      <c r="AD127" s="1">
        <f>SUM(Table1[[#This Row],[Housing]],Table1[[#This Row],[Household goods and services]])/2</f>
        <v>173.85</v>
      </c>
      <c r="AE127" s="1">
        <f>SUM(Table1[[#This Row],[Health]])</f>
        <v>184.4</v>
      </c>
      <c r="AF127" s="1">
        <f>SUM(Table1[[#This Row],[Recreation and amusement]],Table1[[#This Row],[Education]])/2</f>
        <v>172.65</v>
      </c>
      <c r="AG127" s="1">
        <f>SUM(Table1[[#This Row],[Miscellaneous]],Table1[[#This Row],[Personal care and effects]])/2</f>
        <v>177.55</v>
      </c>
    </row>
    <row r="128" spans="1:33" hidden="1" x14ac:dyDescent="0.3">
      <c r="A128" t="s">
        <v>36</v>
      </c>
      <c r="B128">
        <v>2023</v>
      </c>
      <c r="C128" t="s">
        <v>46</v>
      </c>
      <c r="D128">
        <v>174.7</v>
      </c>
      <c r="E128">
        <v>212.2</v>
      </c>
      <c r="F128">
        <v>177.2</v>
      </c>
      <c r="G128">
        <v>177.9</v>
      </c>
      <c r="H128">
        <v>172.2</v>
      </c>
      <c r="I128">
        <v>172.1</v>
      </c>
      <c r="J128">
        <v>175.9</v>
      </c>
      <c r="K128">
        <v>172.2</v>
      </c>
      <c r="L128">
        <v>121.9</v>
      </c>
      <c r="M128">
        <v>204.8</v>
      </c>
      <c r="N128">
        <v>164.9</v>
      </c>
      <c r="O128">
        <v>196.6</v>
      </c>
      <c r="P128">
        <v>180.8</v>
      </c>
      <c r="Q128">
        <v>173.5</v>
      </c>
      <c r="R128">
        <v>182.6</v>
      </c>
      <c r="S128">
        <v>169.2</v>
      </c>
      <c r="T128">
        <v>180.8</v>
      </c>
      <c r="U128">
        <v>159.80000000000001</v>
      </c>
      <c r="V128">
        <v>168.4</v>
      </c>
      <c r="W128">
        <v>172.5</v>
      </c>
      <c r="X128">
        <v>181.5</v>
      </c>
      <c r="Y128">
        <v>170</v>
      </c>
      <c r="Z128">
        <v>176.3</v>
      </c>
      <c r="AA128" s="1">
        <f>SUM(Table1[[#This Row],[Cereals and products]:[Food and beverages]])/13</f>
        <v>177.1846153846154</v>
      </c>
      <c r="AB128" s="1">
        <f>SUM(Table1[[#This Row],[Fuel and light]])</f>
        <v>182.6</v>
      </c>
      <c r="AC128" s="1">
        <f>SUM(Table1[[#This Row],[Transport and communication]])</f>
        <v>159.80000000000001</v>
      </c>
      <c r="AD128" s="1">
        <f>SUM(Table1[[#This Row],[Housing]],Table1[[#This Row],[Household goods and services]])/2</f>
        <v>171.35</v>
      </c>
      <c r="AE128" s="1">
        <f>SUM(Table1[[#This Row],[Health]])</f>
        <v>180.8</v>
      </c>
      <c r="AF128" s="1">
        <f>SUM(Table1[[#This Row],[Recreation and amusement]],Table1[[#This Row],[Education]])/2</f>
        <v>170.45</v>
      </c>
      <c r="AG128" s="1">
        <f>SUM(Table1[[#This Row],[Miscellaneous]],Table1[[#This Row],[Personal care and effects]])/2</f>
        <v>175.75</v>
      </c>
    </row>
    <row r="129" spans="1:33" hidden="1" x14ac:dyDescent="0.3">
      <c r="A129" t="s">
        <v>33</v>
      </c>
      <c r="B129">
        <v>2022</v>
      </c>
      <c r="C129" t="s">
        <v>46</v>
      </c>
      <c r="D129">
        <v>150.19999999999999</v>
      </c>
      <c r="E129">
        <v>208</v>
      </c>
      <c r="F129">
        <v>167.9</v>
      </c>
      <c r="G129">
        <v>162</v>
      </c>
      <c r="H129">
        <v>203.1</v>
      </c>
      <c r="I129">
        <v>155.9</v>
      </c>
      <c r="J129">
        <v>155.80000000000001</v>
      </c>
      <c r="K129">
        <v>164.2</v>
      </c>
      <c r="L129">
        <v>118.1</v>
      </c>
      <c r="M129">
        <v>178.7</v>
      </c>
      <c r="N129">
        <v>171.2</v>
      </c>
      <c r="O129">
        <v>177.4</v>
      </c>
      <c r="P129">
        <v>166.6</v>
      </c>
      <c r="Q129">
        <f>AVERAGE(Q130:Q131)</f>
        <v>165.3</v>
      </c>
      <c r="R129">
        <v>168.9</v>
      </c>
      <c r="S129">
        <v>166.5</v>
      </c>
      <c r="T129">
        <v>176</v>
      </c>
      <c r="U129">
        <v>162</v>
      </c>
      <c r="V129">
        <v>166.6</v>
      </c>
      <c r="W129">
        <v>170.6</v>
      </c>
      <c r="X129">
        <v>167.4</v>
      </c>
      <c r="Y129">
        <v>168.3</v>
      </c>
      <c r="Z129">
        <v>168.7</v>
      </c>
      <c r="AA129" s="1">
        <f>SUM(Table1[[#This Row],[Cereals and products]:[Food and beverages]])/13</f>
        <v>167.62307692307695</v>
      </c>
      <c r="AB129" s="1">
        <f>SUM(Table1[[#This Row],[Fuel and light]])</f>
        <v>168.9</v>
      </c>
      <c r="AC129" s="1">
        <f>SUM(Table1[[#This Row],[Transport and communication]])</f>
        <v>162</v>
      </c>
      <c r="AD129" s="1">
        <f>SUM(Table1[[#This Row],[Housing]],Table1[[#This Row],[Household goods and services]])/2</f>
        <v>165.9</v>
      </c>
      <c r="AE129" s="1">
        <f>SUM(Table1[[#This Row],[Health]])</f>
        <v>176</v>
      </c>
      <c r="AF129" s="1">
        <f>SUM(Table1[[#This Row],[Recreation and amusement]],Table1[[#This Row],[Education]])/2</f>
        <v>168.6</v>
      </c>
      <c r="AG129" s="1">
        <f>SUM(Table1[[#This Row],[Miscellaneous]],Table1[[#This Row],[Personal care and effects]])/2</f>
        <v>167.85000000000002</v>
      </c>
    </row>
    <row r="130" spans="1:33" hidden="1" x14ac:dyDescent="0.3">
      <c r="A130" t="s">
        <v>35</v>
      </c>
      <c r="B130">
        <v>2022</v>
      </c>
      <c r="C130" t="s">
        <v>46</v>
      </c>
      <c r="D130">
        <v>151.30000000000001</v>
      </c>
      <c r="E130">
        <v>210.7</v>
      </c>
      <c r="F130">
        <v>167.8</v>
      </c>
      <c r="G130">
        <v>162.19999999999999</v>
      </c>
      <c r="H130">
        <v>194.6</v>
      </c>
      <c r="I130">
        <v>157.6</v>
      </c>
      <c r="J130">
        <v>166.9</v>
      </c>
      <c r="K130">
        <v>163.9</v>
      </c>
      <c r="L130">
        <v>118.8</v>
      </c>
      <c r="M130">
        <v>177.4</v>
      </c>
      <c r="N130">
        <v>165.3</v>
      </c>
      <c r="O130">
        <v>179.3</v>
      </c>
      <c r="P130">
        <v>168.4</v>
      </c>
      <c r="Q130">
        <v>165.3</v>
      </c>
      <c r="R130">
        <v>167.2</v>
      </c>
      <c r="S130">
        <v>162.80000000000001</v>
      </c>
      <c r="T130">
        <v>173</v>
      </c>
      <c r="U130">
        <v>157.9</v>
      </c>
      <c r="V130">
        <v>163.30000000000001</v>
      </c>
      <c r="W130">
        <v>166</v>
      </c>
      <c r="X130">
        <v>167.2</v>
      </c>
      <c r="Y130">
        <v>164.6</v>
      </c>
      <c r="Z130">
        <v>167.7</v>
      </c>
      <c r="AA130" s="1">
        <f>SUM(Table1[[#This Row],[Cereals and products]:[Food and beverages]])/13</f>
        <v>168.01538461538465</v>
      </c>
      <c r="AB130" s="1">
        <f>SUM(Table1[[#This Row],[Fuel and light]])</f>
        <v>167.2</v>
      </c>
      <c r="AC130" s="1">
        <f>SUM(Table1[[#This Row],[Transport and communication]])</f>
        <v>157.9</v>
      </c>
      <c r="AD130" s="1">
        <f>SUM(Table1[[#This Row],[Housing]],Table1[[#This Row],[Household goods and services]])/2</f>
        <v>164.05</v>
      </c>
      <c r="AE130" s="1">
        <f>SUM(Table1[[#This Row],[Health]])</f>
        <v>173</v>
      </c>
      <c r="AF130" s="1">
        <f>SUM(Table1[[#This Row],[Recreation and amusement]],Table1[[#This Row],[Education]])/2</f>
        <v>164.65</v>
      </c>
      <c r="AG130" s="1">
        <f>SUM(Table1[[#This Row],[Miscellaneous]],Table1[[#This Row],[Personal care and effects]])/2</f>
        <v>165.89999999999998</v>
      </c>
    </row>
    <row r="131" spans="1:33" hidden="1" x14ac:dyDescent="0.3">
      <c r="A131" t="s">
        <v>36</v>
      </c>
      <c r="B131">
        <v>2022</v>
      </c>
      <c r="C131" t="s">
        <v>46</v>
      </c>
      <c r="D131">
        <v>153.69999999999999</v>
      </c>
      <c r="E131">
        <v>215.8</v>
      </c>
      <c r="F131">
        <v>167.7</v>
      </c>
      <c r="G131">
        <v>162.6</v>
      </c>
      <c r="H131">
        <v>180</v>
      </c>
      <c r="I131">
        <v>159.6</v>
      </c>
      <c r="J131">
        <v>188.4</v>
      </c>
      <c r="K131">
        <v>163.4</v>
      </c>
      <c r="L131">
        <v>120.3</v>
      </c>
      <c r="M131">
        <v>174.7</v>
      </c>
      <c r="N131">
        <v>157.1</v>
      </c>
      <c r="O131">
        <v>181.5</v>
      </c>
      <c r="P131">
        <v>171.5</v>
      </c>
      <c r="Q131">
        <v>165.3</v>
      </c>
      <c r="R131">
        <v>164.5</v>
      </c>
      <c r="S131">
        <v>158.6</v>
      </c>
      <c r="T131">
        <v>168.2</v>
      </c>
      <c r="U131">
        <v>154.19999999999999</v>
      </c>
      <c r="V131">
        <v>160.80000000000001</v>
      </c>
      <c r="W131">
        <v>162.69999999999999</v>
      </c>
      <c r="X131">
        <v>166.8</v>
      </c>
      <c r="Y131">
        <v>160.6</v>
      </c>
      <c r="Z131">
        <v>166.5</v>
      </c>
      <c r="AA131" s="1">
        <f>SUM(Table1[[#This Row],[Cereals and products]:[Food and beverages]])/13</f>
        <v>168.94615384615386</v>
      </c>
      <c r="AB131" s="1">
        <f>SUM(Table1[[#This Row],[Fuel and light]])</f>
        <v>164.5</v>
      </c>
      <c r="AC131" s="1">
        <f>SUM(Table1[[#This Row],[Transport and communication]])</f>
        <v>154.19999999999999</v>
      </c>
      <c r="AD131" s="1">
        <f>SUM(Table1[[#This Row],[Housing]],Table1[[#This Row],[Household goods and services]])/2</f>
        <v>161.94999999999999</v>
      </c>
      <c r="AE131" s="1">
        <f>SUM(Table1[[#This Row],[Health]])</f>
        <v>168.2</v>
      </c>
      <c r="AF131" s="1">
        <f>SUM(Table1[[#This Row],[Recreation and amusement]],Table1[[#This Row],[Education]])/2</f>
        <v>161.75</v>
      </c>
      <c r="AG131" s="1">
        <f>SUM(Table1[[#This Row],[Miscellaneous]],Table1[[#This Row],[Personal care and effects]])/2</f>
        <v>163.69999999999999</v>
      </c>
    </row>
    <row r="132" spans="1:33" hidden="1" x14ac:dyDescent="0.3">
      <c r="A132" t="s">
        <v>33</v>
      </c>
      <c r="B132">
        <v>2020</v>
      </c>
      <c r="C132" t="s">
        <v>37</v>
      </c>
      <c r="D132">
        <v>147.6</v>
      </c>
      <c r="E132">
        <v>187.2</v>
      </c>
      <c r="F132">
        <v>148.4</v>
      </c>
      <c r="G132">
        <v>153.30000000000001</v>
      </c>
      <c r="H132">
        <v>139.80000000000001</v>
      </c>
      <c r="I132">
        <v>146.9</v>
      </c>
      <c r="J132">
        <v>171</v>
      </c>
      <c r="K132">
        <v>149.9</v>
      </c>
      <c r="L132">
        <v>114.2</v>
      </c>
      <c r="M132">
        <v>160</v>
      </c>
      <c r="N132">
        <v>143.5</v>
      </c>
      <c r="O132">
        <v>161.5</v>
      </c>
      <c r="P132">
        <v>155.30000000000001</v>
      </c>
      <c r="Q132">
        <f>AVERAGE(Q133:Q134)</f>
        <v>155.5</v>
      </c>
      <c r="R132">
        <v>145.80000000000001</v>
      </c>
      <c r="S132">
        <v>151.9</v>
      </c>
      <c r="T132">
        <v>158.80000000000001</v>
      </c>
      <c r="U132">
        <v>143.6</v>
      </c>
      <c r="V132">
        <v>152.19999999999999</v>
      </c>
      <c r="W132">
        <v>162.69999999999999</v>
      </c>
      <c r="X132">
        <v>153.6</v>
      </c>
      <c r="Y132">
        <v>153</v>
      </c>
      <c r="Z132">
        <v>154.69999999999999</v>
      </c>
      <c r="AA132" s="1">
        <f>SUM(Table1[[#This Row],[Cereals and products]:[Food and beverages]])/13</f>
        <v>152.19999999999999</v>
      </c>
      <c r="AB132" s="1">
        <f>SUM(Table1[[#This Row],[Fuel and light]])</f>
        <v>145.80000000000001</v>
      </c>
      <c r="AC132" s="1">
        <f>SUM(Table1[[#This Row],[Transport and communication]])</f>
        <v>143.6</v>
      </c>
      <c r="AD132" s="1">
        <f>SUM(Table1[[#This Row],[Housing]],Table1[[#This Row],[Household goods and services]])/2</f>
        <v>153.69999999999999</v>
      </c>
      <c r="AE132" s="1">
        <f>SUM(Table1[[#This Row],[Health]])</f>
        <v>158.80000000000001</v>
      </c>
      <c r="AF132" s="1">
        <f>SUM(Table1[[#This Row],[Recreation and amusement]],Table1[[#This Row],[Education]])/2</f>
        <v>157.44999999999999</v>
      </c>
      <c r="AG132" s="1">
        <f>SUM(Table1[[#This Row],[Miscellaneous]],Table1[[#This Row],[Personal care and effects]])/2</f>
        <v>153.30000000000001</v>
      </c>
    </row>
    <row r="133" spans="1:33" hidden="1" x14ac:dyDescent="0.3">
      <c r="A133" t="s">
        <v>35</v>
      </c>
      <c r="B133">
        <v>2020</v>
      </c>
      <c r="C133" t="s">
        <v>37</v>
      </c>
      <c r="D133">
        <v>148.9</v>
      </c>
      <c r="E133">
        <v>190.9</v>
      </c>
      <c r="F133">
        <v>150.80000000000001</v>
      </c>
      <c r="G133">
        <v>153.30000000000001</v>
      </c>
      <c r="H133">
        <v>137.4</v>
      </c>
      <c r="I133">
        <v>150.4</v>
      </c>
      <c r="J133">
        <v>178.1</v>
      </c>
      <c r="K133">
        <v>150.4</v>
      </c>
      <c r="L133">
        <v>115.1</v>
      </c>
      <c r="M133">
        <v>160</v>
      </c>
      <c r="N133">
        <v>140.6</v>
      </c>
      <c r="O133">
        <v>162.30000000000001</v>
      </c>
      <c r="P133">
        <v>157</v>
      </c>
      <c r="Q133">
        <v>155.5</v>
      </c>
      <c r="R133">
        <v>143</v>
      </c>
      <c r="S133">
        <v>148.4</v>
      </c>
      <c r="T133">
        <v>155</v>
      </c>
      <c r="U133">
        <v>138.5</v>
      </c>
      <c r="V133">
        <v>146</v>
      </c>
      <c r="W133">
        <v>158.5</v>
      </c>
      <c r="X133">
        <v>154.30000000000001</v>
      </c>
      <c r="Y133">
        <v>149</v>
      </c>
      <c r="Z133">
        <v>153.9</v>
      </c>
      <c r="AA133" s="1">
        <f>SUM(Table1[[#This Row],[Cereals and products]:[Food and beverages]])/13</f>
        <v>153.47692307692307</v>
      </c>
      <c r="AB133" s="1">
        <f>SUM(Table1[[#This Row],[Fuel and light]])</f>
        <v>143</v>
      </c>
      <c r="AC133" s="1">
        <f>SUM(Table1[[#This Row],[Transport and communication]])</f>
        <v>138.5</v>
      </c>
      <c r="AD133" s="1">
        <f>SUM(Table1[[#This Row],[Housing]],Table1[[#This Row],[Household goods and services]])/2</f>
        <v>151.94999999999999</v>
      </c>
      <c r="AE133" s="1">
        <f>SUM(Table1[[#This Row],[Health]])</f>
        <v>155</v>
      </c>
      <c r="AF133" s="1">
        <f>SUM(Table1[[#This Row],[Recreation and amusement]],Table1[[#This Row],[Education]])/2</f>
        <v>152.25</v>
      </c>
      <c r="AG133" s="1">
        <f>SUM(Table1[[#This Row],[Miscellaneous]],Table1[[#This Row],[Personal care and effects]])/2</f>
        <v>151.65</v>
      </c>
    </row>
    <row r="134" spans="1:33" hidden="1" x14ac:dyDescent="0.3">
      <c r="A134" t="s">
        <v>36</v>
      </c>
      <c r="B134">
        <v>2020</v>
      </c>
      <c r="C134" t="s">
        <v>37</v>
      </c>
      <c r="D134">
        <v>151.6</v>
      </c>
      <c r="E134">
        <v>197.8</v>
      </c>
      <c r="F134">
        <v>154.5</v>
      </c>
      <c r="G134">
        <v>153.4</v>
      </c>
      <c r="H134">
        <v>133.4</v>
      </c>
      <c r="I134">
        <v>154.5</v>
      </c>
      <c r="J134">
        <v>191.9</v>
      </c>
      <c r="K134">
        <v>151.30000000000001</v>
      </c>
      <c r="L134">
        <v>116.8</v>
      </c>
      <c r="M134">
        <v>160</v>
      </c>
      <c r="N134">
        <v>136.5</v>
      </c>
      <c r="O134">
        <v>163.30000000000001</v>
      </c>
      <c r="P134">
        <v>159.9</v>
      </c>
      <c r="Q134">
        <v>155.5</v>
      </c>
      <c r="R134">
        <v>138.30000000000001</v>
      </c>
      <c r="S134">
        <v>144.5</v>
      </c>
      <c r="T134">
        <v>148.69999999999999</v>
      </c>
      <c r="U134">
        <v>133.9</v>
      </c>
      <c r="V134">
        <v>141.19999999999999</v>
      </c>
      <c r="W134">
        <v>155.5</v>
      </c>
      <c r="X134">
        <v>155.19999999999999</v>
      </c>
      <c r="Y134">
        <v>144.80000000000001</v>
      </c>
      <c r="Z134">
        <v>152.9</v>
      </c>
      <c r="AA134" s="1">
        <f>SUM(Table1[[#This Row],[Cereals and products]:[Food and beverages]])/13</f>
        <v>155.76153846153846</v>
      </c>
      <c r="AB134" s="1">
        <f>SUM(Table1[[#This Row],[Fuel and light]])</f>
        <v>138.30000000000001</v>
      </c>
      <c r="AC134" s="1">
        <f>SUM(Table1[[#This Row],[Transport and communication]])</f>
        <v>133.9</v>
      </c>
      <c r="AD134" s="1">
        <f>SUM(Table1[[#This Row],[Housing]],Table1[[#This Row],[Household goods and services]])/2</f>
        <v>150</v>
      </c>
      <c r="AE134" s="1">
        <f>SUM(Table1[[#This Row],[Health]])</f>
        <v>148.69999999999999</v>
      </c>
      <c r="AF134" s="1">
        <f>SUM(Table1[[#This Row],[Recreation and amusement]],Table1[[#This Row],[Education]])/2</f>
        <v>148.35</v>
      </c>
      <c r="AG134" s="1">
        <f>SUM(Table1[[#This Row],[Miscellaneous]],Table1[[#This Row],[Personal care and effects]])/2</f>
        <v>150</v>
      </c>
    </row>
    <row r="135" spans="1:33" hidden="1" x14ac:dyDescent="0.3">
      <c r="A135" t="s">
        <v>33</v>
      </c>
      <c r="B135">
        <v>2020</v>
      </c>
      <c r="C135" t="s">
        <v>38</v>
      </c>
      <c r="D135">
        <v>144.6</v>
      </c>
      <c r="E135">
        <v>188.5</v>
      </c>
      <c r="F135">
        <v>173.4</v>
      </c>
      <c r="G135">
        <v>154</v>
      </c>
      <c r="H135">
        <v>150</v>
      </c>
      <c r="I135">
        <v>145.9</v>
      </c>
      <c r="J135">
        <v>225.2</v>
      </c>
      <c r="K135">
        <v>159.5</v>
      </c>
      <c r="L135">
        <v>114.4</v>
      </c>
      <c r="M135">
        <v>163.5</v>
      </c>
      <c r="N135">
        <v>153.4</v>
      </c>
      <c r="O135">
        <v>163.6</v>
      </c>
      <c r="P135">
        <v>164.5</v>
      </c>
      <c r="Q135">
        <f>AVERAGE(Q136:Q137)</f>
        <v>158.4</v>
      </c>
      <c r="R135">
        <v>148.69999999999999</v>
      </c>
      <c r="S135">
        <v>153.4</v>
      </c>
      <c r="T135">
        <v>161.6</v>
      </c>
      <c r="U135">
        <v>146.4</v>
      </c>
      <c r="V135">
        <v>153.9</v>
      </c>
      <c r="W135">
        <v>162.9</v>
      </c>
      <c r="X135">
        <v>156.6</v>
      </c>
      <c r="Y135">
        <v>155.19999999999999</v>
      </c>
      <c r="Z135">
        <v>160.69999999999999</v>
      </c>
      <c r="AA135" s="1">
        <f>SUM(Table1[[#This Row],[Cereals and products]:[Food and beverages]])/13</f>
        <v>161.57692307692307</v>
      </c>
      <c r="AB135" s="1">
        <f>SUM(Table1[[#This Row],[Fuel and light]])</f>
        <v>148.69999999999999</v>
      </c>
      <c r="AC135" s="1">
        <f>SUM(Table1[[#This Row],[Transport and communication]])</f>
        <v>146.4</v>
      </c>
      <c r="AD135" s="1">
        <f>SUM(Table1[[#This Row],[Housing]],Table1[[#This Row],[Household goods and services]])/2</f>
        <v>155.9</v>
      </c>
      <c r="AE135" s="1">
        <f>SUM(Table1[[#This Row],[Health]])</f>
        <v>161.6</v>
      </c>
      <c r="AF135" s="1">
        <f>SUM(Table1[[#This Row],[Recreation and amusement]],Table1[[#This Row],[Education]])/2</f>
        <v>158.4</v>
      </c>
      <c r="AG135" s="1">
        <f>SUM(Table1[[#This Row],[Miscellaneous]],Table1[[#This Row],[Personal care and effects]])/2</f>
        <v>155.89999999999998</v>
      </c>
    </row>
    <row r="136" spans="1:33" hidden="1" x14ac:dyDescent="0.3">
      <c r="A136" t="s">
        <v>35</v>
      </c>
      <c r="B136">
        <v>2020</v>
      </c>
      <c r="C136" t="s">
        <v>38</v>
      </c>
      <c r="D136">
        <v>146</v>
      </c>
      <c r="E136">
        <v>191</v>
      </c>
      <c r="F136">
        <v>175.3</v>
      </c>
      <c r="G136">
        <v>154.1</v>
      </c>
      <c r="H136">
        <v>146.6</v>
      </c>
      <c r="I136">
        <v>147.69999999999999</v>
      </c>
      <c r="J136">
        <v>230.5</v>
      </c>
      <c r="K136">
        <v>160.19999999999999</v>
      </c>
      <c r="L136">
        <v>115.3</v>
      </c>
      <c r="M136">
        <v>163</v>
      </c>
      <c r="N136">
        <v>149.19999999999999</v>
      </c>
      <c r="O136">
        <v>164.8</v>
      </c>
      <c r="P136">
        <v>165.4</v>
      </c>
      <c r="Q136">
        <v>158.4</v>
      </c>
      <c r="R136">
        <v>144.6</v>
      </c>
      <c r="S136">
        <v>149.69999999999999</v>
      </c>
      <c r="T136">
        <v>158.30000000000001</v>
      </c>
      <c r="U136">
        <v>140.69999999999999</v>
      </c>
      <c r="V136">
        <v>148.5</v>
      </c>
      <c r="W136">
        <v>159.4</v>
      </c>
      <c r="X136">
        <v>157.1</v>
      </c>
      <c r="Y136">
        <v>151.19999999999999</v>
      </c>
      <c r="Z136">
        <v>158.9</v>
      </c>
      <c r="AA136" s="1">
        <f>SUM(Table1[[#This Row],[Cereals and products]:[Food and beverages]])/13</f>
        <v>162.23846153846154</v>
      </c>
      <c r="AB136" s="1">
        <f>SUM(Table1[[#This Row],[Fuel and light]])</f>
        <v>144.6</v>
      </c>
      <c r="AC136" s="1">
        <f>SUM(Table1[[#This Row],[Transport and communication]])</f>
        <v>140.69999999999999</v>
      </c>
      <c r="AD136" s="1">
        <f>SUM(Table1[[#This Row],[Housing]],Table1[[#This Row],[Household goods and services]])/2</f>
        <v>154.05000000000001</v>
      </c>
      <c r="AE136" s="1">
        <f>SUM(Table1[[#This Row],[Health]])</f>
        <v>158.30000000000001</v>
      </c>
      <c r="AF136" s="1">
        <f>SUM(Table1[[#This Row],[Recreation and amusement]],Table1[[#This Row],[Education]])/2</f>
        <v>153.94999999999999</v>
      </c>
      <c r="AG136" s="1">
        <f>SUM(Table1[[#This Row],[Miscellaneous]],Table1[[#This Row],[Personal care and effects]])/2</f>
        <v>154.14999999999998</v>
      </c>
    </row>
    <row r="137" spans="1:33" hidden="1" x14ac:dyDescent="0.3">
      <c r="A137" t="s">
        <v>36</v>
      </c>
      <c r="B137">
        <v>2020</v>
      </c>
      <c r="C137" t="s">
        <v>38</v>
      </c>
      <c r="D137">
        <v>149</v>
      </c>
      <c r="E137">
        <v>195.7</v>
      </c>
      <c r="F137">
        <v>178.3</v>
      </c>
      <c r="G137">
        <v>154.19999999999999</v>
      </c>
      <c r="H137">
        <v>140.69999999999999</v>
      </c>
      <c r="I137">
        <v>149.69999999999999</v>
      </c>
      <c r="J137">
        <v>240.9</v>
      </c>
      <c r="K137">
        <v>161.5</v>
      </c>
      <c r="L137">
        <v>117.1</v>
      </c>
      <c r="M137">
        <v>161.9</v>
      </c>
      <c r="N137">
        <v>143.30000000000001</v>
      </c>
      <c r="O137">
        <v>166.1</v>
      </c>
      <c r="P137">
        <v>167</v>
      </c>
      <c r="Q137">
        <v>158.4</v>
      </c>
      <c r="R137">
        <v>137.9</v>
      </c>
      <c r="S137">
        <v>145.5</v>
      </c>
      <c r="T137">
        <v>152.9</v>
      </c>
      <c r="U137">
        <v>135.5</v>
      </c>
      <c r="V137">
        <v>144.30000000000001</v>
      </c>
      <c r="W137">
        <v>156.9</v>
      </c>
      <c r="X137">
        <v>157.9</v>
      </c>
      <c r="Y137">
        <v>146.9</v>
      </c>
      <c r="Z137">
        <v>156.9</v>
      </c>
      <c r="AA137" s="1">
        <f>SUM(Table1[[#This Row],[Cereals and products]:[Food and beverages]])/13</f>
        <v>163.49230769230769</v>
      </c>
      <c r="AB137" s="1">
        <f>SUM(Table1[[#This Row],[Fuel and light]])</f>
        <v>137.9</v>
      </c>
      <c r="AC137" s="1">
        <f>SUM(Table1[[#This Row],[Transport and communication]])</f>
        <v>135.5</v>
      </c>
      <c r="AD137" s="1">
        <f>SUM(Table1[[#This Row],[Housing]],Table1[[#This Row],[Household goods and services]])/2</f>
        <v>151.94999999999999</v>
      </c>
      <c r="AE137" s="1">
        <f>SUM(Table1[[#This Row],[Health]])</f>
        <v>152.9</v>
      </c>
      <c r="AF137" s="1">
        <f>SUM(Table1[[#This Row],[Recreation and amusement]],Table1[[#This Row],[Education]])/2</f>
        <v>150.60000000000002</v>
      </c>
      <c r="AG137" s="1">
        <f>SUM(Table1[[#This Row],[Miscellaneous]],Table1[[#This Row],[Personal care and effects]])/2</f>
        <v>152.4</v>
      </c>
    </row>
    <row r="138" spans="1:33" hidden="1" x14ac:dyDescent="0.3">
      <c r="A138" t="s">
        <v>33</v>
      </c>
      <c r="B138">
        <v>2020</v>
      </c>
      <c r="C138" t="s">
        <v>39</v>
      </c>
      <c r="D138">
        <v>144.19999999999999</v>
      </c>
      <c r="E138">
        <v>167.5</v>
      </c>
      <c r="F138">
        <v>150.9</v>
      </c>
      <c r="G138">
        <v>150.9</v>
      </c>
      <c r="H138">
        <v>133.69999999999999</v>
      </c>
      <c r="I138">
        <v>140.69999999999999</v>
      </c>
      <c r="J138">
        <v>165.1</v>
      </c>
      <c r="K138">
        <v>141.80000000000001</v>
      </c>
      <c r="L138">
        <v>113.1</v>
      </c>
      <c r="M138">
        <v>152.80000000000001</v>
      </c>
      <c r="N138">
        <v>140.1</v>
      </c>
      <c r="O138">
        <v>159.19999999999999</v>
      </c>
      <c r="P138">
        <v>149.80000000000001</v>
      </c>
      <c r="Q138">
        <f>AVERAGE(Q139:Q140)</f>
        <v>154.80000000000001</v>
      </c>
      <c r="R138">
        <v>152.30000000000001</v>
      </c>
      <c r="S138">
        <v>151.80000000000001</v>
      </c>
      <c r="T138">
        <v>156.19999999999999</v>
      </c>
      <c r="U138">
        <v>136</v>
      </c>
      <c r="V138">
        <v>150.4</v>
      </c>
      <c r="W138">
        <v>161.9</v>
      </c>
      <c r="X138">
        <v>143.4</v>
      </c>
      <c r="Y138">
        <v>148.4</v>
      </c>
      <c r="Z138">
        <v>150.4</v>
      </c>
      <c r="AA138" s="1">
        <f>SUM(Table1[[#This Row],[Cereals and products]:[Food and beverages]])/13</f>
        <v>146.90769230769229</v>
      </c>
      <c r="AB138" s="1">
        <f>SUM(Table1[[#This Row],[Fuel and light]])</f>
        <v>152.30000000000001</v>
      </c>
      <c r="AC138" s="1">
        <f>SUM(Table1[[#This Row],[Transport and communication]])</f>
        <v>136</v>
      </c>
      <c r="AD138" s="1">
        <f>SUM(Table1[[#This Row],[Housing]],Table1[[#This Row],[Household goods and services]])/2</f>
        <v>153.30000000000001</v>
      </c>
      <c r="AE138" s="1">
        <f>SUM(Table1[[#This Row],[Health]])</f>
        <v>156.19999999999999</v>
      </c>
      <c r="AF138" s="1">
        <f>SUM(Table1[[#This Row],[Recreation and amusement]],Table1[[#This Row],[Education]])/2</f>
        <v>156.15</v>
      </c>
      <c r="AG138" s="1">
        <f>SUM(Table1[[#This Row],[Miscellaneous]],Table1[[#This Row],[Personal care and effects]])/2</f>
        <v>145.9</v>
      </c>
    </row>
    <row r="139" spans="1:33" hidden="1" x14ac:dyDescent="0.3">
      <c r="A139" t="s">
        <v>35</v>
      </c>
      <c r="B139">
        <v>2020</v>
      </c>
      <c r="C139" t="s">
        <v>39</v>
      </c>
      <c r="D139">
        <v>144.80000000000001</v>
      </c>
      <c r="E139">
        <v>167.5</v>
      </c>
      <c r="F139">
        <v>151.80000000000001</v>
      </c>
      <c r="G139">
        <v>150.80000000000001</v>
      </c>
      <c r="H139">
        <v>131.4</v>
      </c>
      <c r="I139">
        <v>141.80000000000001</v>
      </c>
      <c r="J139">
        <v>170.7</v>
      </c>
      <c r="K139">
        <v>141.1</v>
      </c>
      <c r="L139">
        <v>113.6</v>
      </c>
      <c r="M139">
        <v>152</v>
      </c>
      <c r="N139">
        <v>136.5</v>
      </c>
      <c r="O139">
        <v>159.1</v>
      </c>
      <c r="P139">
        <v>150.5</v>
      </c>
      <c r="Q139">
        <v>154.80000000000001</v>
      </c>
      <c r="R139">
        <v>147.19999999999999</v>
      </c>
      <c r="S139">
        <v>146.4</v>
      </c>
      <c r="T139">
        <v>151.69999999999999</v>
      </c>
      <c r="U139">
        <v>130.30000000000001</v>
      </c>
      <c r="V139">
        <v>143.19999999999999</v>
      </c>
      <c r="W139">
        <v>156.19999999999999</v>
      </c>
      <c r="X139">
        <v>143.4</v>
      </c>
      <c r="Y139">
        <v>143.6</v>
      </c>
      <c r="Z139">
        <v>149.1</v>
      </c>
      <c r="AA139" s="1">
        <f>SUM(Table1[[#This Row],[Cereals and products]:[Food and beverages]])/13</f>
        <v>147.04615384615383</v>
      </c>
      <c r="AB139" s="1">
        <f>SUM(Table1[[#This Row],[Fuel and light]])</f>
        <v>147.19999999999999</v>
      </c>
      <c r="AC139" s="1">
        <f>SUM(Table1[[#This Row],[Transport and communication]])</f>
        <v>130.30000000000001</v>
      </c>
      <c r="AD139" s="1">
        <f>SUM(Table1[[#This Row],[Housing]],Table1[[#This Row],[Household goods and services]])/2</f>
        <v>150.60000000000002</v>
      </c>
      <c r="AE139" s="1">
        <f>SUM(Table1[[#This Row],[Health]])</f>
        <v>151.69999999999999</v>
      </c>
      <c r="AF139" s="1">
        <f>SUM(Table1[[#This Row],[Recreation and amusement]],Table1[[#This Row],[Education]])/2</f>
        <v>149.69999999999999</v>
      </c>
      <c r="AG139" s="1">
        <f>SUM(Table1[[#This Row],[Miscellaneous]],Table1[[#This Row],[Personal care and effects]])/2</f>
        <v>143.5</v>
      </c>
    </row>
    <row r="140" spans="1:33" hidden="1" x14ac:dyDescent="0.3">
      <c r="A140" t="s">
        <v>36</v>
      </c>
      <c r="B140">
        <v>2020</v>
      </c>
      <c r="C140" t="s">
        <v>39</v>
      </c>
      <c r="D140">
        <v>146.19999999999999</v>
      </c>
      <c r="E140">
        <v>167.6</v>
      </c>
      <c r="F140">
        <v>153.1</v>
      </c>
      <c r="G140">
        <v>150.69999999999999</v>
      </c>
      <c r="H140">
        <v>127.4</v>
      </c>
      <c r="I140">
        <v>143.1</v>
      </c>
      <c r="J140">
        <v>181.7</v>
      </c>
      <c r="K140">
        <v>139.6</v>
      </c>
      <c r="L140">
        <v>114.6</v>
      </c>
      <c r="M140">
        <v>150.4</v>
      </c>
      <c r="N140">
        <v>131.5</v>
      </c>
      <c r="O140">
        <v>159</v>
      </c>
      <c r="P140">
        <v>151.69999999999999</v>
      </c>
      <c r="Q140">
        <v>154.80000000000001</v>
      </c>
      <c r="R140">
        <v>138.9</v>
      </c>
      <c r="S140">
        <v>140.4</v>
      </c>
      <c r="T140">
        <v>144.4</v>
      </c>
      <c r="U140">
        <v>125.2</v>
      </c>
      <c r="V140">
        <v>137.69999999999999</v>
      </c>
      <c r="W140">
        <v>152.19999999999999</v>
      </c>
      <c r="X140">
        <v>143.5</v>
      </c>
      <c r="Y140">
        <v>138.4</v>
      </c>
      <c r="Z140">
        <v>147.69999999999999</v>
      </c>
      <c r="AA140" s="1">
        <f>SUM(Table1[[#This Row],[Cereals and products]:[Food and beverages]])/13</f>
        <v>147.43076923076922</v>
      </c>
      <c r="AB140" s="1">
        <f>SUM(Table1[[#This Row],[Fuel and light]])</f>
        <v>138.9</v>
      </c>
      <c r="AC140" s="1">
        <f>SUM(Table1[[#This Row],[Transport and communication]])</f>
        <v>125.2</v>
      </c>
      <c r="AD140" s="1">
        <f>SUM(Table1[[#This Row],[Housing]],Table1[[#This Row],[Household goods and services]])/2</f>
        <v>147.60000000000002</v>
      </c>
      <c r="AE140" s="1">
        <f>SUM(Table1[[#This Row],[Health]])</f>
        <v>144.4</v>
      </c>
      <c r="AF140" s="1">
        <f>SUM(Table1[[#This Row],[Recreation and amusement]],Table1[[#This Row],[Education]])/2</f>
        <v>144.94999999999999</v>
      </c>
      <c r="AG140" s="1">
        <f>SUM(Table1[[#This Row],[Miscellaneous]],Table1[[#This Row],[Personal care and effects]])/2</f>
        <v>140.94999999999999</v>
      </c>
    </row>
    <row r="141" spans="1:33" hidden="1" x14ac:dyDescent="0.3">
      <c r="A141" t="s">
        <v>36</v>
      </c>
      <c r="B141">
        <v>2018</v>
      </c>
      <c r="C141" t="s">
        <v>46</v>
      </c>
      <c r="D141">
        <v>135</v>
      </c>
      <c r="E141">
        <v>143.1</v>
      </c>
      <c r="F141">
        <v>135.5</v>
      </c>
      <c r="G141">
        <v>139.9</v>
      </c>
      <c r="H141">
        <v>116.5</v>
      </c>
      <c r="I141">
        <v>138.5</v>
      </c>
      <c r="J141">
        <v>128</v>
      </c>
      <c r="K141">
        <v>115.5</v>
      </c>
      <c r="L141">
        <v>114.2</v>
      </c>
      <c r="M141">
        <v>140.69999999999999</v>
      </c>
      <c r="N141">
        <v>126.2</v>
      </c>
      <c r="O141">
        <v>147.6</v>
      </c>
      <c r="P141">
        <v>134.80000000000001</v>
      </c>
      <c r="Q141">
        <v>142</v>
      </c>
      <c r="R141">
        <v>126.4</v>
      </c>
      <c r="S141">
        <v>130.80000000000001</v>
      </c>
      <c r="T141">
        <v>130.5</v>
      </c>
      <c r="U141">
        <v>117.8</v>
      </c>
      <c r="V141">
        <v>126.8</v>
      </c>
      <c r="W141">
        <v>137.80000000000001</v>
      </c>
      <c r="X141">
        <v>126.7</v>
      </c>
      <c r="Y141">
        <v>127.1</v>
      </c>
      <c r="Z141">
        <v>134</v>
      </c>
      <c r="AA141" s="1">
        <f>SUM(Table1[[#This Row],[Cereals and products]:[Food and beverages]])/13</f>
        <v>131.96153846153845</v>
      </c>
      <c r="AB141" s="1">
        <f>SUM(Table1[[#This Row],[Fuel and light]])</f>
        <v>126.4</v>
      </c>
      <c r="AC141" s="1">
        <f>SUM(Table1[[#This Row],[Transport and communication]])</f>
        <v>117.8</v>
      </c>
      <c r="AD141" s="1">
        <f>SUM(Table1[[#This Row],[Housing]],Table1[[#This Row],[Household goods and services]])/2</f>
        <v>136.4</v>
      </c>
      <c r="AE141" s="1">
        <f>SUM(Table1[[#This Row],[Health]])</f>
        <v>130.5</v>
      </c>
      <c r="AF141" s="1">
        <f>SUM(Table1[[#This Row],[Recreation and amusement]],Table1[[#This Row],[Education]])/2</f>
        <v>132.30000000000001</v>
      </c>
      <c r="AG141" s="1">
        <f>SUM(Table1[[#This Row],[Miscellaneous]],Table1[[#This Row],[Personal care and effects]])/2</f>
        <v>126.9</v>
      </c>
    </row>
    <row r="142" spans="1:33" hidden="1" x14ac:dyDescent="0.3">
      <c r="A142" t="s">
        <v>35</v>
      </c>
      <c r="B142">
        <v>2018</v>
      </c>
      <c r="C142" t="s">
        <v>46</v>
      </c>
      <c r="D142">
        <v>136.19999999999999</v>
      </c>
      <c r="E142">
        <v>143.6</v>
      </c>
      <c r="F142">
        <v>138.30000000000001</v>
      </c>
      <c r="G142">
        <v>141.19999999999999</v>
      </c>
      <c r="H142">
        <v>120.7</v>
      </c>
      <c r="I142">
        <v>146.19999999999999</v>
      </c>
      <c r="J142">
        <v>134.6</v>
      </c>
      <c r="K142">
        <v>124.6</v>
      </c>
      <c r="L142">
        <v>116.1</v>
      </c>
      <c r="M142">
        <v>137.80000000000001</v>
      </c>
      <c r="N142">
        <v>129.1</v>
      </c>
      <c r="O142">
        <v>150.4</v>
      </c>
      <c r="P142">
        <v>137.19999999999999</v>
      </c>
      <c r="Q142">
        <v>142</v>
      </c>
      <c r="R142">
        <v>136.5</v>
      </c>
      <c r="S142">
        <v>135.6</v>
      </c>
      <c r="T142">
        <v>134.30000000000001</v>
      </c>
      <c r="U142">
        <v>121</v>
      </c>
      <c r="V142">
        <v>130.4</v>
      </c>
      <c r="W142">
        <v>139.80000000000001</v>
      </c>
      <c r="X142">
        <v>128.19999999999999</v>
      </c>
      <c r="Y142">
        <v>130.30000000000001</v>
      </c>
      <c r="Z142">
        <v>136.5</v>
      </c>
      <c r="AA142" s="1">
        <f>SUM(Table1[[#This Row],[Cereals and products]:[Food and beverages]])/13</f>
        <v>135.07692307692307</v>
      </c>
      <c r="AB142" s="1">
        <f>SUM(Table1[[#This Row],[Fuel and light]])</f>
        <v>136.5</v>
      </c>
      <c r="AC142" s="1">
        <f>SUM(Table1[[#This Row],[Transport and communication]])</f>
        <v>121</v>
      </c>
      <c r="AD142" s="1">
        <f>SUM(Table1[[#This Row],[Housing]],Table1[[#This Row],[Household goods and services]])/2</f>
        <v>138.80000000000001</v>
      </c>
      <c r="AE142" s="1">
        <f>SUM(Table1[[#This Row],[Health]])</f>
        <v>134.30000000000001</v>
      </c>
      <c r="AF142" s="1">
        <f>SUM(Table1[[#This Row],[Recreation and amusement]],Table1[[#This Row],[Education]])/2</f>
        <v>135.10000000000002</v>
      </c>
      <c r="AG142" s="1">
        <f>SUM(Table1[[#This Row],[Miscellaneous]],Table1[[#This Row],[Personal care and effects]])/2</f>
        <v>129.25</v>
      </c>
    </row>
    <row r="143" spans="1:33" hidden="1" x14ac:dyDescent="0.3">
      <c r="A143" t="s">
        <v>33</v>
      </c>
      <c r="B143">
        <v>2018</v>
      </c>
      <c r="C143" t="s">
        <v>46</v>
      </c>
      <c r="D143">
        <v>136.80000000000001</v>
      </c>
      <c r="E143">
        <v>143.80000000000001</v>
      </c>
      <c r="F143">
        <v>140</v>
      </c>
      <c r="G143">
        <v>142</v>
      </c>
      <c r="H143">
        <v>123.2</v>
      </c>
      <c r="I143">
        <v>152.9</v>
      </c>
      <c r="J143">
        <v>138</v>
      </c>
      <c r="K143">
        <v>129.30000000000001</v>
      </c>
      <c r="L143">
        <v>117.1</v>
      </c>
      <c r="M143">
        <v>136.30000000000001</v>
      </c>
      <c r="N143">
        <v>131.19999999999999</v>
      </c>
      <c r="O143">
        <v>152.80000000000001</v>
      </c>
      <c r="P143">
        <v>138.6</v>
      </c>
      <c r="Q143">
        <f>AVERAGE(Q141:Q142)</f>
        <v>142</v>
      </c>
      <c r="R143">
        <v>142.6</v>
      </c>
      <c r="S143">
        <v>139.9</v>
      </c>
      <c r="T143">
        <v>136.69999999999999</v>
      </c>
      <c r="U143">
        <v>124.6</v>
      </c>
      <c r="V143">
        <v>135.1</v>
      </c>
      <c r="W143">
        <v>142.69999999999999</v>
      </c>
      <c r="X143">
        <v>129.30000000000001</v>
      </c>
      <c r="Y143">
        <v>133.30000000000001</v>
      </c>
      <c r="Z143">
        <v>138.69999999999999</v>
      </c>
      <c r="AA143" s="1">
        <f>SUM(Table1[[#This Row],[Cereals and products]:[Food and beverages]])/13</f>
        <v>137.07692307692307</v>
      </c>
      <c r="AB143" s="1">
        <f>SUM(Table1[[#This Row],[Fuel and light]])</f>
        <v>142.6</v>
      </c>
      <c r="AC143" s="1">
        <f>SUM(Table1[[#This Row],[Transport and communication]])</f>
        <v>124.6</v>
      </c>
      <c r="AD143" s="1">
        <f>SUM(Table1[[#This Row],[Housing]],Table1[[#This Row],[Household goods and services]])/2</f>
        <v>140.94999999999999</v>
      </c>
      <c r="AE143" s="1">
        <f>SUM(Table1[[#This Row],[Health]])</f>
        <v>136.69999999999999</v>
      </c>
      <c r="AF143" s="1">
        <f>SUM(Table1[[#This Row],[Recreation and amusement]],Table1[[#This Row],[Education]])/2</f>
        <v>138.89999999999998</v>
      </c>
      <c r="AG143" s="1">
        <f>SUM(Table1[[#This Row],[Miscellaneous]],Table1[[#This Row],[Personal care and effects]])/2</f>
        <v>131.30000000000001</v>
      </c>
    </row>
    <row r="144" spans="1:33" hidden="1" x14ac:dyDescent="0.3">
      <c r="A144" t="s">
        <v>36</v>
      </c>
      <c r="B144">
        <v>2017</v>
      </c>
      <c r="C144" t="s">
        <v>46</v>
      </c>
      <c r="D144">
        <v>132.69999999999999</v>
      </c>
      <c r="E144">
        <v>139.4</v>
      </c>
      <c r="F144">
        <v>128.4</v>
      </c>
      <c r="G144">
        <v>134.9</v>
      </c>
      <c r="H144">
        <v>114</v>
      </c>
      <c r="I144">
        <v>136.80000000000001</v>
      </c>
      <c r="J144">
        <v>122.2</v>
      </c>
      <c r="K144">
        <v>135.80000000000001</v>
      </c>
      <c r="L144">
        <v>120.3</v>
      </c>
      <c r="M144">
        <v>142.6</v>
      </c>
      <c r="N144">
        <v>123.6</v>
      </c>
      <c r="O144">
        <v>142.4</v>
      </c>
      <c r="P144">
        <v>132.6</v>
      </c>
      <c r="Q144">
        <v>131.1</v>
      </c>
      <c r="R144">
        <v>120.8</v>
      </c>
      <c r="S144">
        <v>125.6</v>
      </c>
      <c r="T144">
        <v>123.1</v>
      </c>
      <c r="U144">
        <v>115.6</v>
      </c>
      <c r="V144">
        <v>122.4</v>
      </c>
      <c r="W144">
        <v>132.80000000000001</v>
      </c>
      <c r="X144">
        <v>121.7</v>
      </c>
      <c r="Y144">
        <v>122.6</v>
      </c>
      <c r="Z144">
        <v>128.69999999999999</v>
      </c>
      <c r="AA144" s="1">
        <f>SUM(Table1[[#This Row],[Cereals and products]:[Food and beverages]])/13</f>
        <v>131.2076923076923</v>
      </c>
      <c r="AB144" s="1">
        <f>SUM(Table1[[#This Row],[Fuel and light]])</f>
        <v>120.8</v>
      </c>
      <c r="AC144" s="1">
        <f>SUM(Table1[[#This Row],[Transport and communication]])</f>
        <v>115.6</v>
      </c>
      <c r="AD144" s="1">
        <f>SUM(Table1[[#This Row],[Housing]],Table1[[#This Row],[Household goods and services]])/2</f>
        <v>128.35</v>
      </c>
      <c r="AE144" s="1">
        <f>SUM(Table1[[#This Row],[Health]])</f>
        <v>123.1</v>
      </c>
      <c r="AF144" s="1">
        <f>SUM(Table1[[#This Row],[Recreation and amusement]],Table1[[#This Row],[Education]])/2</f>
        <v>127.60000000000001</v>
      </c>
      <c r="AG144" s="1">
        <f>SUM(Table1[[#This Row],[Miscellaneous]],Table1[[#This Row],[Personal care and effects]])/2</f>
        <v>122.15</v>
      </c>
    </row>
    <row r="145" spans="1:33" hidden="1" x14ac:dyDescent="0.3">
      <c r="A145" t="s">
        <v>35</v>
      </c>
      <c r="B145">
        <v>2017</v>
      </c>
      <c r="C145" t="s">
        <v>46</v>
      </c>
      <c r="D145">
        <v>133.30000000000001</v>
      </c>
      <c r="E145">
        <v>139</v>
      </c>
      <c r="F145">
        <v>128.6</v>
      </c>
      <c r="G145">
        <v>136.30000000000001</v>
      </c>
      <c r="H145">
        <v>118.8</v>
      </c>
      <c r="I145">
        <v>138.30000000000001</v>
      </c>
      <c r="J145">
        <v>120.5</v>
      </c>
      <c r="K145">
        <v>143.9</v>
      </c>
      <c r="L145">
        <v>118</v>
      </c>
      <c r="M145">
        <v>137.9</v>
      </c>
      <c r="N145">
        <v>127.2</v>
      </c>
      <c r="O145">
        <v>144</v>
      </c>
      <c r="P145">
        <v>133.1</v>
      </c>
      <c r="Q145">
        <v>131.1</v>
      </c>
      <c r="R145">
        <v>129.1</v>
      </c>
      <c r="S145">
        <v>130.1</v>
      </c>
      <c r="T145">
        <v>127.8</v>
      </c>
      <c r="U145">
        <v>117.6</v>
      </c>
      <c r="V145">
        <v>125</v>
      </c>
      <c r="W145">
        <v>133.80000000000001</v>
      </c>
      <c r="X145">
        <v>122.6</v>
      </c>
      <c r="Y145">
        <v>125.1</v>
      </c>
      <c r="Z145">
        <v>130.9</v>
      </c>
      <c r="AA145" s="1">
        <f>SUM(Table1[[#This Row],[Cereals and products]:[Food and beverages]])/13</f>
        <v>132.22307692307692</v>
      </c>
      <c r="AB145" s="1">
        <f>SUM(Table1[[#This Row],[Fuel and light]])</f>
        <v>129.1</v>
      </c>
      <c r="AC145" s="1">
        <f>SUM(Table1[[#This Row],[Transport and communication]])</f>
        <v>117.6</v>
      </c>
      <c r="AD145" s="1">
        <f>SUM(Table1[[#This Row],[Housing]],Table1[[#This Row],[Household goods and services]])/2</f>
        <v>130.6</v>
      </c>
      <c r="AE145" s="1">
        <f>SUM(Table1[[#This Row],[Health]])</f>
        <v>127.8</v>
      </c>
      <c r="AF145" s="1">
        <f>SUM(Table1[[#This Row],[Recreation and amusement]],Table1[[#This Row],[Education]])/2</f>
        <v>129.4</v>
      </c>
      <c r="AG145" s="1">
        <f>SUM(Table1[[#This Row],[Miscellaneous]],Table1[[#This Row],[Personal care and effects]])/2</f>
        <v>123.85</v>
      </c>
    </row>
    <row r="146" spans="1:33" hidden="1" x14ac:dyDescent="0.3">
      <c r="A146" t="s">
        <v>33</v>
      </c>
      <c r="B146">
        <v>2017</v>
      </c>
      <c r="C146" t="s">
        <v>46</v>
      </c>
      <c r="D146">
        <v>133.6</v>
      </c>
      <c r="E146">
        <v>138.80000000000001</v>
      </c>
      <c r="F146">
        <v>128.80000000000001</v>
      </c>
      <c r="G146">
        <v>137.19999999999999</v>
      </c>
      <c r="H146">
        <v>121.6</v>
      </c>
      <c r="I146">
        <v>139.69999999999999</v>
      </c>
      <c r="J146">
        <v>119.7</v>
      </c>
      <c r="K146">
        <v>148</v>
      </c>
      <c r="L146">
        <v>116.9</v>
      </c>
      <c r="M146">
        <v>135.6</v>
      </c>
      <c r="N146">
        <v>129.80000000000001</v>
      </c>
      <c r="O146">
        <v>145.4</v>
      </c>
      <c r="P146">
        <v>133.4</v>
      </c>
      <c r="Q146">
        <f>AVERAGE(Q144:Q145)</f>
        <v>131.1</v>
      </c>
      <c r="R146">
        <v>134.19999999999999</v>
      </c>
      <c r="S146">
        <v>134.1</v>
      </c>
      <c r="T146">
        <v>130.6</v>
      </c>
      <c r="U146">
        <v>119.8</v>
      </c>
      <c r="V146">
        <v>128.30000000000001</v>
      </c>
      <c r="W146">
        <v>135.19999999999999</v>
      </c>
      <c r="X146">
        <v>123.3</v>
      </c>
      <c r="Y146">
        <v>127.4</v>
      </c>
      <c r="Z146">
        <v>132.80000000000001</v>
      </c>
      <c r="AA146" s="1">
        <f>SUM(Table1[[#This Row],[Cereals and products]:[Food and beverages]])/13</f>
        <v>132.96153846153848</v>
      </c>
      <c r="AB146" s="1">
        <f>SUM(Table1[[#This Row],[Fuel and light]])</f>
        <v>134.19999999999999</v>
      </c>
      <c r="AC146" s="1">
        <f>SUM(Table1[[#This Row],[Transport and communication]])</f>
        <v>119.8</v>
      </c>
      <c r="AD146" s="1">
        <f>SUM(Table1[[#This Row],[Housing]],Table1[[#This Row],[Household goods and services]])/2</f>
        <v>132.6</v>
      </c>
      <c r="AE146" s="1">
        <f>SUM(Table1[[#This Row],[Health]])</f>
        <v>130.6</v>
      </c>
      <c r="AF146" s="1">
        <f>SUM(Table1[[#This Row],[Recreation and amusement]],Table1[[#This Row],[Education]])/2</f>
        <v>131.75</v>
      </c>
      <c r="AG146" s="1">
        <f>SUM(Table1[[#This Row],[Miscellaneous]],Table1[[#This Row],[Personal care and effects]])/2</f>
        <v>125.35</v>
      </c>
    </row>
    <row r="147" spans="1:33" hidden="1" x14ac:dyDescent="0.3">
      <c r="A147" t="s">
        <v>36</v>
      </c>
      <c r="B147">
        <v>2016</v>
      </c>
      <c r="C147" t="s">
        <v>46</v>
      </c>
      <c r="D147">
        <v>124.8</v>
      </c>
      <c r="E147">
        <v>136.30000000000001</v>
      </c>
      <c r="F147">
        <v>123.7</v>
      </c>
      <c r="G147">
        <v>129.69999999999999</v>
      </c>
      <c r="H147">
        <v>107.9</v>
      </c>
      <c r="I147">
        <v>119.9</v>
      </c>
      <c r="J147">
        <v>128.1</v>
      </c>
      <c r="K147">
        <v>170.3</v>
      </c>
      <c r="L147">
        <v>101.8</v>
      </c>
      <c r="M147">
        <v>140.1</v>
      </c>
      <c r="N147">
        <v>120.7</v>
      </c>
      <c r="O147">
        <v>135.4</v>
      </c>
      <c r="P147">
        <v>128.9</v>
      </c>
      <c r="Q147">
        <v>124.9</v>
      </c>
      <c r="R147">
        <v>114.8</v>
      </c>
      <c r="S147">
        <v>122.3</v>
      </c>
      <c r="T147">
        <v>119.7</v>
      </c>
      <c r="U147">
        <v>108.5</v>
      </c>
      <c r="V147">
        <v>119.1</v>
      </c>
      <c r="W147">
        <v>126.4</v>
      </c>
      <c r="X147">
        <v>117.1</v>
      </c>
      <c r="Y147">
        <v>117.3</v>
      </c>
      <c r="Z147">
        <v>123.8</v>
      </c>
      <c r="AA147" s="1">
        <f>SUM(Table1[[#This Row],[Cereals and products]:[Food and beverages]])/13</f>
        <v>128.27692307692308</v>
      </c>
      <c r="AB147" s="1">
        <f>SUM(Table1[[#This Row],[Fuel and light]])</f>
        <v>114.8</v>
      </c>
      <c r="AC147" s="1">
        <f>SUM(Table1[[#This Row],[Transport and communication]])</f>
        <v>108.5</v>
      </c>
      <c r="AD147" s="1">
        <f>SUM(Table1[[#This Row],[Housing]],Table1[[#This Row],[Household goods and services]])/2</f>
        <v>123.6</v>
      </c>
      <c r="AE147" s="1">
        <f>SUM(Table1[[#This Row],[Health]])</f>
        <v>119.7</v>
      </c>
      <c r="AF147" s="1">
        <f>SUM(Table1[[#This Row],[Recreation and amusement]],Table1[[#This Row],[Education]])/2</f>
        <v>122.75</v>
      </c>
      <c r="AG147" s="1">
        <f>SUM(Table1[[#This Row],[Miscellaneous]],Table1[[#This Row],[Personal care and effects]])/2</f>
        <v>117.19999999999999</v>
      </c>
    </row>
    <row r="148" spans="1:33" hidden="1" x14ac:dyDescent="0.3">
      <c r="A148" t="s">
        <v>35</v>
      </c>
      <c r="B148">
        <v>2016</v>
      </c>
      <c r="C148" t="s">
        <v>46</v>
      </c>
      <c r="D148">
        <v>126.5</v>
      </c>
      <c r="E148">
        <v>135.1</v>
      </c>
      <c r="F148">
        <v>124.6</v>
      </c>
      <c r="G148">
        <v>130.19999999999999</v>
      </c>
      <c r="H148">
        <v>114.5</v>
      </c>
      <c r="I148">
        <v>126.2</v>
      </c>
      <c r="J148">
        <v>129.80000000000001</v>
      </c>
      <c r="K148">
        <v>164.3</v>
      </c>
      <c r="L148">
        <v>100.9</v>
      </c>
      <c r="M148">
        <v>133.9</v>
      </c>
      <c r="N148">
        <v>123.1</v>
      </c>
      <c r="O148">
        <v>136.30000000000001</v>
      </c>
      <c r="P148">
        <v>129.80000000000001</v>
      </c>
      <c r="Q148">
        <v>124.9</v>
      </c>
      <c r="R148">
        <v>122.4</v>
      </c>
      <c r="S148">
        <v>125.1</v>
      </c>
      <c r="T148">
        <v>122.9</v>
      </c>
      <c r="U148">
        <v>110.9</v>
      </c>
      <c r="V148">
        <v>120.6</v>
      </c>
      <c r="W148">
        <v>126.9</v>
      </c>
      <c r="X148">
        <v>117.3</v>
      </c>
      <c r="Y148">
        <v>119.3</v>
      </c>
      <c r="Z148">
        <v>126</v>
      </c>
      <c r="AA148" s="1">
        <f>SUM(Table1[[#This Row],[Cereals and products]:[Food and beverages]])/13</f>
        <v>128.86153846153846</v>
      </c>
      <c r="AB148" s="1">
        <f>SUM(Table1[[#This Row],[Fuel and light]])</f>
        <v>122.4</v>
      </c>
      <c r="AC148" s="1">
        <f>SUM(Table1[[#This Row],[Transport and communication]])</f>
        <v>110.9</v>
      </c>
      <c r="AD148" s="1">
        <f>SUM(Table1[[#This Row],[Housing]],Table1[[#This Row],[Household goods and services]])/2</f>
        <v>125</v>
      </c>
      <c r="AE148" s="1">
        <f>SUM(Table1[[#This Row],[Health]])</f>
        <v>122.9</v>
      </c>
      <c r="AF148" s="1">
        <f>SUM(Table1[[#This Row],[Recreation and amusement]],Table1[[#This Row],[Education]])/2</f>
        <v>123.75</v>
      </c>
      <c r="AG148" s="1">
        <f>SUM(Table1[[#This Row],[Miscellaneous]],Table1[[#This Row],[Personal care and effects]])/2</f>
        <v>118.3</v>
      </c>
    </row>
    <row r="149" spans="1:33" hidden="1" x14ac:dyDescent="0.3">
      <c r="A149" t="s">
        <v>33</v>
      </c>
      <c r="B149">
        <v>2016</v>
      </c>
      <c r="C149" t="s">
        <v>46</v>
      </c>
      <c r="D149">
        <v>127.3</v>
      </c>
      <c r="E149">
        <v>134.4</v>
      </c>
      <c r="F149">
        <v>125.1</v>
      </c>
      <c r="G149">
        <v>130.5</v>
      </c>
      <c r="H149">
        <v>118.3</v>
      </c>
      <c r="I149">
        <v>131.69999999999999</v>
      </c>
      <c r="J149">
        <v>130.69999999999999</v>
      </c>
      <c r="K149">
        <v>161.19999999999999</v>
      </c>
      <c r="L149">
        <v>100.4</v>
      </c>
      <c r="M149">
        <v>130.80000000000001</v>
      </c>
      <c r="N149">
        <v>124.9</v>
      </c>
      <c r="O149">
        <v>137</v>
      </c>
      <c r="P149">
        <v>130.4</v>
      </c>
      <c r="Q149">
        <f>AVERAGE(Q147:Q148)</f>
        <v>124.9</v>
      </c>
      <c r="R149">
        <v>127</v>
      </c>
      <c r="S149">
        <v>127.7</v>
      </c>
      <c r="T149">
        <v>124.8</v>
      </c>
      <c r="U149">
        <v>113.6</v>
      </c>
      <c r="V149">
        <v>122.5</v>
      </c>
      <c r="W149">
        <v>127.5</v>
      </c>
      <c r="X149">
        <v>117.4</v>
      </c>
      <c r="Y149">
        <v>121.1</v>
      </c>
      <c r="Z149">
        <v>128</v>
      </c>
      <c r="AA149" s="1">
        <f>SUM(Table1[[#This Row],[Cereals and products]:[Food and beverages]])/13</f>
        <v>129.43846153846155</v>
      </c>
      <c r="AB149" s="1">
        <f>SUM(Table1[[#This Row],[Fuel and light]])</f>
        <v>127</v>
      </c>
      <c r="AC149" s="1">
        <f>SUM(Table1[[#This Row],[Transport and communication]])</f>
        <v>113.6</v>
      </c>
      <c r="AD149" s="1">
        <f>SUM(Table1[[#This Row],[Housing]],Table1[[#This Row],[Household goods and services]])/2</f>
        <v>126.30000000000001</v>
      </c>
      <c r="AE149" s="1">
        <f>SUM(Table1[[#This Row],[Health]])</f>
        <v>124.8</v>
      </c>
      <c r="AF149" s="1">
        <f>SUM(Table1[[#This Row],[Recreation and amusement]],Table1[[#This Row],[Education]])/2</f>
        <v>125</v>
      </c>
      <c r="AG149" s="1">
        <f>SUM(Table1[[#This Row],[Miscellaneous]],Table1[[#This Row],[Personal care and effects]])/2</f>
        <v>119.25</v>
      </c>
    </row>
    <row r="150" spans="1:33" hidden="1" x14ac:dyDescent="0.3">
      <c r="A150" t="s">
        <v>33</v>
      </c>
      <c r="B150">
        <v>2015</v>
      </c>
      <c r="C150" t="s">
        <v>46</v>
      </c>
      <c r="D150">
        <v>123.3</v>
      </c>
      <c r="E150">
        <v>124.7</v>
      </c>
      <c r="F150">
        <v>118.9</v>
      </c>
      <c r="G150">
        <v>126</v>
      </c>
      <c r="H150">
        <v>111.8</v>
      </c>
      <c r="I150">
        <v>130.9</v>
      </c>
      <c r="J150">
        <v>128</v>
      </c>
      <c r="K150">
        <v>119.9</v>
      </c>
      <c r="L150">
        <v>98.9</v>
      </c>
      <c r="M150">
        <v>119.4</v>
      </c>
      <c r="N150">
        <v>118.9</v>
      </c>
      <c r="O150">
        <v>127.7</v>
      </c>
      <c r="P150">
        <v>123.1</v>
      </c>
      <c r="Q150">
        <f>AVERAGE(Q151:Q152)</f>
        <v>118.6</v>
      </c>
      <c r="R150">
        <v>120.6</v>
      </c>
      <c r="S150">
        <v>120.2</v>
      </c>
      <c r="T150">
        <v>118.2</v>
      </c>
      <c r="U150">
        <v>111.6</v>
      </c>
      <c r="V150">
        <v>115.5</v>
      </c>
      <c r="W150">
        <v>119.4</v>
      </c>
      <c r="X150">
        <v>110.8</v>
      </c>
      <c r="Y150">
        <v>115.5</v>
      </c>
      <c r="Z150">
        <v>121.1</v>
      </c>
      <c r="AA150" s="1">
        <f>SUM(Table1[[#This Row],[Cereals and products]:[Food and beverages]])/13</f>
        <v>120.88461538461539</v>
      </c>
      <c r="AB150" s="1">
        <f>SUM(Table1[[#This Row],[Fuel and light]])</f>
        <v>120.6</v>
      </c>
      <c r="AC150" s="1">
        <f>SUM(Table1[[#This Row],[Transport and communication]])</f>
        <v>111.6</v>
      </c>
      <c r="AD150" s="1">
        <f>SUM(Table1[[#This Row],[Housing]],Table1[[#This Row],[Household goods and services]])/2</f>
        <v>119.4</v>
      </c>
      <c r="AE150" s="1">
        <f>SUM(Table1[[#This Row],[Health]])</f>
        <v>118.2</v>
      </c>
      <c r="AF150" s="1">
        <f>SUM(Table1[[#This Row],[Recreation and amusement]],Table1[[#This Row],[Education]])/2</f>
        <v>117.45</v>
      </c>
      <c r="AG150" s="1">
        <f>SUM(Table1[[#This Row],[Miscellaneous]],Table1[[#This Row],[Personal care and effects]])/2</f>
        <v>113.15</v>
      </c>
    </row>
    <row r="151" spans="1:33" hidden="1" x14ac:dyDescent="0.3">
      <c r="A151" t="s">
        <v>35</v>
      </c>
      <c r="B151">
        <v>2015</v>
      </c>
      <c r="C151" t="s">
        <v>46</v>
      </c>
      <c r="D151">
        <v>123.5</v>
      </c>
      <c r="E151">
        <v>125.4</v>
      </c>
      <c r="F151">
        <v>116.8</v>
      </c>
      <c r="G151">
        <v>126</v>
      </c>
      <c r="H151">
        <v>109.2</v>
      </c>
      <c r="I151">
        <v>127.6</v>
      </c>
      <c r="J151">
        <v>129.19999999999999</v>
      </c>
      <c r="K151">
        <v>122.4</v>
      </c>
      <c r="L151">
        <v>97</v>
      </c>
      <c r="M151">
        <v>122.1</v>
      </c>
      <c r="N151">
        <v>118.1</v>
      </c>
      <c r="O151">
        <v>128.4</v>
      </c>
      <c r="P151">
        <v>123.4</v>
      </c>
      <c r="Q151">
        <v>118.6</v>
      </c>
      <c r="R151">
        <v>118.3</v>
      </c>
      <c r="S151">
        <v>119.2</v>
      </c>
      <c r="T151">
        <v>116.7</v>
      </c>
      <c r="U151">
        <v>109.9</v>
      </c>
      <c r="V151">
        <v>115.4</v>
      </c>
      <c r="W151">
        <v>120.1</v>
      </c>
      <c r="X151">
        <v>111</v>
      </c>
      <c r="Y151">
        <v>114.7</v>
      </c>
      <c r="Z151">
        <v>120.2</v>
      </c>
      <c r="AA151" s="1">
        <f>SUM(Table1[[#This Row],[Cereals and products]:[Food and beverages]])/13</f>
        <v>120.69999999999999</v>
      </c>
      <c r="AB151" s="1">
        <f>SUM(Table1[[#This Row],[Fuel and light]])</f>
        <v>118.3</v>
      </c>
      <c r="AC151" s="1">
        <f>SUM(Table1[[#This Row],[Transport and communication]])</f>
        <v>109.9</v>
      </c>
      <c r="AD151" s="1">
        <f>SUM(Table1[[#This Row],[Housing]],Table1[[#This Row],[Household goods and services]])/2</f>
        <v>118.9</v>
      </c>
      <c r="AE151" s="1">
        <f>SUM(Table1[[#This Row],[Health]])</f>
        <v>116.7</v>
      </c>
      <c r="AF151" s="1">
        <f>SUM(Table1[[#This Row],[Recreation and amusement]],Table1[[#This Row],[Education]])/2</f>
        <v>117.75</v>
      </c>
      <c r="AG151" s="1">
        <f>SUM(Table1[[#This Row],[Miscellaneous]],Table1[[#This Row],[Personal care and effects]])/2</f>
        <v>112.85</v>
      </c>
    </row>
    <row r="152" spans="1:33" hidden="1" x14ac:dyDescent="0.3">
      <c r="A152" t="s">
        <v>36</v>
      </c>
      <c r="B152">
        <v>2015</v>
      </c>
      <c r="C152" t="s">
        <v>46</v>
      </c>
      <c r="D152">
        <v>124</v>
      </c>
      <c r="E152">
        <v>126.7</v>
      </c>
      <c r="F152">
        <v>113.5</v>
      </c>
      <c r="G152">
        <v>125.9</v>
      </c>
      <c r="H152">
        <v>104.8</v>
      </c>
      <c r="I152">
        <v>123.8</v>
      </c>
      <c r="J152">
        <v>131.4</v>
      </c>
      <c r="K152">
        <v>127.2</v>
      </c>
      <c r="L152">
        <v>93.2</v>
      </c>
      <c r="M152">
        <v>127.4</v>
      </c>
      <c r="N152">
        <v>117</v>
      </c>
      <c r="O152">
        <v>129.19999999999999</v>
      </c>
      <c r="P152">
        <v>123.9</v>
      </c>
      <c r="Q152">
        <v>118.6</v>
      </c>
      <c r="R152">
        <v>114.4</v>
      </c>
      <c r="S152">
        <v>118</v>
      </c>
      <c r="T152">
        <v>114.3</v>
      </c>
      <c r="U152">
        <v>108.4</v>
      </c>
      <c r="V152">
        <v>115.4</v>
      </c>
      <c r="W152">
        <v>120.6</v>
      </c>
      <c r="X152">
        <v>111.3</v>
      </c>
      <c r="Y152">
        <v>113.8</v>
      </c>
      <c r="Z152">
        <v>119.1</v>
      </c>
      <c r="AA152" s="1">
        <f>SUM(Table1[[#This Row],[Cereals and products]:[Food and beverages]])/13</f>
        <v>120.61538461538463</v>
      </c>
      <c r="AB152" s="1">
        <f>SUM(Table1[[#This Row],[Fuel and light]])</f>
        <v>114.4</v>
      </c>
      <c r="AC152" s="1">
        <f>SUM(Table1[[#This Row],[Transport and communication]])</f>
        <v>108.4</v>
      </c>
      <c r="AD152" s="1">
        <f>SUM(Table1[[#This Row],[Housing]],Table1[[#This Row],[Household goods and services]])/2</f>
        <v>118.3</v>
      </c>
      <c r="AE152" s="1">
        <f>SUM(Table1[[#This Row],[Health]])</f>
        <v>114.3</v>
      </c>
      <c r="AF152" s="1">
        <f>SUM(Table1[[#This Row],[Recreation and amusement]],Table1[[#This Row],[Education]])/2</f>
        <v>118</v>
      </c>
      <c r="AG152" s="1">
        <f>SUM(Table1[[#This Row],[Miscellaneous]],Table1[[#This Row],[Personal care and effects]])/2</f>
        <v>112.55</v>
      </c>
    </row>
    <row r="153" spans="1:33" hidden="1" x14ac:dyDescent="0.3">
      <c r="A153" t="s">
        <v>33</v>
      </c>
      <c r="B153">
        <v>2014</v>
      </c>
      <c r="C153" t="s">
        <v>46</v>
      </c>
      <c r="D153">
        <v>120.1</v>
      </c>
      <c r="E153">
        <v>118.1</v>
      </c>
      <c r="F153">
        <v>120.7</v>
      </c>
      <c r="G153">
        <v>116.1</v>
      </c>
      <c r="H153">
        <v>109.3</v>
      </c>
      <c r="I153">
        <v>119.6</v>
      </c>
      <c r="J153">
        <v>117.9</v>
      </c>
      <c r="K153">
        <v>110.2</v>
      </c>
      <c r="L153">
        <v>101.2</v>
      </c>
      <c r="M153">
        <v>110.7</v>
      </c>
      <c r="N153">
        <v>113</v>
      </c>
      <c r="O153">
        <v>118.3</v>
      </c>
      <c r="P153">
        <v>116.2</v>
      </c>
      <c r="Q153">
        <v>113.2</v>
      </c>
      <c r="R153">
        <v>113.4</v>
      </c>
      <c r="S153">
        <v>113.4</v>
      </c>
      <c r="T153">
        <v>111.4</v>
      </c>
      <c r="U153">
        <v>111.2</v>
      </c>
      <c r="V153">
        <v>110.2</v>
      </c>
      <c r="W153">
        <v>112.4</v>
      </c>
      <c r="X153">
        <v>108.9</v>
      </c>
      <c r="Y153">
        <v>111.3</v>
      </c>
      <c r="Z153">
        <v>114.6</v>
      </c>
      <c r="AA153" s="1">
        <f>SUM(Table1[[#This Row],[Cereals and products]:[Food and beverages]])/13</f>
        <v>114.72307692307693</v>
      </c>
      <c r="AB153" s="1">
        <f>SUM(Table1[[#This Row],[Fuel and light]])</f>
        <v>113.4</v>
      </c>
      <c r="AC153" s="1">
        <f>SUM(Table1[[#This Row],[Transport and communication]])</f>
        <v>111.2</v>
      </c>
      <c r="AD153" s="1">
        <f>SUM(Table1[[#This Row],[Housing]],Table1[[#This Row],[Household goods and services]])/2</f>
        <v>113.30000000000001</v>
      </c>
      <c r="AE153" s="1">
        <f>SUM(Table1[[#This Row],[Health]])</f>
        <v>111.4</v>
      </c>
      <c r="AF153" s="1">
        <f>SUM(Table1[[#This Row],[Recreation and amusement]],Table1[[#This Row],[Education]])/2</f>
        <v>111.30000000000001</v>
      </c>
      <c r="AG153" s="1">
        <f>SUM(Table1[[#This Row],[Miscellaneous]],Table1[[#This Row],[Personal care and effects]])/2</f>
        <v>110.1</v>
      </c>
    </row>
    <row r="154" spans="1:33" hidden="1" x14ac:dyDescent="0.3">
      <c r="A154" t="s">
        <v>36</v>
      </c>
      <c r="B154">
        <v>2014</v>
      </c>
      <c r="C154" t="s">
        <v>46</v>
      </c>
      <c r="D154">
        <v>122.1</v>
      </c>
      <c r="E154">
        <v>121.4</v>
      </c>
      <c r="F154">
        <v>121.5</v>
      </c>
      <c r="G154">
        <v>116.2</v>
      </c>
      <c r="H154">
        <v>102.8</v>
      </c>
      <c r="I154">
        <v>117.7</v>
      </c>
      <c r="J154">
        <v>113.3</v>
      </c>
      <c r="K154">
        <v>108.9</v>
      </c>
      <c r="L154">
        <v>96.3</v>
      </c>
      <c r="M154">
        <v>114.1</v>
      </c>
      <c r="N154">
        <v>112.2</v>
      </c>
      <c r="O154">
        <v>120.5</v>
      </c>
      <c r="P154">
        <v>116</v>
      </c>
      <c r="Q154">
        <v>113.2</v>
      </c>
      <c r="R154">
        <v>110.9</v>
      </c>
      <c r="S154">
        <v>113</v>
      </c>
      <c r="T154">
        <v>110.8</v>
      </c>
      <c r="U154">
        <v>111.6</v>
      </c>
      <c r="V154">
        <v>110.9</v>
      </c>
      <c r="W154">
        <v>111.8</v>
      </c>
      <c r="X154">
        <v>109.2</v>
      </c>
      <c r="Y154">
        <v>111.4</v>
      </c>
      <c r="Z154">
        <v>113.7</v>
      </c>
      <c r="AA154" s="1">
        <f>SUM(Table1[[#This Row],[Cereals and products]:[Food and beverages]])/13</f>
        <v>114.07692307692308</v>
      </c>
      <c r="AB154" s="1">
        <f>SUM(Table1[[#This Row],[Fuel and light]])</f>
        <v>110.9</v>
      </c>
      <c r="AC154" s="1">
        <f>SUM(Table1[[#This Row],[Transport and communication]])</f>
        <v>111.6</v>
      </c>
      <c r="AD154" s="1">
        <f>SUM(Table1[[#This Row],[Housing]],Table1[[#This Row],[Household goods and services]])/2</f>
        <v>113.1</v>
      </c>
      <c r="AE154" s="1">
        <f>SUM(Table1[[#This Row],[Health]])</f>
        <v>110.8</v>
      </c>
      <c r="AF154" s="1">
        <f>SUM(Table1[[#This Row],[Recreation and amusement]],Table1[[#This Row],[Education]])/2</f>
        <v>111.35</v>
      </c>
      <c r="AG154" s="1">
        <f>SUM(Table1[[#This Row],[Miscellaneous]],Table1[[#This Row],[Personal care and effects]])/2</f>
        <v>110.30000000000001</v>
      </c>
    </row>
    <row r="155" spans="1:33" hidden="1" x14ac:dyDescent="0.3">
      <c r="A155" t="s">
        <v>33</v>
      </c>
      <c r="B155">
        <v>2013</v>
      </c>
      <c r="C155" t="s">
        <v>46</v>
      </c>
      <c r="D155">
        <v>110.2</v>
      </c>
      <c r="E155">
        <v>108.8</v>
      </c>
      <c r="F155">
        <v>109.9</v>
      </c>
      <c r="G155">
        <v>105.6</v>
      </c>
      <c r="H155">
        <v>106.2</v>
      </c>
      <c r="I155">
        <v>105.7</v>
      </c>
      <c r="J155">
        <v>101.4</v>
      </c>
      <c r="K155">
        <v>105.7</v>
      </c>
      <c r="L155">
        <v>105</v>
      </c>
      <c r="M155">
        <v>103.3</v>
      </c>
      <c r="N155">
        <v>105.6</v>
      </c>
      <c r="O155">
        <v>108.2</v>
      </c>
      <c r="P155">
        <v>106.6</v>
      </c>
      <c r="Q155">
        <f>AVERAGE(Q156:Q157)</f>
        <v>100.4</v>
      </c>
      <c r="R155">
        <v>106.1</v>
      </c>
      <c r="S155">
        <v>105.6</v>
      </c>
      <c r="T155">
        <v>104.7</v>
      </c>
      <c r="U155">
        <v>104.6</v>
      </c>
      <c r="V155">
        <v>104</v>
      </c>
      <c r="W155">
        <v>104.3</v>
      </c>
      <c r="X155">
        <v>104.3</v>
      </c>
      <c r="Y155">
        <v>104.6</v>
      </c>
      <c r="Z155">
        <v>106</v>
      </c>
      <c r="AA155" s="1">
        <f>SUM(Table1[[#This Row],[Cereals and products]:[Food and beverages]])/13</f>
        <v>106.32307692307693</v>
      </c>
      <c r="AB155" s="1">
        <f>SUM(Table1[[#This Row],[Fuel and light]])</f>
        <v>106.1</v>
      </c>
      <c r="AC155" s="1">
        <f>SUM(Table1[[#This Row],[Transport and communication]])</f>
        <v>104.6</v>
      </c>
      <c r="AD155" s="1">
        <f>SUM(Table1[[#This Row],[Housing]],Table1[[#This Row],[Household goods and services]])/2</f>
        <v>103</v>
      </c>
      <c r="AE155" s="1">
        <f>SUM(Table1[[#This Row],[Health]])</f>
        <v>104.7</v>
      </c>
      <c r="AF155" s="1">
        <f>SUM(Table1[[#This Row],[Recreation and amusement]],Table1[[#This Row],[Education]])/2</f>
        <v>104.15</v>
      </c>
      <c r="AG155" s="1">
        <f>SUM(Table1[[#This Row],[Miscellaneous]],Table1[[#This Row],[Personal care and effects]])/2</f>
        <v>104.44999999999999</v>
      </c>
    </row>
    <row r="156" spans="1:33" hidden="1" x14ac:dyDescent="0.3">
      <c r="A156" t="s">
        <v>35</v>
      </c>
      <c r="B156">
        <v>2013</v>
      </c>
      <c r="C156" t="s">
        <v>46</v>
      </c>
      <c r="D156">
        <v>111.4</v>
      </c>
      <c r="E156">
        <v>109.7</v>
      </c>
      <c r="F156">
        <v>111.2</v>
      </c>
      <c r="G156">
        <v>105.1</v>
      </c>
      <c r="H156">
        <v>104.9</v>
      </c>
      <c r="I156">
        <v>105.3</v>
      </c>
      <c r="J156">
        <v>102.2</v>
      </c>
      <c r="K156">
        <v>105</v>
      </c>
      <c r="L156">
        <v>104.2</v>
      </c>
      <c r="M156">
        <v>103</v>
      </c>
      <c r="N156">
        <v>106.2</v>
      </c>
      <c r="O156">
        <v>108.9</v>
      </c>
      <c r="P156">
        <v>106.9</v>
      </c>
      <c r="Q156">
        <v>100.4</v>
      </c>
      <c r="R156">
        <v>106.1</v>
      </c>
      <c r="S156">
        <v>105.6</v>
      </c>
      <c r="T156">
        <v>104.9</v>
      </c>
      <c r="U156">
        <v>105.1</v>
      </c>
      <c r="V156">
        <v>103.7</v>
      </c>
      <c r="W156">
        <v>104</v>
      </c>
      <c r="X156">
        <v>104.3</v>
      </c>
      <c r="Y156">
        <v>104.7</v>
      </c>
      <c r="Z156">
        <v>105.5</v>
      </c>
      <c r="AA156" s="1">
        <f>SUM(Table1[[#This Row],[Cereals and products]:[Food and beverages]])/13</f>
        <v>106.46153846153848</v>
      </c>
      <c r="AB156" s="1">
        <f>SUM(Table1[[#This Row],[Fuel and light]])</f>
        <v>106.1</v>
      </c>
      <c r="AC156" s="1">
        <f>SUM(Table1[[#This Row],[Transport and communication]])</f>
        <v>105.1</v>
      </c>
      <c r="AD156" s="1">
        <f>SUM(Table1[[#This Row],[Housing]],Table1[[#This Row],[Household goods and services]])/2</f>
        <v>103</v>
      </c>
      <c r="AE156" s="1">
        <f>SUM(Table1[[#This Row],[Health]])</f>
        <v>104.9</v>
      </c>
      <c r="AF156" s="1">
        <f>SUM(Table1[[#This Row],[Recreation and amusement]],Table1[[#This Row],[Education]])/2</f>
        <v>103.85</v>
      </c>
      <c r="AG156" s="1">
        <f>SUM(Table1[[#This Row],[Miscellaneous]],Table1[[#This Row],[Personal care and effects]])/2</f>
        <v>104.5</v>
      </c>
    </row>
    <row r="157" spans="1:33" hidden="1" x14ac:dyDescent="0.3">
      <c r="A157" t="s">
        <v>36</v>
      </c>
      <c r="B157">
        <v>2013</v>
      </c>
      <c r="C157" t="s">
        <v>46</v>
      </c>
      <c r="D157">
        <v>113.9</v>
      </c>
      <c r="E157">
        <v>111.4</v>
      </c>
      <c r="F157">
        <v>113.2</v>
      </c>
      <c r="G157">
        <v>104.3</v>
      </c>
      <c r="H157">
        <v>102.7</v>
      </c>
      <c r="I157">
        <v>104.9</v>
      </c>
      <c r="J157">
        <v>103.8</v>
      </c>
      <c r="K157">
        <v>103.5</v>
      </c>
      <c r="L157">
        <v>102.6</v>
      </c>
      <c r="M157">
        <v>102.4</v>
      </c>
      <c r="N157">
        <v>107</v>
      </c>
      <c r="O157">
        <v>109.8</v>
      </c>
      <c r="P157">
        <v>107.3</v>
      </c>
      <c r="Q157">
        <v>100.4</v>
      </c>
      <c r="R157">
        <v>106</v>
      </c>
      <c r="S157">
        <v>105.7</v>
      </c>
      <c r="T157">
        <v>105.2</v>
      </c>
      <c r="U157">
        <v>105.5</v>
      </c>
      <c r="V157">
        <v>103.5</v>
      </c>
      <c r="W157">
        <v>103.8</v>
      </c>
      <c r="X157">
        <v>104.2</v>
      </c>
      <c r="Y157">
        <v>104.9</v>
      </c>
      <c r="Z157">
        <v>105</v>
      </c>
      <c r="AA157" s="1">
        <f>SUM(Table1[[#This Row],[Cereals and products]:[Food and beverages]])/13</f>
        <v>106.67692307692307</v>
      </c>
      <c r="AB157" s="1">
        <f>SUM(Table1[[#This Row],[Fuel and light]])</f>
        <v>106</v>
      </c>
      <c r="AC157" s="1">
        <f>SUM(Table1[[#This Row],[Transport and communication]])</f>
        <v>105.5</v>
      </c>
      <c r="AD157" s="1">
        <f>SUM(Table1[[#This Row],[Housing]],Table1[[#This Row],[Household goods and services]])/2</f>
        <v>103.05000000000001</v>
      </c>
      <c r="AE157" s="1">
        <f>SUM(Table1[[#This Row],[Health]])</f>
        <v>105.2</v>
      </c>
      <c r="AF157" s="1">
        <f>SUM(Table1[[#This Row],[Recreation and amusement]],Table1[[#This Row],[Education]])/2</f>
        <v>103.65</v>
      </c>
      <c r="AG157" s="1">
        <f>SUM(Table1[[#This Row],[Miscellaneous]],Table1[[#This Row],[Personal care and effects]])/2</f>
        <v>104.55000000000001</v>
      </c>
    </row>
    <row r="158" spans="1:33" hidden="1" x14ac:dyDescent="0.3">
      <c r="A158" t="s">
        <v>33</v>
      </c>
      <c r="B158">
        <v>2022</v>
      </c>
      <c r="C158" t="s">
        <v>43</v>
      </c>
      <c r="D158">
        <v>153.80000000000001</v>
      </c>
      <c r="E158">
        <v>217.2</v>
      </c>
      <c r="F158">
        <v>169.6</v>
      </c>
      <c r="G158">
        <v>165.4</v>
      </c>
      <c r="H158">
        <v>208.1</v>
      </c>
      <c r="I158">
        <v>165.8</v>
      </c>
      <c r="J158">
        <v>167.3</v>
      </c>
      <c r="K158">
        <v>164.6</v>
      </c>
      <c r="L158">
        <v>119.1</v>
      </c>
      <c r="M158">
        <v>188.9</v>
      </c>
      <c r="N158">
        <v>174.2</v>
      </c>
      <c r="O158">
        <v>181.9</v>
      </c>
      <c r="P158">
        <v>172.4</v>
      </c>
      <c r="Q158">
        <f>AVERAGE(Q159:Q160)</f>
        <v>166.8</v>
      </c>
      <c r="R158">
        <v>176.7</v>
      </c>
      <c r="S158">
        <v>170.3</v>
      </c>
      <c r="T158">
        <v>178.2</v>
      </c>
      <c r="U158">
        <v>165.5</v>
      </c>
      <c r="V158">
        <v>168</v>
      </c>
      <c r="W158">
        <v>172.6</v>
      </c>
      <c r="X158">
        <v>169.5</v>
      </c>
      <c r="Y158">
        <v>171</v>
      </c>
      <c r="Z158">
        <v>173.6</v>
      </c>
      <c r="AA158" s="1">
        <f>SUM(Table1[[#This Row],[Cereals and products]:[Food and beverages]])/13</f>
        <v>172.94615384615386</v>
      </c>
      <c r="AB158" s="1">
        <f>SUM(Table1[[#This Row],[Fuel and light]])</f>
        <v>176.7</v>
      </c>
      <c r="AC158" s="1">
        <f>SUM(Table1[[#This Row],[Transport and communication]])</f>
        <v>165.5</v>
      </c>
      <c r="AD158" s="1">
        <f>SUM(Table1[[#This Row],[Housing]],Table1[[#This Row],[Household goods and services]])/2</f>
        <v>168.55</v>
      </c>
      <c r="AE158" s="1">
        <f>SUM(Table1[[#This Row],[Health]])</f>
        <v>178.2</v>
      </c>
      <c r="AF158" s="1">
        <f>SUM(Table1[[#This Row],[Recreation and amusement]],Table1[[#This Row],[Education]])/2</f>
        <v>170.3</v>
      </c>
      <c r="AG158" s="1">
        <f>SUM(Table1[[#This Row],[Miscellaneous]],Table1[[#This Row],[Personal care and effects]])/2</f>
        <v>170.25</v>
      </c>
    </row>
    <row r="159" spans="1:33" hidden="1" x14ac:dyDescent="0.3">
      <c r="A159" t="s">
        <v>35</v>
      </c>
      <c r="B159">
        <v>2022</v>
      </c>
      <c r="C159" t="s">
        <v>43</v>
      </c>
      <c r="D159">
        <v>155</v>
      </c>
      <c r="E159">
        <v>219.4</v>
      </c>
      <c r="F159">
        <v>170.8</v>
      </c>
      <c r="G159">
        <v>165.8</v>
      </c>
      <c r="H159">
        <v>200.9</v>
      </c>
      <c r="I159">
        <v>169.7</v>
      </c>
      <c r="J159">
        <v>182.3</v>
      </c>
      <c r="K159">
        <v>164.3</v>
      </c>
      <c r="L159">
        <v>119.9</v>
      </c>
      <c r="M159">
        <v>187.1</v>
      </c>
      <c r="N159">
        <v>167.9</v>
      </c>
      <c r="O159">
        <v>183.9</v>
      </c>
      <c r="P159">
        <v>174.9</v>
      </c>
      <c r="Q159">
        <v>166.8</v>
      </c>
      <c r="R159">
        <v>176</v>
      </c>
      <c r="S159">
        <v>166.4</v>
      </c>
      <c r="T159">
        <v>175.4</v>
      </c>
      <c r="U159">
        <v>161.1</v>
      </c>
      <c r="V159">
        <v>165.8</v>
      </c>
      <c r="W159">
        <v>169</v>
      </c>
      <c r="X159">
        <v>169.4</v>
      </c>
      <c r="Y159">
        <v>167.5</v>
      </c>
      <c r="Z159">
        <v>172.6</v>
      </c>
      <c r="AA159" s="1">
        <f>SUM(Table1[[#This Row],[Cereals and products]:[Food and beverages]])/13</f>
        <v>173.99230769230769</v>
      </c>
      <c r="AB159" s="1">
        <f>SUM(Table1[[#This Row],[Fuel and light]])</f>
        <v>176</v>
      </c>
      <c r="AC159" s="1">
        <f>SUM(Table1[[#This Row],[Transport and communication]])</f>
        <v>161.1</v>
      </c>
      <c r="AD159" s="1">
        <f>SUM(Table1[[#This Row],[Housing]],Table1[[#This Row],[Household goods and services]])/2</f>
        <v>166.60000000000002</v>
      </c>
      <c r="AE159" s="1">
        <f>SUM(Table1[[#This Row],[Health]])</f>
        <v>175.4</v>
      </c>
      <c r="AF159" s="1">
        <f>SUM(Table1[[#This Row],[Recreation and amusement]],Table1[[#This Row],[Education]])/2</f>
        <v>167.4</v>
      </c>
      <c r="AG159" s="1">
        <f>SUM(Table1[[#This Row],[Miscellaneous]],Table1[[#This Row],[Personal care and effects]])/2</f>
        <v>168.45</v>
      </c>
    </row>
    <row r="160" spans="1:33" hidden="1" x14ac:dyDescent="0.3">
      <c r="A160" t="s">
        <v>36</v>
      </c>
      <c r="B160">
        <v>2022</v>
      </c>
      <c r="C160" t="s">
        <v>43</v>
      </c>
      <c r="D160">
        <v>157.5</v>
      </c>
      <c r="E160">
        <v>223.4</v>
      </c>
      <c r="F160">
        <v>172.8</v>
      </c>
      <c r="G160">
        <v>166.4</v>
      </c>
      <c r="H160">
        <v>188.6</v>
      </c>
      <c r="I160">
        <v>174.1</v>
      </c>
      <c r="J160">
        <v>211.5</v>
      </c>
      <c r="K160">
        <v>163.6</v>
      </c>
      <c r="L160">
        <v>121.4</v>
      </c>
      <c r="M160">
        <v>183.5</v>
      </c>
      <c r="N160">
        <v>159.1</v>
      </c>
      <c r="O160">
        <v>186.3</v>
      </c>
      <c r="P160">
        <v>179.3</v>
      </c>
      <c r="Q160">
        <v>166.8</v>
      </c>
      <c r="R160">
        <v>174.9</v>
      </c>
      <c r="S160">
        <v>162.1</v>
      </c>
      <c r="T160">
        <v>170.9</v>
      </c>
      <c r="U160">
        <v>157.19999999999999</v>
      </c>
      <c r="V160">
        <v>164.1</v>
      </c>
      <c r="W160">
        <v>166.5</v>
      </c>
      <c r="X160">
        <v>169.2</v>
      </c>
      <c r="Y160">
        <v>163.80000000000001</v>
      </c>
      <c r="Z160">
        <v>171.4</v>
      </c>
      <c r="AA160" s="1">
        <f>SUM(Table1[[#This Row],[Cereals and products]:[Food and beverages]])/13</f>
        <v>175.96153846153845</v>
      </c>
      <c r="AB160" s="1">
        <f>SUM(Table1[[#This Row],[Fuel and light]])</f>
        <v>174.9</v>
      </c>
      <c r="AC160" s="1">
        <f>SUM(Table1[[#This Row],[Transport and communication]])</f>
        <v>157.19999999999999</v>
      </c>
      <c r="AD160" s="1">
        <f>SUM(Table1[[#This Row],[Housing]],Table1[[#This Row],[Household goods and services]])/2</f>
        <v>164.45</v>
      </c>
      <c r="AE160" s="1">
        <f>SUM(Table1[[#This Row],[Health]])</f>
        <v>170.9</v>
      </c>
      <c r="AF160" s="1">
        <f>SUM(Table1[[#This Row],[Recreation and amusement]],Table1[[#This Row],[Education]])/2</f>
        <v>165.3</v>
      </c>
      <c r="AG160" s="1">
        <f>SUM(Table1[[#This Row],[Miscellaneous]],Table1[[#This Row],[Personal care and effects]])/2</f>
        <v>166.5</v>
      </c>
    </row>
    <row r="161" spans="1:33" hidden="1" x14ac:dyDescent="0.3">
      <c r="A161" t="s">
        <v>33</v>
      </c>
      <c r="B161">
        <v>2020</v>
      </c>
      <c r="C161" t="s">
        <v>41</v>
      </c>
      <c r="D161">
        <v>143.69999999999999</v>
      </c>
      <c r="E161">
        <v>167.3</v>
      </c>
      <c r="F161">
        <v>153.5</v>
      </c>
      <c r="G161">
        <v>150.5</v>
      </c>
      <c r="H161">
        <v>132</v>
      </c>
      <c r="I161">
        <v>142.19999999999999</v>
      </c>
      <c r="J161">
        <v>191.5</v>
      </c>
      <c r="K161">
        <v>141.1</v>
      </c>
      <c r="L161">
        <v>113.8</v>
      </c>
      <c r="M161">
        <v>151.6</v>
      </c>
      <c r="N161">
        <v>139.69999999999999</v>
      </c>
      <c r="O161">
        <v>158.69999999999999</v>
      </c>
      <c r="P161">
        <v>153</v>
      </c>
      <c r="Q161">
        <f>AVERAGE(Q162:Q163)</f>
        <v>153.9</v>
      </c>
      <c r="R161">
        <v>150.4</v>
      </c>
      <c r="S161">
        <v>151.69999999999999</v>
      </c>
      <c r="T161">
        <v>155.69999999999999</v>
      </c>
      <c r="U161">
        <v>136.30000000000001</v>
      </c>
      <c r="V161">
        <v>150.1</v>
      </c>
      <c r="W161">
        <v>161.69999999999999</v>
      </c>
      <c r="X161">
        <v>142.5</v>
      </c>
      <c r="Y161">
        <v>148.1</v>
      </c>
      <c r="Z161">
        <v>151.9</v>
      </c>
      <c r="AA161" s="1">
        <f>SUM(Table1[[#This Row],[Cereals and products]:[Food and beverages]])/13</f>
        <v>149.12307692307692</v>
      </c>
      <c r="AB161" s="1">
        <f>SUM(Table1[[#This Row],[Fuel and light]])</f>
        <v>150.4</v>
      </c>
      <c r="AC161" s="1">
        <f>SUM(Table1[[#This Row],[Transport and communication]])</f>
        <v>136.30000000000001</v>
      </c>
      <c r="AD161" s="1">
        <f>SUM(Table1[[#This Row],[Housing]],Table1[[#This Row],[Household goods and services]])/2</f>
        <v>152.80000000000001</v>
      </c>
      <c r="AE161" s="1">
        <f>SUM(Table1[[#This Row],[Health]])</f>
        <v>155.69999999999999</v>
      </c>
      <c r="AF161" s="1">
        <f>SUM(Table1[[#This Row],[Recreation and amusement]],Table1[[#This Row],[Education]])/2</f>
        <v>155.89999999999998</v>
      </c>
      <c r="AG161" s="1">
        <f>SUM(Table1[[#This Row],[Miscellaneous]],Table1[[#This Row],[Personal care and effects]])/2</f>
        <v>145.30000000000001</v>
      </c>
    </row>
    <row r="162" spans="1:33" hidden="1" x14ac:dyDescent="0.3">
      <c r="A162" t="s">
        <v>35</v>
      </c>
      <c r="B162">
        <v>2020</v>
      </c>
      <c r="C162" t="s">
        <v>41</v>
      </c>
      <c r="D162">
        <v>144.30000000000001</v>
      </c>
      <c r="E162">
        <v>167.4</v>
      </c>
      <c r="F162">
        <v>154.9</v>
      </c>
      <c r="G162">
        <v>150.1</v>
      </c>
      <c r="H162">
        <v>129.9</v>
      </c>
      <c r="I162">
        <v>143.19999999999999</v>
      </c>
      <c r="J162">
        <v>197</v>
      </c>
      <c r="K162">
        <v>140.4</v>
      </c>
      <c r="L162">
        <v>114.1</v>
      </c>
      <c r="M162">
        <v>150.9</v>
      </c>
      <c r="N162">
        <v>136.1</v>
      </c>
      <c r="O162">
        <v>158.6</v>
      </c>
      <c r="P162">
        <v>153.5</v>
      </c>
      <c r="Q162">
        <v>153.9</v>
      </c>
      <c r="R162">
        <v>144.6</v>
      </c>
      <c r="S162">
        <v>146.19999999999999</v>
      </c>
      <c r="T162">
        <v>151.19999999999999</v>
      </c>
      <c r="U162">
        <v>130.9</v>
      </c>
      <c r="V162">
        <v>142.80000000000001</v>
      </c>
      <c r="W162">
        <v>156.1</v>
      </c>
      <c r="X162">
        <v>142.30000000000001</v>
      </c>
      <c r="Y162">
        <v>143.4</v>
      </c>
      <c r="Z162">
        <v>150.19999999999999</v>
      </c>
      <c r="AA162" s="1">
        <f>SUM(Table1[[#This Row],[Cereals and products]:[Food and beverages]])/13</f>
        <v>149.26153846153846</v>
      </c>
      <c r="AB162" s="1">
        <f>SUM(Table1[[#This Row],[Fuel and light]])</f>
        <v>144.6</v>
      </c>
      <c r="AC162" s="1">
        <f>SUM(Table1[[#This Row],[Transport and communication]])</f>
        <v>130.9</v>
      </c>
      <c r="AD162" s="1">
        <f>SUM(Table1[[#This Row],[Housing]],Table1[[#This Row],[Household goods and services]])/2</f>
        <v>150.05000000000001</v>
      </c>
      <c r="AE162" s="1">
        <f>SUM(Table1[[#This Row],[Health]])</f>
        <v>151.19999999999999</v>
      </c>
      <c r="AF162" s="1">
        <f>SUM(Table1[[#This Row],[Recreation and amusement]],Table1[[#This Row],[Education]])/2</f>
        <v>149.44999999999999</v>
      </c>
      <c r="AG162" s="1">
        <f>SUM(Table1[[#This Row],[Miscellaneous]],Table1[[#This Row],[Personal care and effects]])/2</f>
        <v>142.85000000000002</v>
      </c>
    </row>
    <row r="163" spans="1:33" hidden="1" x14ac:dyDescent="0.3">
      <c r="A163" t="s">
        <v>36</v>
      </c>
      <c r="B163">
        <v>2020</v>
      </c>
      <c r="C163" t="s">
        <v>41</v>
      </c>
      <c r="D163">
        <v>145.6</v>
      </c>
      <c r="E163">
        <v>167.6</v>
      </c>
      <c r="F163">
        <v>157</v>
      </c>
      <c r="G163">
        <v>149.30000000000001</v>
      </c>
      <c r="H163">
        <v>126.3</v>
      </c>
      <c r="I163">
        <v>144.4</v>
      </c>
      <c r="J163">
        <v>207.8</v>
      </c>
      <c r="K163">
        <v>139.1</v>
      </c>
      <c r="L163">
        <v>114.8</v>
      </c>
      <c r="M163">
        <v>149.5</v>
      </c>
      <c r="N163">
        <v>131.1</v>
      </c>
      <c r="O163">
        <v>158.5</v>
      </c>
      <c r="P163">
        <v>154.4</v>
      </c>
      <c r="Q163">
        <v>153.9</v>
      </c>
      <c r="R163">
        <v>135.1</v>
      </c>
      <c r="S163">
        <v>140.1</v>
      </c>
      <c r="T163">
        <v>143.80000000000001</v>
      </c>
      <c r="U163">
        <v>126.1</v>
      </c>
      <c r="V163">
        <v>137.19999999999999</v>
      </c>
      <c r="W163">
        <v>152.1</v>
      </c>
      <c r="X163">
        <v>142.1</v>
      </c>
      <c r="Y163">
        <v>138.4</v>
      </c>
      <c r="Z163">
        <v>148.19999999999999</v>
      </c>
      <c r="AA163" s="1">
        <f>SUM(Table1[[#This Row],[Cereals and products]:[Food and beverages]])/13</f>
        <v>149.64615384615382</v>
      </c>
      <c r="AB163" s="1">
        <f>SUM(Table1[[#This Row],[Fuel and light]])</f>
        <v>135.1</v>
      </c>
      <c r="AC163" s="1">
        <f>SUM(Table1[[#This Row],[Transport and communication]])</f>
        <v>126.1</v>
      </c>
      <c r="AD163" s="1">
        <f>SUM(Table1[[#This Row],[Housing]],Table1[[#This Row],[Household goods and services]])/2</f>
        <v>147</v>
      </c>
      <c r="AE163" s="1">
        <f>SUM(Table1[[#This Row],[Health]])</f>
        <v>143.80000000000001</v>
      </c>
      <c r="AF163" s="1">
        <f>SUM(Table1[[#This Row],[Recreation and amusement]],Table1[[#This Row],[Education]])/2</f>
        <v>144.64999999999998</v>
      </c>
      <c r="AG163" s="1">
        <f>SUM(Table1[[#This Row],[Miscellaneous]],Table1[[#This Row],[Personal care and effects]])/2</f>
        <v>140.25</v>
      </c>
    </row>
    <row r="164" spans="1:33" hidden="1" x14ac:dyDescent="0.3">
      <c r="A164" t="s">
        <v>33</v>
      </c>
      <c r="B164">
        <v>2020</v>
      </c>
      <c r="C164" t="s">
        <v>42</v>
      </c>
      <c r="D164">
        <v>148.19999999999999</v>
      </c>
      <c r="E164">
        <v>190.3</v>
      </c>
      <c r="F164">
        <v>149.4</v>
      </c>
      <c r="G164">
        <v>153.30000000000001</v>
      </c>
      <c r="H164">
        <v>138.19999999999999</v>
      </c>
      <c r="I164">
        <v>143.19999999999999</v>
      </c>
      <c r="J164">
        <v>148.9</v>
      </c>
      <c r="K164">
        <v>150.30000000000001</v>
      </c>
      <c r="L164">
        <v>113.2</v>
      </c>
      <c r="M164">
        <v>159.80000000000001</v>
      </c>
      <c r="N164">
        <v>142.1</v>
      </c>
      <c r="O164">
        <v>161.80000000000001</v>
      </c>
      <c r="P164">
        <v>152.30000000000001</v>
      </c>
      <c r="Q164">
        <f>AVERAGE(Q165:Q166)</f>
        <v>154.69999999999999</v>
      </c>
      <c r="R164">
        <v>144.9</v>
      </c>
      <c r="S164">
        <v>151.69999999999999</v>
      </c>
      <c r="T164">
        <v>158.19999999999999</v>
      </c>
      <c r="U164">
        <v>141.4</v>
      </c>
      <c r="V164">
        <v>153.19999999999999</v>
      </c>
      <c r="W164">
        <v>161.80000000000001</v>
      </c>
      <c r="X164">
        <v>151.19999999999999</v>
      </c>
      <c r="Y164">
        <v>151.69999999999999</v>
      </c>
      <c r="Z164">
        <v>152.69999999999999</v>
      </c>
      <c r="AA164" s="1">
        <f>SUM(Table1[[#This Row],[Cereals and products]:[Food and beverages]])/13</f>
        <v>150.07692307692307</v>
      </c>
      <c r="AB164" s="1">
        <f>SUM(Table1[[#This Row],[Fuel and light]])</f>
        <v>144.9</v>
      </c>
      <c r="AC164" s="1">
        <f>SUM(Table1[[#This Row],[Transport and communication]])</f>
        <v>141.4</v>
      </c>
      <c r="AD164" s="1">
        <f>SUM(Table1[[#This Row],[Housing]],Table1[[#This Row],[Household goods and services]])/2</f>
        <v>153.19999999999999</v>
      </c>
      <c r="AE164" s="1">
        <f>SUM(Table1[[#This Row],[Health]])</f>
        <v>158.19999999999999</v>
      </c>
      <c r="AF164" s="1">
        <f>SUM(Table1[[#This Row],[Recreation and amusement]],Table1[[#This Row],[Education]])/2</f>
        <v>157.5</v>
      </c>
      <c r="AG164" s="1">
        <f>SUM(Table1[[#This Row],[Miscellaneous]],Table1[[#This Row],[Personal care and effects]])/2</f>
        <v>151.44999999999999</v>
      </c>
    </row>
    <row r="165" spans="1:33" hidden="1" x14ac:dyDescent="0.3">
      <c r="A165" t="s">
        <v>35</v>
      </c>
      <c r="B165">
        <v>2020</v>
      </c>
      <c r="C165" t="s">
        <v>42</v>
      </c>
      <c r="D165">
        <v>149.6</v>
      </c>
      <c r="E165">
        <v>192.7</v>
      </c>
      <c r="F165">
        <v>151.4</v>
      </c>
      <c r="G165">
        <v>153.30000000000001</v>
      </c>
      <c r="H165">
        <v>136.30000000000001</v>
      </c>
      <c r="I165">
        <v>147.19999999999999</v>
      </c>
      <c r="J165">
        <v>156.5</v>
      </c>
      <c r="K165">
        <v>150.9</v>
      </c>
      <c r="L165">
        <v>114.2</v>
      </c>
      <c r="M165">
        <v>159.5</v>
      </c>
      <c r="N165">
        <v>139.4</v>
      </c>
      <c r="O165">
        <v>161.80000000000001</v>
      </c>
      <c r="P165">
        <v>154</v>
      </c>
      <c r="Q165">
        <v>154.69999999999999</v>
      </c>
      <c r="R165">
        <v>141.9</v>
      </c>
      <c r="S165">
        <v>146.4</v>
      </c>
      <c r="T165">
        <v>154.4</v>
      </c>
      <c r="U165">
        <v>135</v>
      </c>
      <c r="V165">
        <v>148.30000000000001</v>
      </c>
      <c r="W165">
        <v>156.4</v>
      </c>
      <c r="X165">
        <v>151.6</v>
      </c>
      <c r="Y165">
        <v>147</v>
      </c>
      <c r="Z165">
        <v>151.80000000000001</v>
      </c>
      <c r="AA165" s="1">
        <f>SUM(Table1[[#This Row],[Cereals and products]:[Food and beverages]])/13</f>
        <v>151.2923076923077</v>
      </c>
      <c r="AB165" s="1">
        <f>SUM(Table1[[#This Row],[Fuel and light]])</f>
        <v>141.9</v>
      </c>
      <c r="AC165" s="1">
        <f>SUM(Table1[[#This Row],[Transport and communication]])</f>
        <v>135</v>
      </c>
      <c r="AD165" s="1">
        <f>SUM(Table1[[#This Row],[Housing]],Table1[[#This Row],[Household goods and services]])/2</f>
        <v>150.55000000000001</v>
      </c>
      <c r="AE165" s="1">
        <f>SUM(Table1[[#This Row],[Health]])</f>
        <v>154.4</v>
      </c>
      <c r="AF165" s="1">
        <f>SUM(Table1[[#This Row],[Recreation and amusement]],Table1[[#This Row],[Education]])/2</f>
        <v>152.35000000000002</v>
      </c>
      <c r="AG165" s="1">
        <f>SUM(Table1[[#This Row],[Miscellaneous]],Table1[[#This Row],[Personal care and effects]])/2</f>
        <v>149.30000000000001</v>
      </c>
    </row>
    <row r="166" spans="1:33" hidden="1" x14ac:dyDescent="0.3">
      <c r="A166" t="s">
        <v>36</v>
      </c>
      <c r="B166">
        <v>2020</v>
      </c>
      <c r="C166" t="s">
        <v>42</v>
      </c>
      <c r="D166">
        <v>152.69999999999999</v>
      </c>
      <c r="E166">
        <v>197</v>
      </c>
      <c r="F166">
        <v>154.6</v>
      </c>
      <c r="G166">
        <v>153.4</v>
      </c>
      <c r="H166">
        <v>132.9</v>
      </c>
      <c r="I166">
        <v>151.80000000000001</v>
      </c>
      <c r="J166">
        <v>171.2</v>
      </c>
      <c r="K166">
        <v>152</v>
      </c>
      <c r="L166">
        <v>116.3</v>
      </c>
      <c r="M166">
        <v>158.80000000000001</v>
      </c>
      <c r="N166">
        <v>135.6</v>
      </c>
      <c r="O166">
        <v>161.69999999999999</v>
      </c>
      <c r="P166">
        <v>157</v>
      </c>
      <c r="Q166">
        <v>154.69999999999999</v>
      </c>
      <c r="R166">
        <v>137.1</v>
      </c>
      <c r="S166">
        <v>140.4</v>
      </c>
      <c r="T166">
        <v>148.1</v>
      </c>
      <c r="U166">
        <v>129.30000000000001</v>
      </c>
      <c r="V166">
        <v>144.5</v>
      </c>
      <c r="W166">
        <v>152.5</v>
      </c>
      <c r="X166">
        <v>152.19999999999999</v>
      </c>
      <c r="Y166">
        <v>142</v>
      </c>
      <c r="Z166">
        <v>150.80000000000001</v>
      </c>
      <c r="AA166" s="1">
        <f>SUM(Table1[[#This Row],[Cereals and products]:[Food and beverages]])/13</f>
        <v>153.46153846153845</v>
      </c>
      <c r="AB166" s="1">
        <f>SUM(Table1[[#This Row],[Fuel and light]])</f>
        <v>137.1</v>
      </c>
      <c r="AC166" s="1">
        <f>SUM(Table1[[#This Row],[Transport and communication]])</f>
        <v>129.30000000000001</v>
      </c>
      <c r="AD166" s="1">
        <f>SUM(Table1[[#This Row],[Housing]],Table1[[#This Row],[Household goods and services]])/2</f>
        <v>147.55000000000001</v>
      </c>
      <c r="AE166" s="1">
        <f>SUM(Table1[[#This Row],[Health]])</f>
        <v>148.1</v>
      </c>
      <c r="AF166" s="1">
        <f>SUM(Table1[[#This Row],[Recreation and amusement]],Table1[[#This Row],[Education]])/2</f>
        <v>148.5</v>
      </c>
      <c r="AG166" s="1">
        <f>SUM(Table1[[#This Row],[Miscellaneous]],Table1[[#This Row],[Personal care and effects]])/2</f>
        <v>147.1</v>
      </c>
    </row>
    <row r="167" spans="1:33" hidden="1" x14ac:dyDescent="0.3">
      <c r="A167" t="s">
        <v>33</v>
      </c>
      <c r="B167">
        <v>2020</v>
      </c>
      <c r="C167" t="s">
        <v>43</v>
      </c>
      <c r="D167">
        <v>148.19999999999999</v>
      </c>
      <c r="E167">
        <v>190.3</v>
      </c>
      <c r="F167">
        <v>149.4</v>
      </c>
      <c r="G167">
        <v>153.30000000000001</v>
      </c>
      <c r="H167">
        <v>138.19999999999999</v>
      </c>
      <c r="I167">
        <v>143.19999999999999</v>
      </c>
      <c r="J167">
        <v>148.9</v>
      </c>
      <c r="K167">
        <v>150.30000000000001</v>
      </c>
      <c r="L167">
        <v>113.2</v>
      </c>
      <c r="M167">
        <v>159.80000000000001</v>
      </c>
      <c r="N167">
        <v>142.1</v>
      </c>
      <c r="O167">
        <v>161.80000000000001</v>
      </c>
      <c r="P167">
        <v>152.30000000000001</v>
      </c>
      <c r="Q167">
        <f>AVERAGE(Q168:Q169)</f>
        <v>154.69999999999999</v>
      </c>
      <c r="R167">
        <v>144.9</v>
      </c>
      <c r="S167">
        <v>151.69999999999999</v>
      </c>
      <c r="T167">
        <v>158.19999999999999</v>
      </c>
      <c r="U167">
        <v>141.4</v>
      </c>
      <c r="V167">
        <v>153.19999999999999</v>
      </c>
      <c r="W167">
        <v>161.80000000000001</v>
      </c>
      <c r="X167">
        <v>151.19999999999999</v>
      </c>
      <c r="Y167">
        <v>151.69999999999999</v>
      </c>
      <c r="Z167">
        <v>152.69999999999999</v>
      </c>
      <c r="AA167" s="1">
        <f>SUM(Table1[[#This Row],[Cereals and products]:[Food and beverages]])/13</f>
        <v>150.07692307692307</v>
      </c>
      <c r="AB167" s="1">
        <f>SUM(Table1[[#This Row],[Fuel and light]])</f>
        <v>144.9</v>
      </c>
      <c r="AC167" s="1">
        <f>SUM(Table1[[#This Row],[Transport and communication]])</f>
        <v>141.4</v>
      </c>
      <c r="AD167" s="1">
        <f>SUM(Table1[[#This Row],[Housing]],Table1[[#This Row],[Household goods and services]])/2</f>
        <v>153.19999999999999</v>
      </c>
      <c r="AE167" s="1">
        <f>SUM(Table1[[#This Row],[Health]])</f>
        <v>158.19999999999999</v>
      </c>
      <c r="AF167" s="1">
        <f>SUM(Table1[[#This Row],[Recreation and amusement]],Table1[[#This Row],[Education]])/2</f>
        <v>157.5</v>
      </c>
      <c r="AG167" s="1">
        <f>SUM(Table1[[#This Row],[Miscellaneous]],Table1[[#This Row],[Personal care and effects]])/2</f>
        <v>151.44999999999999</v>
      </c>
    </row>
    <row r="168" spans="1:33" hidden="1" x14ac:dyDescent="0.3">
      <c r="A168" t="s">
        <v>35</v>
      </c>
      <c r="B168">
        <v>2020</v>
      </c>
      <c r="C168" t="s">
        <v>43</v>
      </c>
      <c r="D168">
        <v>149.6</v>
      </c>
      <c r="E168">
        <v>192.7</v>
      </c>
      <c r="F168">
        <v>151.4</v>
      </c>
      <c r="G168">
        <v>153.30000000000001</v>
      </c>
      <c r="H168">
        <v>136.30000000000001</v>
      </c>
      <c r="I168">
        <v>147.19999999999999</v>
      </c>
      <c r="J168">
        <v>156.5</v>
      </c>
      <c r="K168">
        <v>150.9</v>
      </c>
      <c r="L168">
        <v>114.2</v>
      </c>
      <c r="M168">
        <v>159.5</v>
      </c>
      <c r="N168">
        <v>139.4</v>
      </c>
      <c r="O168">
        <v>161.80000000000001</v>
      </c>
      <c r="P168">
        <v>154</v>
      </c>
      <c r="Q168">
        <v>154.69999999999999</v>
      </c>
      <c r="R168">
        <v>141.9</v>
      </c>
      <c r="S168">
        <v>146.4</v>
      </c>
      <c r="T168">
        <v>154.4</v>
      </c>
      <c r="U168">
        <v>135</v>
      </c>
      <c r="V168">
        <v>148.30000000000001</v>
      </c>
      <c r="W168">
        <v>156.4</v>
      </c>
      <c r="X168">
        <v>151.6</v>
      </c>
      <c r="Y168">
        <v>147</v>
      </c>
      <c r="Z168">
        <v>151.80000000000001</v>
      </c>
      <c r="AA168" s="1">
        <f>SUM(Table1[[#This Row],[Cereals and products]:[Food and beverages]])/13</f>
        <v>151.2923076923077</v>
      </c>
      <c r="AB168" s="1">
        <f>SUM(Table1[[#This Row],[Fuel and light]])</f>
        <v>141.9</v>
      </c>
      <c r="AC168" s="1">
        <f>SUM(Table1[[#This Row],[Transport and communication]])</f>
        <v>135</v>
      </c>
      <c r="AD168" s="1">
        <f>SUM(Table1[[#This Row],[Housing]],Table1[[#This Row],[Household goods and services]])/2</f>
        <v>150.55000000000001</v>
      </c>
      <c r="AE168" s="1">
        <f>SUM(Table1[[#This Row],[Health]])</f>
        <v>154.4</v>
      </c>
      <c r="AF168" s="1">
        <f>SUM(Table1[[#This Row],[Recreation and amusement]],Table1[[#This Row],[Education]])/2</f>
        <v>152.35000000000002</v>
      </c>
      <c r="AG168" s="1">
        <f>SUM(Table1[[#This Row],[Miscellaneous]],Table1[[#This Row],[Personal care and effects]])/2</f>
        <v>149.30000000000001</v>
      </c>
    </row>
    <row r="169" spans="1:33" hidden="1" x14ac:dyDescent="0.3">
      <c r="A169" t="s">
        <v>36</v>
      </c>
      <c r="B169">
        <v>2020</v>
      </c>
      <c r="C169" t="s">
        <v>43</v>
      </c>
      <c r="D169">
        <v>152.69999999999999</v>
      </c>
      <c r="E169">
        <v>197</v>
      </c>
      <c r="F169">
        <v>154.6</v>
      </c>
      <c r="G169">
        <v>153.4</v>
      </c>
      <c r="H169">
        <v>132.9</v>
      </c>
      <c r="I169">
        <v>151.80000000000001</v>
      </c>
      <c r="J169">
        <v>171.2</v>
      </c>
      <c r="K169">
        <v>152</v>
      </c>
      <c r="L169">
        <v>116.3</v>
      </c>
      <c r="M169">
        <v>158.80000000000001</v>
      </c>
      <c r="N169">
        <v>135.6</v>
      </c>
      <c r="O169">
        <v>161.69999999999999</v>
      </c>
      <c r="P169">
        <v>157</v>
      </c>
      <c r="Q169">
        <v>154.69999999999999</v>
      </c>
      <c r="R169">
        <v>137.1</v>
      </c>
      <c r="S169">
        <v>140.4</v>
      </c>
      <c r="T169">
        <v>148.1</v>
      </c>
      <c r="U169">
        <v>129.30000000000001</v>
      </c>
      <c r="V169">
        <v>144.5</v>
      </c>
      <c r="W169">
        <v>152.5</v>
      </c>
      <c r="X169">
        <v>152.19999999999999</v>
      </c>
      <c r="Y169">
        <v>142</v>
      </c>
      <c r="Z169">
        <v>150.80000000000001</v>
      </c>
      <c r="AA169" s="1">
        <f>SUM(Table1[[#This Row],[Cereals and products]:[Food and beverages]])/13</f>
        <v>153.46153846153845</v>
      </c>
      <c r="AB169" s="1">
        <f>SUM(Table1[[#This Row],[Fuel and light]])</f>
        <v>137.1</v>
      </c>
      <c r="AC169" s="1">
        <f>SUM(Table1[[#This Row],[Transport and communication]])</f>
        <v>129.30000000000001</v>
      </c>
      <c r="AD169" s="1">
        <f>SUM(Table1[[#This Row],[Housing]],Table1[[#This Row],[Household goods and services]])/2</f>
        <v>147.55000000000001</v>
      </c>
      <c r="AE169" s="1">
        <f>SUM(Table1[[#This Row],[Health]])</f>
        <v>148.1</v>
      </c>
      <c r="AF169" s="1">
        <f>SUM(Table1[[#This Row],[Recreation and amusement]],Table1[[#This Row],[Education]])/2</f>
        <v>148.5</v>
      </c>
      <c r="AG169" s="1">
        <f>SUM(Table1[[#This Row],[Miscellaneous]],Table1[[#This Row],[Personal care and effects]])/2</f>
        <v>147.1</v>
      </c>
    </row>
    <row r="170" spans="1:33" hidden="1" x14ac:dyDescent="0.3">
      <c r="A170" t="s">
        <v>36</v>
      </c>
      <c r="B170">
        <v>2018</v>
      </c>
      <c r="C170" t="s">
        <v>43</v>
      </c>
      <c r="D170">
        <v>135.30000000000001</v>
      </c>
      <c r="E170">
        <v>149.69999999999999</v>
      </c>
      <c r="F170">
        <v>133.9</v>
      </c>
      <c r="G170">
        <v>140.80000000000001</v>
      </c>
      <c r="H170">
        <v>116.6</v>
      </c>
      <c r="I170">
        <v>152.19999999999999</v>
      </c>
      <c r="J170">
        <v>144</v>
      </c>
      <c r="K170">
        <v>112.3</v>
      </c>
      <c r="L170">
        <v>108.4</v>
      </c>
      <c r="M170">
        <v>140</v>
      </c>
      <c r="N170">
        <v>126.7</v>
      </c>
      <c r="O170">
        <v>149</v>
      </c>
      <c r="P170">
        <v>138.4</v>
      </c>
      <c r="Q170">
        <v>142.5</v>
      </c>
      <c r="R170">
        <v>126.5</v>
      </c>
      <c r="S170">
        <v>133.1</v>
      </c>
      <c r="T170">
        <v>132.6</v>
      </c>
      <c r="U170">
        <v>120.4</v>
      </c>
      <c r="V170">
        <v>128.5</v>
      </c>
      <c r="W170">
        <v>141.19999999999999</v>
      </c>
      <c r="X170">
        <v>128.19999999999999</v>
      </c>
      <c r="Y170">
        <v>129.5</v>
      </c>
      <c r="Z170">
        <v>136.19999999999999</v>
      </c>
      <c r="AA170" s="1">
        <f>SUM(Table1[[#This Row],[Cereals and products]:[Food and beverages]])/13</f>
        <v>134.40769230769232</v>
      </c>
      <c r="AB170" s="1">
        <f>SUM(Table1[[#This Row],[Fuel and light]])</f>
        <v>126.5</v>
      </c>
      <c r="AC170" s="1">
        <f>SUM(Table1[[#This Row],[Transport and communication]])</f>
        <v>120.4</v>
      </c>
      <c r="AD170" s="1">
        <f>SUM(Table1[[#This Row],[Housing]],Table1[[#This Row],[Household goods and services]])/2</f>
        <v>137.80000000000001</v>
      </c>
      <c r="AE170" s="1">
        <f>SUM(Table1[[#This Row],[Health]])</f>
        <v>132.6</v>
      </c>
      <c r="AF170" s="1">
        <f>SUM(Table1[[#This Row],[Recreation and amusement]],Table1[[#This Row],[Education]])/2</f>
        <v>134.85</v>
      </c>
      <c r="AG170" s="1">
        <f>SUM(Table1[[#This Row],[Miscellaneous]],Table1[[#This Row],[Personal care and effects]])/2</f>
        <v>128.85</v>
      </c>
    </row>
    <row r="171" spans="1:33" hidden="1" x14ac:dyDescent="0.3">
      <c r="A171" t="s">
        <v>35</v>
      </c>
      <c r="B171">
        <v>2018</v>
      </c>
      <c r="C171" t="s">
        <v>43</v>
      </c>
      <c r="D171">
        <v>136.9</v>
      </c>
      <c r="E171">
        <v>148.69999999999999</v>
      </c>
      <c r="F171">
        <v>135.6</v>
      </c>
      <c r="G171">
        <v>142.30000000000001</v>
      </c>
      <c r="H171">
        <v>121.3</v>
      </c>
      <c r="I171">
        <v>153.19999999999999</v>
      </c>
      <c r="J171">
        <v>143.69999999999999</v>
      </c>
      <c r="K171">
        <v>121.4</v>
      </c>
      <c r="L171">
        <v>111.1</v>
      </c>
      <c r="M171">
        <v>138.4</v>
      </c>
      <c r="N171">
        <v>130.30000000000001</v>
      </c>
      <c r="O171">
        <v>151.80000000000001</v>
      </c>
      <c r="P171">
        <v>139.4</v>
      </c>
      <c r="Q171">
        <v>142.5</v>
      </c>
      <c r="R171">
        <v>138.1</v>
      </c>
      <c r="S171">
        <v>137.9</v>
      </c>
      <c r="T171">
        <v>136.19999999999999</v>
      </c>
      <c r="U171">
        <v>123.7</v>
      </c>
      <c r="V171">
        <v>132.6</v>
      </c>
      <c r="W171">
        <v>142.80000000000001</v>
      </c>
      <c r="X171">
        <v>130.1</v>
      </c>
      <c r="Y171">
        <v>132.6</v>
      </c>
      <c r="Z171">
        <v>138.5</v>
      </c>
      <c r="AA171" s="1">
        <f>SUM(Table1[[#This Row],[Cereals and products]:[Food and beverages]])/13</f>
        <v>136.46923076923079</v>
      </c>
      <c r="AB171" s="1">
        <f>SUM(Table1[[#This Row],[Fuel and light]])</f>
        <v>138.1</v>
      </c>
      <c r="AC171" s="1">
        <f>SUM(Table1[[#This Row],[Transport and communication]])</f>
        <v>123.7</v>
      </c>
      <c r="AD171" s="1">
        <f>SUM(Table1[[#This Row],[Housing]],Table1[[#This Row],[Household goods and services]])/2</f>
        <v>140.19999999999999</v>
      </c>
      <c r="AE171" s="1">
        <f>SUM(Table1[[#This Row],[Health]])</f>
        <v>136.19999999999999</v>
      </c>
      <c r="AF171" s="1">
        <f>SUM(Table1[[#This Row],[Recreation and amusement]],Table1[[#This Row],[Education]])/2</f>
        <v>137.69999999999999</v>
      </c>
      <c r="AG171" s="1">
        <f>SUM(Table1[[#This Row],[Miscellaneous]],Table1[[#This Row],[Personal care and effects]])/2</f>
        <v>131.35</v>
      </c>
    </row>
    <row r="172" spans="1:33" hidden="1" x14ac:dyDescent="0.3">
      <c r="A172" t="s">
        <v>33</v>
      </c>
      <c r="B172">
        <v>2018</v>
      </c>
      <c r="C172" t="s">
        <v>43</v>
      </c>
      <c r="D172">
        <v>137.6</v>
      </c>
      <c r="E172">
        <v>148.1</v>
      </c>
      <c r="F172">
        <v>136.69999999999999</v>
      </c>
      <c r="G172">
        <v>143.19999999999999</v>
      </c>
      <c r="H172">
        <v>124</v>
      </c>
      <c r="I172">
        <v>154.1</v>
      </c>
      <c r="J172">
        <v>143.5</v>
      </c>
      <c r="K172">
        <v>126</v>
      </c>
      <c r="L172">
        <v>112.4</v>
      </c>
      <c r="M172">
        <v>137.6</v>
      </c>
      <c r="N172">
        <v>132.80000000000001</v>
      </c>
      <c r="O172">
        <v>154.30000000000001</v>
      </c>
      <c r="P172">
        <v>140</v>
      </c>
      <c r="Q172">
        <f>AVERAGE(Q170:Q171)</f>
        <v>142.5</v>
      </c>
      <c r="R172">
        <v>145.1</v>
      </c>
      <c r="S172">
        <v>142.19999999999999</v>
      </c>
      <c r="T172">
        <v>138.4</v>
      </c>
      <c r="U172">
        <v>127.4</v>
      </c>
      <c r="V172">
        <v>137.80000000000001</v>
      </c>
      <c r="W172">
        <v>145.1</v>
      </c>
      <c r="X172">
        <v>131.4</v>
      </c>
      <c r="Y172">
        <v>135.6</v>
      </c>
      <c r="Z172">
        <v>140.5</v>
      </c>
      <c r="AA172" s="1">
        <f>SUM(Table1[[#This Row],[Cereals and products]:[Food and beverages]])/13</f>
        <v>137.71538461538461</v>
      </c>
      <c r="AB172" s="1">
        <f>SUM(Table1[[#This Row],[Fuel and light]])</f>
        <v>145.1</v>
      </c>
      <c r="AC172" s="1">
        <f>SUM(Table1[[#This Row],[Transport and communication]])</f>
        <v>127.4</v>
      </c>
      <c r="AD172" s="1">
        <f>SUM(Table1[[#This Row],[Housing]],Table1[[#This Row],[Household goods and services]])/2</f>
        <v>142.35</v>
      </c>
      <c r="AE172" s="1">
        <f>SUM(Table1[[#This Row],[Health]])</f>
        <v>138.4</v>
      </c>
      <c r="AF172" s="1">
        <f>SUM(Table1[[#This Row],[Recreation and amusement]],Table1[[#This Row],[Education]])/2</f>
        <v>141.44999999999999</v>
      </c>
      <c r="AG172" s="1">
        <f>SUM(Table1[[#This Row],[Miscellaneous]],Table1[[#This Row],[Personal care and effects]])/2</f>
        <v>133.5</v>
      </c>
    </row>
    <row r="173" spans="1:33" hidden="1" x14ac:dyDescent="0.3">
      <c r="A173" t="s">
        <v>36</v>
      </c>
      <c r="B173">
        <v>2017</v>
      </c>
      <c r="C173" t="s">
        <v>43</v>
      </c>
      <c r="D173">
        <v>132.9</v>
      </c>
      <c r="E173">
        <v>148.69999999999999</v>
      </c>
      <c r="F173">
        <v>128.30000000000001</v>
      </c>
      <c r="G173">
        <v>137.30000000000001</v>
      </c>
      <c r="H173">
        <v>113.5</v>
      </c>
      <c r="I173">
        <v>137.19999999999999</v>
      </c>
      <c r="J173">
        <v>142.19999999999999</v>
      </c>
      <c r="K173">
        <v>128.19999999999999</v>
      </c>
      <c r="L173">
        <v>120.9</v>
      </c>
      <c r="M173">
        <v>138.80000000000001</v>
      </c>
      <c r="N173">
        <v>124.2</v>
      </c>
      <c r="O173">
        <v>143.1</v>
      </c>
      <c r="P173">
        <v>135.69999999999999</v>
      </c>
      <c r="Q173">
        <v>131.4</v>
      </c>
      <c r="R173">
        <v>119</v>
      </c>
      <c r="S173">
        <v>126.8</v>
      </c>
      <c r="T173">
        <v>123.8</v>
      </c>
      <c r="U173">
        <v>113.9</v>
      </c>
      <c r="V173">
        <v>122.9</v>
      </c>
      <c r="W173">
        <v>134.30000000000001</v>
      </c>
      <c r="X173">
        <v>122.5</v>
      </c>
      <c r="Y173">
        <v>122.7</v>
      </c>
      <c r="Z173">
        <v>129.9</v>
      </c>
      <c r="AA173" s="1">
        <f>SUM(Table1[[#This Row],[Cereals and products]:[Food and beverages]])/13</f>
        <v>133.15384615384616</v>
      </c>
      <c r="AB173" s="1">
        <f>SUM(Table1[[#This Row],[Fuel and light]])</f>
        <v>119</v>
      </c>
      <c r="AC173" s="1">
        <f>SUM(Table1[[#This Row],[Transport and communication]])</f>
        <v>113.9</v>
      </c>
      <c r="AD173" s="1">
        <f>SUM(Table1[[#This Row],[Housing]],Table1[[#This Row],[Household goods and services]])/2</f>
        <v>129.1</v>
      </c>
      <c r="AE173" s="1">
        <f>SUM(Table1[[#This Row],[Health]])</f>
        <v>123.8</v>
      </c>
      <c r="AF173" s="1">
        <f>SUM(Table1[[#This Row],[Recreation and amusement]],Table1[[#This Row],[Education]])/2</f>
        <v>128.60000000000002</v>
      </c>
      <c r="AG173" s="1">
        <f>SUM(Table1[[#This Row],[Miscellaneous]],Table1[[#This Row],[Personal care and effects]])/2</f>
        <v>122.6</v>
      </c>
    </row>
    <row r="174" spans="1:33" hidden="1" x14ac:dyDescent="0.3">
      <c r="A174" t="s">
        <v>35</v>
      </c>
      <c r="B174">
        <v>2017</v>
      </c>
      <c r="C174" t="s">
        <v>43</v>
      </c>
      <c r="D174">
        <v>133.30000000000001</v>
      </c>
      <c r="E174">
        <v>145.5</v>
      </c>
      <c r="F174">
        <v>128.1</v>
      </c>
      <c r="G174">
        <v>138.1</v>
      </c>
      <c r="H174">
        <v>118.2</v>
      </c>
      <c r="I174">
        <v>139.19999999999999</v>
      </c>
      <c r="J174">
        <v>133.30000000000001</v>
      </c>
      <c r="K174">
        <v>136.19999999999999</v>
      </c>
      <c r="L174">
        <v>119.6</v>
      </c>
      <c r="M174">
        <v>135.30000000000001</v>
      </c>
      <c r="N174">
        <v>127.8</v>
      </c>
      <c r="O174">
        <v>144.9</v>
      </c>
      <c r="P174">
        <v>135.19999999999999</v>
      </c>
      <c r="Q174">
        <v>131.4</v>
      </c>
      <c r="R174">
        <v>128.80000000000001</v>
      </c>
      <c r="S174">
        <v>131.19999999999999</v>
      </c>
      <c r="T174">
        <v>128.5</v>
      </c>
      <c r="U174">
        <v>116.5</v>
      </c>
      <c r="V174">
        <v>125.9</v>
      </c>
      <c r="W174">
        <v>135.4</v>
      </c>
      <c r="X174">
        <v>123.4</v>
      </c>
      <c r="Y174">
        <v>125.5</v>
      </c>
      <c r="Z174">
        <v>132</v>
      </c>
      <c r="AA174" s="1">
        <f>SUM(Table1[[#This Row],[Cereals and products]:[Food and beverages]])/13</f>
        <v>133.43846153846155</v>
      </c>
      <c r="AB174" s="1">
        <f>SUM(Table1[[#This Row],[Fuel and light]])</f>
        <v>128.80000000000001</v>
      </c>
      <c r="AC174" s="1">
        <f>SUM(Table1[[#This Row],[Transport and communication]])</f>
        <v>116.5</v>
      </c>
      <c r="AD174" s="1">
        <f>SUM(Table1[[#This Row],[Housing]],Table1[[#This Row],[Household goods and services]])/2</f>
        <v>131.30000000000001</v>
      </c>
      <c r="AE174" s="1">
        <f>SUM(Table1[[#This Row],[Health]])</f>
        <v>128.5</v>
      </c>
      <c r="AF174" s="1">
        <f>SUM(Table1[[#This Row],[Recreation and amusement]],Table1[[#This Row],[Education]])/2</f>
        <v>130.65</v>
      </c>
      <c r="AG174" s="1">
        <f>SUM(Table1[[#This Row],[Miscellaneous]],Table1[[#This Row],[Personal care and effects]])/2</f>
        <v>124.45</v>
      </c>
    </row>
    <row r="175" spans="1:33" hidden="1" x14ac:dyDescent="0.3">
      <c r="A175" t="s">
        <v>33</v>
      </c>
      <c r="B175">
        <v>2017</v>
      </c>
      <c r="C175" t="s">
        <v>43</v>
      </c>
      <c r="D175">
        <v>133.5</v>
      </c>
      <c r="E175">
        <v>143.69999999999999</v>
      </c>
      <c r="F175">
        <v>128</v>
      </c>
      <c r="G175">
        <v>138.6</v>
      </c>
      <c r="H175">
        <v>120.9</v>
      </c>
      <c r="I175">
        <v>140.9</v>
      </c>
      <c r="J175">
        <v>128.80000000000001</v>
      </c>
      <c r="K175">
        <v>140.19999999999999</v>
      </c>
      <c r="L175">
        <v>118.9</v>
      </c>
      <c r="M175">
        <v>133.5</v>
      </c>
      <c r="N175">
        <v>130.4</v>
      </c>
      <c r="O175">
        <v>146.5</v>
      </c>
      <c r="P175">
        <v>134.9</v>
      </c>
      <c r="Q175">
        <f>AVERAGE(Q173:Q174)</f>
        <v>131.4</v>
      </c>
      <c r="R175">
        <v>134.80000000000001</v>
      </c>
      <c r="S175">
        <v>135.19999999999999</v>
      </c>
      <c r="T175">
        <v>131.30000000000001</v>
      </c>
      <c r="U175">
        <v>119.4</v>
      </c>
      <c r="V175">
        <v>129.80000000000001</v>
      </c>
      <c r="W175">
        <v>136.9</v>
      </c>
      <c r="X175">
        <v>124.1</v>
      </c>
      <c r="Y175">
        <v>128.1</v>
      </c>
      <c r="Z175">
        <v>133.9</v>
      </c>
      <c r="AA175" s="1">
        <f>SUM(Table1[[#This Row],[Cereals and products]:[Food and beverages]])/13</f>
        <v>133.75384615384615</v>
      </c>
      <c r="AB175" s="1">
        <f>SUM(Table1[[#This Row],[Fuel and light]])</f>
        <v>134.80000000000001</v>
      </c>
      <c r="AC175" s="1">
        <f>SUM(Table1[[#This Row],[Transport and communication]])</f>
        <v>119.4</v>
      </c>
      <c r="AD175" s="1">
        <f>SUM(Table1[[#This Row],[Housing]],Table1[[#This Row],[Household goods and services]])/2</f>
        <v>133.30000000000001</v>
      </c>
      <c r="AE175" s="1">
        <f>SUM(Table1[[#This Row],[Health]])</f>
        <v>131.30000000000001</v>
      </c>
      <c r="AF175" s="1">
        <f>SUM(Table1[[#This Row],[Recreation and amusement]],Table1[[#This Row],[Education]])/2</f>
        <v>133.35000000000002</v>
      </c>
      <c r="AG175" s="1">
        <f>SUM(Table1[[#This Row],[Miscellaneous]],Table1[[#This Row],[Personal care and effects]])/2</f>
        <v>126.1</v>
      </c>
    </row>
    <row r="176" spans="1:33" hidden="1" x14ac:dyDescent="0.3">
      <c r="A176" t="s">
        <v>36</v>
      </c>
      <c r="B176">
        <v>2016</v>
      </c>
      <c r="C176" t="s">
        <v>43</v>
      </c>
      <c r="D176">
        <v>125.9</v>
      </c>
      <c r="E176">
        <v>143.9</v>
      </c>
      <c r="F176">
        <v>130.9</v>
      </c>
      <c r="G176">
        <v>131</v>
      </c>
      <c r="H176">
        <v>110.2</v>
      </c>
      <c r="I176">
        <v>135.5</v>
      </c>
      <c r="J176">
        <v>173.7</v>
      </c>
      <c r="K176">
        <v>184.4</v>
      </c>
      <c r="L176">
        <v>112</v>
      </c>
      <c r="M176">
        <v>142.80000000000001</v>
      </c>
      <c r="N176">
        <v>121.6</v>
      </c>
      <c r="O176">
        <v>136.9</v>
      </c>
      <c r="P176">
        <v>138.19999999999999</v>
      </c>
      <c r="Q176">
        <v>125.5</v>
      </c>
      <c r="R176">
        <v>115.5</v>
      </c>
      <c r="S176">
        <v>123.2</v>
      </c>
      <c r="T176">
        <v>120.6</v>
      </c>
      <c r="U176">
        <v>112.3</v>
      </c>
      <c r="V176">
        <v>119.9</v>
      </c>
      <c r="W176">
        <v>129.30000000000001</v>
      </c>
      <c r="X176">
        <v>118.8</v>
      </c>
      <c r="Y176">
        <v>119.6</v>
      </c>
      <c r="Z176">
        <v>128.1</v>
      </c>
      <c r="AA176" s="1">
        <f>SUM(Table1[[#This Row],[Cereals and products]:[Food and beverages]])/13</f>
        <v>137.46153846153848</v>
      </c>
      <c r="AB176" s="1">
        <f>SUM(Table1[[#This Row],[Fuel and light]])</f>
        <v>115.5</v>
      </c>
      <c r="AC176" s="1">
        <f>SUM(Table1[[#This Row],[Transport and communication]])</f>
        <v>112.3</v>
      </c>
      <c r="AD176" s="1">
        <f>SUM(Table1[[#This Row],[Housing]],Table1[[#This Row],[Household goods and services]])/2</f>
        <v>124.35</v>
      </c>
      <c r="AE176" s="1">
        <f>SUM(Table1[[#This Row],[Health]])</f>
        <v>120.6</v>
      </c>
      <c r="AF176" s="1">
        <f>SUM(Table1[[#This Row],[Recreation and amusement]],Table1[[#This Row],[Education]])/2</f>
        <v>124.60000000000001</v>
      </c>
      <c r="AG176" s="1">
        <f>SUM(Table1[[#This Row],[Miscellaneous]],Table1[[#This Row],[Personal care and effects]])/2</f>
        <v>119.19999999999999</v>
      </c>
    </row>
    <row r="177" spans="1:33" hidden="1" x14ac:dyDescent="0.3">
      <c r="A177" t="s">
        <v>35</v>
      </c>
      <c r="B177">
        <v>2016</v>
      </c>
      <c r="C177" t="s">
        <v>43</v>
      </c>
      <c r="D177">
        <v>127.7</v>
      </c>
      <c r="E177">
        <v>140.5</v>
      </c>
      <c r="F177">
        <v>128.30000000000001</v>
      </c>
      <c r="G177">
        <v>132.6</v>
      </c>
      <c r="H177">
        <v>115.5</v>
      </c>
      <c r="I177">
        <v>136.5</v>
      </c>
      <c r="J177">
        <v>159.69999999999999</v>
      </c>
      <c r="K177">
        <v>174.3</v>
      </c>
      <c r="L177">
        <v>109.9</v>
      </c>
      <c r="M177">
        <v>136.30000000000001</v>
      </c>
      <c r="N177">
        <v>124.4</v>
      </c>
      <c r="O177">
        <v>138.1</v>
      </c>
      <c r="P177">
        <v>136.80000000000001</v>
      </c>
      <c r="Q177">
        <v>125.5</v>
      </c>
      <c r="R177">
        <v>123.3</v>
      </c>
      <c r="S177">
        <v>126.4</v>
      </c>
      <c r="T177">
        <v>124.1</v>
      </c>
      <c r="U177">
        <v>114.2</v>
      </c>
      <c r="V177">
        <v>121.7</v>
      </c>
      <c r="W177">
        <v>129.69999999999999</v>
      </c>
      <c r="X177">
        <v>119.4</v>
      </c>
      <c r="Y177">
        <v>121.5</v>
      </c>
      <c r="Z177">
        <v>130.1</v>
      </c>
      <c r="AA177" s="1">
        <f>SUM(Table1[[#This Row],[Cereals and products]:[Food and beverages]])/13</f>
        <v>135.43076923076922</v>
      </c>
      <c r="AB177" s="1">
        <f>SUM(Table1[[#This Row],[Fuel and light]])</f>
        <v>123.3</v>
      </c>
      <c r="AC177" s="1">
        <f>SUM(Table1[[#This Row],[Transport and communication]])</f>
        <v>114.2</v>
      </c>
      <c r="AD177" s="1">
        <f>SUM(Table1[[#This Row],[Housing]],Table1[[#This Row],[Household goods and services]])/2</f>
        <v>125.95</v>
      </c>
      <c r="AE177" s="1">
        <f>SUM(Table1[[#This Row],[Health]])</f>
        <v>124.1</v>
      </c>
      <c r="AF177" s="1">
        <f>SUM(Table1[[#This Row],[Recreation and amusement]],Table1[[#This Row],[Education]])/2</f>
        <v>125.69999999999999</v>
      </c>
      <c r="AG177" s="1">
        <f>SUM(Table1[[#This Row],[Miscellaneous]],Table1[[#This Row],[Personal care and effects]])/2</f>
        <v>120.45</v>
      </c>
    </row>
    <row r="178" spans="1:33" hidden="1" x14ac:dyDescent="0.3">
      <c r="A178" t="s">
        <v>33</v>
      </c>
      <c r="B178">
        <v>2016</v>
      </c>
      <c r="C178" t="s">
        <v>43</v>
      </c>
      <c r="D178">
        <v>128.6</v>
      </c>
      <c r="E178">
        <v>138.6</v>
      </c>
      <c r="F178">
        <v>126.6</v>
      </c>
      <c r="G178">
        <v>133.6</v>
      </c>
      <c r="H178">
        <v>118.6</v>
      </c>
      <c r="I178">
        <v>137.4</v>
      </c>
      <c r="J178">
        <v>152.5</v>
      </c>
      <c r="K178">
        <v>169.2</v>
      </c>
      <c r="L178">
        <v>108.8</v>
      </c>
      <c r="M178">
        <v>133.1</v>
      </c>
      <c r="N178">
        <v>126.4</v>
      </c>
      <c r="O178">
        <v>139.19999999999999</v>
      </c>
      <c r="P178">
        <v>136</v>
      </c>
      <c r="Q178">
        <f>AVERAGE(Q176:Q177)</f>
        <v>125.5</v>
      </c>
      <c r="R178">
        <v>128</v>
      </c>
      <c r="S178">
        <v>129.30000000000001</v>
      </c>
      <c r="T178">
        <v>126.2</v>
      </c>
      <c r="U178">
        <v>116.3</v>
      </c>
      <c r="V178">
        <v>124.1</v>
      </c>
      <c r="W178">
        <v>130.19999999999999</v>
      </c>
      <c r="X178">
        <v>119.9</v>
      </c>
      <c r="Y178">
        <v>123.3</v>
      </c>
      <c r="Z178">
        <v>131.9</v>
      </c>
      <c r="AA178" s="1">
        <f>SUM(Table1[[#This Row],[Cereals and products]:[Food and beverages]])/13</f>
        <v>134.50769230769231</v>
      </c>
      <c r="AB178" s="1">
        <f>SUM(Table1[[#This Row],[Fuel and light]])</f>
        <v>128</v>
      </c>
      <c r="AC178" s="1">
        <f>SUM(Table1[[#This Row],[Transport and communication]])</f>
        <v>116.3</v>
      </c>
      <c r="AD178" s="1">
        <f>SUM(Table1[[#This Row],[Housing]],Table1[[#This Row],[Household goods and services]])/2</f>
        <v>127.4</v>
      </c>
      <c r="AE178" s="1">
        <f>SUM(Table1[[#This Row],[Health]])</f>
        <v>126.2</v>
      </c>
      <c r="AF178" s="1">
        <f>SUM(Table1[[#This Row],[Recreation and amusement]],Table1[[#This Row],[Education]])/2</f>
        <v>127.14999999999999</v>
      </c>
      <c r="AG178" s="1">
        <f>SUM(Table1[[#This Row],[Miscellaneous]],Table1[[#This Row],[Personal care and effects]])/2</f>
        <v>121.6</v>
      </c>
    </row>
    <row r="179" spans="1:33" hidden="1" x14ac:dyDescent="0.3">
      <c r="A179" t="s">
        <v>36</v>
      </c>
      <c r="B179">
        <v>2015</v>
      </c>
      <c r="C179" t="s">
        <v>43</v>
      </c>
      <c r="D179">
        <v>123.6</v>
      </c>
      <c r="E179">
        <v>134.4</v>
      </c>
      <c r="F179">
        <v>120.9</v>
      </c>
      <c r="G179">
        <v>127.3</v>
      </c>
      <c r="H179">
        <v>106</v>
      </c>
      <c r="I179">
        <v>132.30000000000001</v>
      </c>
      <c r="J179">
        <v>146.69999999999999</v>
      </c>
      <c r="K179">
        <v>148.1</v>
      </c>
      <c r="L179">
        <v>89.8</v>
      </c>
      <c r="M179">
        <v>130.5</v>
      </c>
      <c r="N179">
        <v>118</v>
      </c>
      <c r="O179">
        <v>130.5</v>
      </c>
      <c r="P179">
        <v>128.5</v>
      </c>
      <c r="Q179">
        <v>119</v>
      </c>
      <c r="R179">
        <v>115.1</v>
      </c>
      <c r="S179">
        <v>119.2</v>
      </c>
      <c r="T179">
        <v>115.4</v>
      </c>
      <c r="U179">
        <v>111.7</v>
      </c>
      <c r="V179">
        <v>116.2</v>
      </c>
      <c r="W179">
        <v>123.8</v>
      </c>
      <c r="X179">
        <v>112.5</v>
      </c>
      <c r="Y179">
        <v>116</v>
      </c>
      <c r="Z179">
        <v>121.7</v>
      </c>
      <c r="AA179" s="1">
        <f>SUM(Table1[[#This Row],[Cereals and products]:[Food and beverages]])/13</f>
        <v>125.89230769230768</v>
      </c>
      <c r="AB179" s="1">
        <f>SUM(Table1[[#This Row],[Fuel and light]])</f>
        <v>115.1</v>
      </c>
      <c r="AC179" s="1">
        <f>SUM(Table1[[#This Row],[Transport and communication]])</f>
        <v>111.7</v>
      </c>
      <c r="AD179" s="1">
        <f>SUM(Table1[[#This Row],[Housing]],Table1[[#This Row],[Household goods and services]])/2</f>
        <v>119.1</v>
      </c>
      <c r="AE179" s="1">
        <f>SUM(Table1[[#This Row],[Health]])</f>
        <v>115.4</v>
      </c>
      <c r="AF179" s="1">
        <f>SUM(Table1[[#This Row],[Recreation and amusement]],Table1[[#This Row],[Education]])/2</f>
        <v>120</v>
      </c>
      <c r="AG179" s="1">
        <f>SUM(Table1[[#This Row],[Miscellaneous]],Table1[[#This Row],[Personal care and effects]])/2</f>
        <v>114.25</v>
      </c>
    </row>
    <row r="180" spans="1:33" hidden="1" x14ac:dyDescent="0.3">
      <c r="A180" t="s">
        <v>35</v>
      </c>
      <c r="B180">
        <v>2015</v>
      </c>
      <c r="C180" t="s">
        <v>43</v>
      </c>
      <c r="D180">
        <v>123.9</v>
      </c>
      <c r="E180">
        <v>131.80000000000001</v>
      </c>
      <c r="F180">
        <v>121.6</v>
      </c>
      <c r="G180">
        <v>128.19999999999999</v>
      </c>
      <c r="H180">
        <v>111.1</v>
      </c>
      <c r="I180">
        <v>132.80000000000001</v>
      </c>
      <c r="J180">
        <v>139.1</v>
      </c>
      <c r="K180">
        <v>137.4</v>
      </c>
      <c r="L180">
        <v>94.1</v>
      </c>
      <c r="M180">
        <v>125.5</v>
      </c>
      <c r="N180">
        <v>119.8</v>
      </c>
      <c r="O180">
        <v>130.9</v>
      </c>
      <c r="P180">
        <v>127.3</v>
      </c>
      <c r="Q180">
        <v>119</v>
      </c>
      <c r="R180">
        <v>119.8</v>
      </c>
      <c r="S180">
        <v>121.1</v>
      </c>
      <c r="T180">
        <v>118.5</v>
      </c>
      <c r="U180">
        <v>112.9</v>
      </c>
      <c r="V180">
        <v>116.9</v>
      </c>
      <c r="W180">
        <v>123.1</v>
      </c>
      <c r="X180">
        <v>112.8</v>
      </c>
      <c r="Y180">
        <v>117</v>
      </c>
      <c r="Z180">
        <v>123</v>
      </c>
      <c r="AA180" s="1">
        <f>SUM(Table1[[#This Row],[Cereals and products]:[Food and beverages]])/13</f>
        <v>124.88461538461539</v>
      </c>
      <c r="AB180" s="1">
        <f>SUM(Table1[[#This Row],[Fuel and light]])</f>
        <v>119.8</v>
      </c>
      <c r="AC180" s="1">
        <f>SUM(Table1[[#This Row],[Transport and communication]])</f>
        <v>112.9</v>
      </c>
      <c r="AD180" s="1">
        <f>SUM(Table1[[#This Row],[Housing]],Table1[[#This Row],[Household goods and services]])/2</f>
        <v>120.05</v>
      </c>
      <c r="AE180" s="1">
        <f>SUM(Table1[[#This Row],[Health]])</f>
        <v>118.5</v>
      </c>
      <c r="AF180" s="1">
        <f>SUM(Table1[[#This Row],[Recreation and amusement]],Table1[[#This Row],[Education]])/2</f>
        <v>120</v>
      </c>
      <c r="AG180" s="1">
        <f>SUM(Table1[[#This Row],[Miscellaneous]],Table1[[#This Row],[Personal care and effects]])/2</f>
        <v>114.9</v>
      </c>
    </row>
    <row r="181" spans="1:33" hidden="1" x14ac:dyDescent="0.3">
      <c r="A181" t="s">
        <v>33</v>
      </c>
      <c r="B181">
        <v>2015</v>
      </c>
      <c r="C181" t="s">
        <v>43</v>
      </c>
      <c r="D181">
        <v>124.1</v>
      </c>
      <c r="E181">
        <v>130.4</v>
      </c>
      <c r="F181">
        <v>122.1</v>
      </c>
      <c r="G181">
        <v>128.69999999999999</v>
      </c>
      <c r="H181">
        <v>114.1</v>
      </c>
      <c r="I181">
        <v>133.19999999999999</v>
      </c>
      <c r="J181">
        <v>135.19999999999999</v>
      </c>
      <c r="K181">
        <v>131.9</v>
      </c>
      <c r="L181">
        <v>96.3</v>
      </c>
      <c r="M181">
        <v>123</v>
      </c>
      <c r="N181">
        <v>121.1</v>
      </c>
      <c r="O181">
        <v>131.19999999999999</v>
      </c>
      <c r="P181">
        <v>126.6</v>
      </c>
      <c r="Q181">
        <f>AVERAGE(Q179:Q180)</f>
        <v>119</v>
      </c>
      <c r="R181">
        <v>122.6</v>
      </c>
      <c r="S181">
        <v>122.8</v>
      </c>
      <c r="T181">
        <v>120.4</v>
      </c>
      <c r="U181">
        <v>114.2</v>
      </c>
      <c r="V181">
        <v>117.9</v>
      </c>
      <c r="W181">
        <v>122</v>
      </c>
      <c r="X181">
        <v>113</v>
      </c>
      <c r="Y181">
        <v>117.9</v>
      </c>
      <c r="Z181">
        <v>124.1</v>
      </c>
      <c r="AA181" s="1">
        <f>SUM(Table1[[#This Row],[Cereals and products]:[Food and beverages]])/13</f>
        <v>124.45384615384614</v>
      </c>
      <c r="AB181" s="1">
        <f>SUM(Table1[[#This Row],[Fuel and light]])</f>
        <v>122.6</v>
      </c>
      <c r="AC181" s="1">
        <f>SUM(Table1[[#This Row],[Transport and communication]])</f>
        <v>114.2</v>
      </c>
      <c r="AD181" s="1">
        <f>SUM(Table1[[#This Row],[Housing]],Table1[[#This Row],[Household goods and services]])/2</f>
        <v>120.9</v>
      </c>
      <c r="AE181" s="1">
        <f>SUM(Table1[[#This Row],[Health]])</f>
        <v>120.4</v>
      </c>
      <c r="AF181" s="1">
        <f>SUM(Table1[[#This Row],[Recreation and amusement]],Table1[[#This Row],[Education]])/2</f>
        <v>119.95</v>
      </c>
      <c r="AG181" s="1">
        <f>SUM(Table1[[#This Row],[Miscellaneous]],Table1[[#This Row],[Personal care and effects]])/2</f>
        <v>115.45</v>
      </c>
    </row>
    <row r="182" spans="1:33" hidden="1" x14ac:dyDescent="0.3">
      <c r="A182" t="s">
        <v>33</v>
      </c>
      <c r="B182">
        <v>2014</v>
      </c>
      <c r="C182" t="s">
        <v>43</v>
      </c>
      <c r="D182">
        <v>120.7</v>
      </c>
      <c r="E182">
        <v>121.6</v>
      </c>
      <c r="F182">
        <v>116.1</v>
      </c>
      <c r="G182">
        <v>119.3</v>
      </c>
      <c r="H182">
        <v>110.3</v>
      </c>
      <c r="I182">
        <v>125.8</v>
      </c>
      <c r="J182">
        <v>129.30000000000001</v>
      </c>
      <c r="K182">
        <v>112.2</v>
      </c>
      <c r="L182">
        <v>103.6</v>
      </c>
      <c r="M182">
        <v>112.3</v>
      </c>
      <c r="N182">
        <v>114.9</v>
      </c>
      <c r="O182">
        <v>120.1</v>
      </c>
      <c r="P182">
        <v>119.5</v>
      </c>
      <c r="Q182">
        <f>AVERAGE(Q183:Q184)</f>
        <v>113.9</v>
      </c>
      <c r="R182">
        <v>114.4</v>
      </c>
      <c r="S182">
        <v>114.9</v>
      </c>
      <c r="T182">
        <v>112.8</v>
      </c>
      <c r="U182">
        <v>112.2</v>
      </c>
      <c r="V182">
        <v>111.4</v>
      </c>
      <c r="W182">
        <v>114.3</v>
      </c>
      <c r="X182">
        <v>108</v>
      </c>
      <c r="Y182">
        <v>112.3</v>
      </c>
      <c r="Z182">
        <v>117</v>
      </c>
      <c r="AA182" s="1">
        <f>SUM(Table1[[#This Row],[Cereals and products]:[Food and beverages]])/13</f>
        <v>117.36153846153844</v>
      </c>
      <c r="AB182" s="1">
        <f>SUM(Table1[[#This Row],[Fuel and light]])</f>
        <v>114.4</v>
      </c>
      <c r="AC182" s="1">
        <f>SUM(Table1[[#This Row],[Transport and communication]])</f>
        <v>112.2</v>
      </c>
      <c r="AD182" s="1">
        <f>SUM(Table1[[#This Row],[Housing]],Table1[[#This Row],[Household goods and services]])/2</f>
        <v>114.4</v>
      </c>
      <c r="AE182" s="1">
        <f>SUM(Table1[[#This Row],[Health]])</f>
        <v>112.8</v>
      </c>
      <c r="AF182" s="1">
        <f>SUM(Table1[[#This Row],[Recreation and amusement]],Table1[[#This Row],[Education]])/2</f>
        <v>112.85</v>
      </c>
      <c r="AG182" s="1">
        <f>SUM(Table1[[#This Row],[Miscellaneous]],Table1[[#This Row],[Personal care and effects]])/2</f>
        <v>110.15</v>
      </c>
    </row>
    <row r="183" spans="1:33" hidden="1" x14ac:dyDescent="0.3">
      <c r="A183" t="s">
        <v>35</v>
      </c>
      <c r="B183">
        <v>2014</v>
      </c>
      <c r="C183" t="s">
        <v>43</v>
      </c>
      <c r="D183">
        <v>121.5</v>
      </c>
      <c r="E183">
        <v>123.1</v>
      </c>
      <c r="F183">
        <v>115.8</v>
      </c>
      <c r="G183">
        <v>119.7</v>
      </c>
      <c r="H183">
        <v>107.8</v>
      </c>
      <c r="I183">
        <v>128.30000000000001</v>
      </c>
      <c r="J183">
        <v>132.1</v>
      </c>
      <c r="K183">
        <v>112.4</v>
      </c>
      <c r="L183">
        <v>102.9</v>
      </c>
      <c r="M183">
        <v>114.3</v>
      </c>
      <c r="N183">
        <v>114.2</v>
      </c>
      <c r="O183">
        <v>121.2</v>
      </c>
      <c r="P183">
        <v>120.4</v>
      </c>
      <c r="Q183">
        <v>113.9</v>
      </c>
      <c r="R183">
        <v>113.2</v>
      </c>
      <c r="S183">
        <v>114.6</v>
      </c>
      <c r="T183">
        <v>112.3</v>
      </c>
      <c r="U183">
        <v>111.8</v>
      </c>
      <c r="V183">
        <v>111.6</v>
      </c>
      <c r="W183">
        <v>114.8</v>
      </c>
      <c r="X183">
        <v>108.3</v>
      </c>
      <c r="Y183">
        <v>112.3</v>
      </c>
      <c r="Z183">
        <v>116.7</v>
      </c>
      <c r="AA183" s="1">
        <f>SUM(Table1[[#This Row],[Cereals and products]:[Food and beverages]])/13</f>
        <v>117.9769230769231</v>
      </c>
      <c r="AB183" s="1">
        <f>SUM(Table1[[#This Row],[Fuel and light]])</f>
        <v>113.2</v>
      </c>
      <c r="AC183" s="1">
        <f>SUM(Table1[[#This Row],[Transport and communication]])</f>
        <v>111.8</v>
      </c>
      <c r="AD183" s="1">
        <f>SUM(Table1[[#This Row],[Housing]],Table1[[#This Row],[Household goods and services]])/2</f>
        <v>114.25</v>
      </c>
      <c r="AE183" s="1">
        <f>SUM(Table1[[#This Row],[Health]])</f>
        <v>112.3</v>
      </c>
      <c r="AF183" s="1">
        <f>SUM(Table1[[#This Row],[Recreation and amusement]],Table1[[#This Row],[Education]])/2</f>
        <v>113.19999999999999</v>
      </c>
      <c r="AG183" s="1">
        <f>SUM(Table1[[#This Row],[Miscellaneous]],Table1[[#This Row],[Personal care and effects]])/2</f>
        <v>110.3</v>
      </c>
    </row>
    <row r="184" spans="1:33" hidden="1" x14ac:dyDescent="0.3">
      <c r="A184" t="s">
        <v>36</v>
      </c>
      <c r="B184">
        <v>2014</v>
      </c>
      <c r="C184" t="s">
        <v>43</v>
      </c>
      <c r="D184">
        <v>123.1</v>
      </c>
      <c r="E184">
        <v>125.9</v>
      </c>
      <c r="F184">
        <v>115.4</v>
      </c>
      <c r="G184">
        <v>120.4</v>
      </c>
      <c r="H184">
        <v>103.4</v>
      </c>
      <c r="I184">
        <v>131.19999999999999</v>
      </c>
      <c r="J184">
        <v>137.5</v>
      </c>
      <c r="K184">
        <v>112.8</v>
      </c>
      <c r="L184">
        <v>101.4</v>
      </c>
      <c r="M184">
        <v>118.3</v>
      </c>
      <c r="N184">
        <v>113.2</v>
      </c>
      <c r="O184">
        <v>122.4</v>
      </c>
      <c r="P184">
        <v>122</v>
      </c>
      <c r="Q184">
        <v>113.9</v>
      </c>
      <c r="R184">
        <v>111.2</v>
      </c>
      <c r="S184">
        <v>114.3</v>
      </c>
      <c r="T184">
        <v>111.4</v>
      </c>
      <c r="U184">
        <v>111.5</v>
      </c>
      <c r="V184">
        <v>111.8</v>
      </c>
      <c r="W184">
        <v>115.1</v>
      </c>
      <c r="X184">
        <v>108.7</v>
      </c>
      <c r="Y184">
        <v>112.2</v>
      </c>
      <c r="Z184">
        <v>116.4</v>
      </c>
      <c r="AA184" s="1">
        <f>SUM(Table1[[#This Row],[Cereals and products]:[Food and beverages]])/13</f>
        <v>119</v>
      </c>
      <c r="AB184" s="1">
        <f>SUM(Table1[[#This Row],[Fuel and light]])</f>
        <v>111.2</v>
      </c>
      <c r="AC184" s="1">
        <f>SUM(Table1[[#This Row],[Transport and communication]])</f>
        <v>111.5</v>
      </c>
      <c r="AD184" s="1">
        <f>SUM(Table1[[#This Row],[Housing]],Table1[[#This Row],[Household goods and services]])/2</f>
        <v>114.1</v>
      </c>
      <c r="AE184" s="1">
        <f>SUM(Table1[[#This Row],[Health]])</f>
        <v>111.4</v>
      </c>
      <c r="AF184" s="1">
        <f>SUM(Table1[[#This Row],[Recreation and amusement]],Table1[[#This Row],[Education]])/2</f>
        <v>113.44999999999999</v>
      </c>
      <c r="AG184" s="1">
        <f>SUM(Table1[[#This Row],[Miscellaneous]],Table1[[#This Row],[Personal care and effects]])/2</f>
        <v>110.45</v>
      </c>
    </row>
    <row r="185" spans="1:33" hidden="1" x14ac:dyDescent="0.3">
      <c r="A185" t="s">
        <v>33</v>
      </c>
      <c r="B185">
        <v>2013</v>
      </c>
      <c r="C185" t="s">
        <v>43</v>
      </c>
      <c r="D185">
        <v>112.3</v>
      </c>
      <c r="E185">
        <v>112.1</v>
      </c>
      <c r="F185">
        <v>108.1</v>
      </c>
      <c r="G185">
        <v>108.3</v>
      </c>
      <c r="H185">
        <v>105.9</v>
      </c>
      <c r="I185">
        <v>109.2</v>
      </c>
      <c r="J185">
        <v>118</v>
      </c>
      <c r="K185">
        <v>106.8</v>
      </c>
      <c r="L185">
        <v>104.1</v>
      </c>
      <c r="M185">
        <v>105.4</v>
      </c>
      <c r="N185">
        <v>108.2</v>
      </c>
      <c r="O185">
        <v>111</v>
      </c>
      <c r="P185">
        <v>110.6</v>
      </c>
      <c r="Q185">
        <f>AVERAGE(Q186:Q187)</f>
        <v>106.6</v>
      </c>
      <c r="R185">
        <v>108.5</v>
      </c>
      <c r="S185">
        <v>107.5</v>
      </c>
      <c r="T185">
        <v>106.3</v>
      </c>
      <c r="U185">
        <v>105</v>
      </c>
      <c r="V185">
        <v>105.6</v>
      </c>
      <c r="W185">
        <v>106.5</v>
      </c>
      <c r="X185">
        <v>102.5</v>
      </c>
      <c r="Y185">
        <v>105.5</v>
      </c>
      <c r="Z185">
        <v>108.9</v>
      </c>
      <c r="AA185" s="1">
        <f>SUM(Table1[[#This Row],[Cereals and products]:[Food and beverages]])/13</f>
        <v>109.23076923076923</v>
      </c>
      <c r="AB185" s="1">
        <f>SUM(Table1[[#This Row],[Fuel and light]])</f>
        <v>108.5</v>
      </c>
      <c r="AC185" s="1">
        <f>SUM(Table1[[#This Row],[Transport and communication]])</f>
        <v>105</v>
      </c>
      <c r="AD185" s="1">
        <f>SUM(Table1[[#This Row],[Housing]],Table1[[#This Row],[Household goods and services]])/2</f>
        <v>107.05</v>
      </c>
      <c r="AE185" s="1">
        <f>SUM(Table1[[#This Row],[Health]])</f>
        <v>106.3</v>
      </c>
      <c r="AF185" s="1">
        <f>SUM(Table1[[#This Row],[Recreation and amusement]],Table1[[#This Row],[Education]])/2</f>
        <v>106.05</v>
      </c>
      <c r="AG185" s="1">
        <f>SUM(Table1[[#This Row],[Miscellaneous]],Table1[[#This Row],[Personal care and effects]])/2</f>
        <v>104</v>
      </c>
    </row>
    <row r="186" spans="1:33" hidden="1" x14ac:dyDescent="0.3">
      <c r="A186" t="s">
        <v>35</v>
      </c>
      <c r="B186">
        <v>2013</v>
      </c>
      <c r="C186" t="s">
        <v>43</v>
      </c>
      <c r="D186">
        <v>113.8</v>
      </c>
      <c r="E186">
        <v>114.9</v>
      </c>
      <c r="F186">
        <v>109.8</v>
      </c>
      <c r="G186">
        <v>107.9</v>
      </c>
      <c r="H186">
        <v>104.2</v>
      </c>
      <c r="I186">
        <v>110.7</v>
      </c>
      <c r="J186">
        <v>126.7</v>
      </c>
      <c r="K186">
        <v>106.3</v>
      </c>
      <c r="L186">
        <v>103.2</v>
      </c>
      <c r="M186">
        <v>105.7</v>
      </c>
      <c r="N186">
        <v>109</v>
      </c>
      <c r="O186">
        <v>111.6</v>
      </c>
      <c r="P186">
        <v>112.2</v>
      </c>
      <c r="Q186">
        <v>106.6</v>
      </c>
      <c r="R186">
        <v>108.3</v>
      </c>
      <c r="S186">
        <v>107.6</v>
      </c>
      <c r="T186">
        <v>106.4</v>
      </c>
      <c r="U186">
        <v>105.1</v>
      </c>
      <c r="V186">
        <v>105.4</v>
      </c>
      <c r="W186">
        <v>107.4</v>
      </c>
      <c r="X186">
        <v>102.8</v>
      </c>
      <c r="Y186">
        <v>105.8</v>
      </c>
      <c r="Z186">
        <v>109.3</v>
      </c>
      <c r="AA186" s="1">
        <f>SUM(Table1[[#This Row],[Cereals and products]:[Food and beverages]])/13</f>
        <v>110.46153846153847</v>
      </c>
      <c r="AB186" s="1">
        <f>SUM(Table1[[#This Row],[Fuel and light]])</f>
        <v>108.3</v>
      </c>
      <c r="AC186" s="1">
        <f>SUM(Table1[[#This Row],[Transport and communication]])</f>
        <v>105.1</v>
      </c>
      <c r="AD186" s="1">
        <f>SUM(Table1[[#This Row],[Housing]],Table1[[#This Row],[Household goods and services]])/2</f>
        <v>107.1</v>
      </c>
      <c r="AE186" s="1">
        <f>SUM(Table1[[#This Row],[Health]])</f>
        <v>106.4</v>
      </c>
      <c r="AF186" s="1">
        <f>SUM(Table1[[#This Row],[Recreation and amusement]],Table1[[#This Row],[Education]])/2</f>
        <v>106.4</v>
      </c>
      <c r="AG186" s="1">
        <f>SUM(Table1[[#This Row],[Miscellaneous]],Table1[[#This Row],[Personal care and effects]])/2</f>
        <v>104.3</v>
      </c>
    </row>
    <row r="187" spans="1:33" hidden="1" x14ac:dyDescent="0.3">
      <c r="A187" t="s">
        <v>36</v>
      </c>
      <c r="B187">
        <v>2013</v>
      </c>
      <c r="C187" t="s">
        <v>43</v>
      </c>
      <c r="D187">
        <v>117</v>
      </c>
      <c r="E187">
        <v>120.1</v>
      </c>
      <c r="F187">
        <v>112.5</v>
      </c>
      <c r="G187">
        <v>107.3</v>
      </c>
      <c r="H187">
        <v>101.3</v>
      </c>
      <c r="I187">
        <v>112.4</v>
      </c>
      <c r="J187">
        <v>143.6</v>
      </c>
      <c r="K187">
        <v>105.4</v>
      </c>
      <c r="L187">
        <v>101.4</v>
      </c>
      <c r="M187">
        <v>106.4</v>
      </c>
      <c r="N187">
        <v>110</v>
      </c>
      <c r="O187">
        <v>112.2</v>
      </c>
      <c r="P187">
        <v>115</v>
      </c>
      <c r="Q187">
        <v>106.6</v>
      </c>
      <c r="R187">
        <v>108</v>
      </c>
      <c r="S187">
        <v>107.7</v>
      </c>
      <c r="T187">
        <v>106.5</v>
      </c>
      <c r="U187">
        <v>105.2</v>
      </c>
      <c r="V187">
        <v>105.2</v>
      </c>
      <c r="W187">
        <v>108.1</v>
      </c>
      <c r="X187">
        <v>103.3</v>
      </c>
      <c r="Y187">
        <v>106.1</v>
      </c>
      <c r="Z187">
        <v>109.7</v>
      </c>
      <c r="AA187" s="1">
        <f>SUM(Table1[[#This Row],[Cereals and products]:[Food and beverages]])/13</f>
        <v>112.66153846153847</v>
      </c>
      <c r="AB187" s="1">
        <f>SUM(Table1[[#This Row],[Fuel and light]])</f>
        <v>108</v>
      </c>
      <c r="AC187" s="1">
        <f>SUM(Table1[[#This Row],[Transport and communication]])</f>
        <v>105.2</v>
      </c>
      <c r="AD187" s="1">
        <f>SUM(Table1[[#This Row],[Housing]],Table1[[#This Row],[Household goods and services]])/2</f>
        <v>107.15</v>
      </c>
      <c r="AE187" s="1">
        <f>SUM(Table1[[#This Row],[Health]])</f>
        <v>106.5</v>
      </c>
      <c r="AF187" s="1">
        <f>SUM(Table1[[#This Row],[Recreation and amusement]],Table1[[#This Row],[Education]])/2</f>
        <v>106.65</v>
      </c>
      <c r="AG187" s="1">
        <f>SUM(Table1[[#This Row],[Miscellaneous]],Table1[[#This Row],[Personal care and effects]])/2</f>
        <v>104.69999999999999</v>
      </c>
    </row>
    <row r="188" spans="1:33" hidden="1" x14ac:dyDescent="0.3">
      <c r="A188" t="s">
        <v>33</v>
      </c>
      <c r="B188">
        <v>2022</v>
      </c>
      <c r="C188" t="s">
        <v>42</v>
      </c>
      <c r="D188">
        <v>155.19999999999999</v>
      </c>
      <c r="E188">
        <v>210.8</v>
      </c>
      <c r="F188">
        <v>174.3</v>
      </c>
      <c r="G188">
        <v>166.3</v>
      </c>
      <c r="H188">
        <v>202.2</v>
      </c>
      <c r="I188">
        <v>169.6</v>
      </c>
      <c r="J188">
        <v>168.6</v>
      </c>
      <c r="K188">
        <v>164.4</v>
      </c>
      <c r="L188">
        <v>119.2</v>
      </c>
      <c r="M188">
        <v>191.8</v>
      </c>
      <c r="N188">
        <v>174.5</v>
      </c>
      <c r="O188">
        <v>183.1</v>
      </c>
      <c r="P188">
        <v>172.5</v>
      </c>
      <c r="Q188">
        <f>AVERAGE(Q189:Q190)</f>
        <v>167.8</v>
      </c>
      <c r="R188">
        <v>179.6</v>
      </c>
      <c r="S188">
        <v>171.3</v>
      </c>
      <c r="T188">
        <v>178.8</v>
      </c>
      <c r="U188">
        <v>166.3</v>
      </c>
      <c r="V188">
        <v>168.6</v>
      </c>
      <c r="W188">
        <v>174.7</v>
      </c>
      <c r="X188">
        <v>169.7</v>
      </c>
      <c r="Y188">
        <v>171.8</v>
      </c>
      <c r="Z188">
        <v>174.3</v>
      </c>
      <c r="AA188" s="1">
        <f>SUM(Table1[[#This Row],[Cereals and products]:[Food and beverages]])/13</f>
        <v>173.26923076923077</v>
      </c>
      <c r="AB188" s="1">
        <f>SUM(Table1[[#This Row],[Fuel and light]])</f>
        <v>179.6</v>
      </c>
      <c r="AC188" s="1">
        <f>SUM(Table1[[#This Row],[Transport and communication]])</f>
        <v>166.3</v>
      </c>
      <c r="AD188" s="1">
        <f>SUM(Table1[[#This Row],[Housing]],Table1[[#This Row],[Household goods and services]])/2</f>
        <v>169.55</v>
      </c>
      <c r="AE188" s="1">
        <f>SUM(Table1[[#This Row],[Health]])</f>
        <v>178.8</v>
      </c>
      <c r="AF188" s="1">
        <f>SUM(Table1[[#This Row],[Recreation and amusement]],Table1[[#This Row],[Education]])/2</f>
        <v>171.64999999999998</v>
      </c>
      <c r="AG188" s="1">
        <f>SUM(Table1[[#This Row],[Miscellaneous]],Table1[[#This Row],[Personal care and effects]])/2</f>
        <v>170.75</v>
      </c>
    </row>
    <row r="189" spans="1:33" hidden="1" x14ac:dyDescent="0.3">
      <c r="A189" t="s">
        <v>35</v>
      </c>
      <c r="B189">
        <v>2022</v>
      </c>
      <c r="C189" t="s">
        <v>42</v>
      </c>
      <c r="D189">
        <v>156.5</v>
      </c>
      <c r="E189">
        <v>213</v>
      </c>
      <c r="F189">
        <v>175.2</v>
      </c>
      <c r="G189">
        <v>166.6</v>
      </c>
      <c r="H189">
        <v>195.8</v>
      </c>
      <c r="I189">
        <v>174.2</v>
      </c>
      <c r="J189">
        <v>182.1</v>
      </c>
      <c r="K189">
        <v>164.3</v>
      </c>
      <c r="L189">
        <v>120</v>
      </c>
      <c r="M189">
        <v>190</v>
      </c>
      <c r="N189">
        <v>168.4</v>
      </c>
      <c r="O189">
        <v>185.2</v>
      </c>
      <c r="P189">
        <v>175</v>
      </c>
      <c r="Q189">
        <v>167.8</v>
      </c>
      <c r="R189">
        <v>179.6</v>
      </c>
      <c r="S189">
        <v>167.4</v>
      </c>
      <c r="T189">
        <v>176.1</v>
      </c>
      <c r="U189">
        <v>161.6</v>
      </c>
      <c r="V189">
        <v>166.3</v>
      </c>
      <c r="W189">
        <v>171.4</v>
      </c>
      <c r="X189">
        <v>169.7</v>
      </c>
      <c r="Y189">
        <v>168.4</v>
      </c>
      <c r="Z189">
        <v>173.4</v>
      </c>
      <c r="AA189" s="1">
        <f>SUM(Table1[[#This Row],[Cereals and products]:[Food and beverages]])/13</f>
        <v>174.33076923076925</v>
      </c>
      <c r="AB189" s="1">
        <f>SUM(Table1[[#This Row],[Fuel and light]])</f>
        <v>179.6</v>
      </c>
      <c r="AC189" s="1">
        <f>SUM(Table1[[#This Row],[Transport and communication]])</f>
        <v>161.6</v>
      </c>
      <c r="AD189" s="1">
        <f>SUM(Table1[[#This Row],[Housing]],Table1[[#This Row],[Household goods and services]])/2</f>
        <v>167.60000000000002</v>
      </c>
      <c r="AE189" s="1">
        <f>SUM(Table1[[#This Row],[Health]])</f>
        <v>176.1</v>
      </c>
      <c r="AF189" s="1">
        <f>SUM(Table1[[#This Row],[Recreation and amusement]],Table1[[#This Row],[Education]])/2</f>
        <v>168.85000000000002</v>
      </c>
      <c r="AG189" s="1">
        <f>SUM(Table1[[#This Row],[Miscellaneous]],Table1[[#This Row],[Personal care and effects]])/2</f>
        <v>169.05</v>
      </c>
    </row>
    <row r="190" spans="1:33" hidden="1" x14ac:dyDescent="0.3">
      <c r="A190" t="s">
        <v>36</v>
      </c>
      <c r="B190">
        <v>2022</v>
      </c>
      <c r="C190" t="s">
        <v>42</v>
      </c>
      <c r="D190">
        <v>159.30000000000001</v>
      </c>
      <c r="E190">
        <v>217.1</v>
      </c>
      <c r="F190">
        <v>176.6</v>
      </c>
      <c r="G190">
        <v>167.1</v>
      </c>
      <c r="H190">
        <v>184.8</v>
      </c>
      <c r="I190">
        <v>179.5</v>
      </c>
      <c r="J190">
        <v>208.5</v>
      </c>
      <c r="K190">
        <v>164</v>
      </c>
      <c r="L190">
        <v>121.5</v>
      </c>
      <c r="M190">
        <v>186.3</v>
      </c>
      <c r="N190">
        <v>159.80000000000001</v>
      </c>
      <c r="O190">
        <v>187.7</v>
      </c>
      <c r="P190">
        <v>179.4</v>
      </c>
      <c r="Q190">
        <v>167.8</v>
      </c>
      <c r="R190">
        <v>179.5</v>
      </c>
      <c r="S190">
        <v>163.1</v>
      </c>
      <c r="T190">
        <v>171.7</v>
      </c>
      <c r="U190">
        <v>157.4</v>
      </c>
      <c r="V190">
        <v>164.6</v>
      </c>
      <c r="W190">
        <v>169.1</v>
      </c>
      <c r="X190">
        <v>169.8</v>
      </c>
      <c r="Y190">
        <v>164.7</v>
      </c>
      <c r="Z190">
        <v>172.3</v>
      </c>
      <c r="AA190" s="1">
        <f>SUM(Table1[[#This Row],[Cereals and products]:[Food and beverages]])/13</f>
        <v>176.27692307692308</v>
      </c>
      <c r="AB190" s="1">
        <f>SUM(Table1[[#This Row],[Fuel and light]])</f>
        <v>179.5</v>
      </c>
      <c r="AC190" s="1">
        <f>SUM(Table1[[#This Row],[Transport and communication]])</f>
        <v>157.4</v>
      </c>
      <c r="AD190" s="1">
        <f>SUM(Table1[[#This Row],[Housing]],Table1[[#This Row],[Household goods and services]])/2</f>
        <v>165.45</v>
      </c>
      <c r="AE190" s="1">
        <f>SUM(Table1[[#This Row],[Health]])</f>
        <v>171.7</v>
      </c>
      <c r="AF190" s="1">
        <f>SUM(Table1[[#This Row],[Recreation and amusement]],Table1[[#This Row],[Education]])/2</f>
        <v>166.85</v>
      </c>
      <c r="AG190" s="1">
        <f>SUM(Table1[[#This Row],[Miscellaneous]],Table1[[#This Row],[Personal care and effects]])/2</f>
        <v>167.25</v>
      </c>
    </row>
    <row r="191" spans="1:33" hidden="1" x14ac:dyDescent="0.3">
      <c r="A191" t="s">
        <v>33</v>
      </c>
      <c r="B191">
        <v>2020</v>
      </c>
      <c r="C191" t="s">
        <v>46</v>
      </c>
      <c r="D191">
        <v>144.4</v>
      </c>
      <c r="E191">
        <v>166.8</v>
      </c>
      <c r="F191">
        <v>147.6</v>
      </c>
      <c r="G191">
        <v>151.69999999999999</v>
      </c>
      <c r="H191">
        <v>133.30000000000001</v>
      </c>
      <c r="I191">
        <v>141.80000000000001</v>
      </c>
      <c r="J191">
        <v>152.30000000000001</v>
      </c>
      <c r="K191">
        <v>141.80000000000001</v>
      </c>
      <c r="L191">
        <v>112.6</v>
      </c>
      <c r="M191">
        <v>154</v>
      </c>
      <c r="N191">
        <v>140.1</v>
      </c>
      <c r="O191">
        <v>160</v>
      </c>
      <c r="P191">
        <v>148.19999999999999</v>
      </c>
      <c r="Q191">
        <f>AVERAGE(Q192:Q193)</f>
        <v>154.5</v>
      </c>
      <c r="R191">
        <v>153.4</v>
      </c>
      <c r="S191">
        <v>151.5</v>
      </c>
      <c r="T191">
        <v>156.69999999999999</v>
      </c>
      <c r="U191">
        <v>135.80000000000001</v>
      </c>
      <c r="V191">
        <v>151.19999999999999</v>
      </c>
      <c r="W191">
        <v>161.19999999999999</v>
      </c>
      <c r="X191">
        <v>145.1</v>
      </c>
      <c r="Y191">
        <v>148.6</v>
      </c>
      <c r="Z191">
        <v>149.80000000000001</v>
      </c>
      <c r="AA191" s="1">
        <f>SUM(Table1[[#This Row],[Cereals and products]:[Food and beverages]])/13</f>
        <v>145.73846153846151</v>
      </c>
      <c r="AB191" s="1">
        <f>SUM(Table1[[#This Row],[Fuel and light]])</f>
        <v>153.4</v>
      </c>
      <c r="AC191" s="1">
        <f>SUM(Table1[[#This Row],[Transport and communication]])</f>
        <v>135.80000000000001</v>
      </c>
      <c r="AD191" s="1">
        <f>SUM(Table1[[#This Row],[Housing]],Table1[[#This Row],[Household goods and services]])/2</f>
        <v>153</v>
      </c>
      <c r="AE191" s="1">
        <f>SUM(Table1[[#This Row],[Health]])</f>
        <v>156.69999999999999</v>
      </c>
      <c r="AF191" s="1">
        <f>SUM(Table1[[#This Row],[Recreation and amusement]],Table1[[#This Row],[Education]])/2</f>
        <v>156.19999999999999</v>
      </c>
      <c r="AG191" s="1">
        <f>SUM(Table1[[#This Row],[Miscellaneous]],Table1[[#This Row],[Personal care and effects]])/2</f>
        <v>146.85</v>
      </c>
    </row>
    <row r="192" spans="1:33" hidden="1" x14ac:dyDescent="0.3">
      <c r="A192" t="s">
        <v>35</v>
      </c>
      <c r="B192">
        <v>2020</v>
      </c>
      <c r="C192" t="s">
        <v>46</v>
      </c>
      <c r="D192">
        <v>145.1</v>
      </c>
      <c r="E192">
        <v>167</v>
      </c>
      <c r="F192">
        <v>148.1</v>
      </c>
      <c r="G192">
        <v>151.5</v>
      </c>
      <c r="H192">
        <v>131.19999999999999</v>
      </c>
      <c r="I192">
        <v>142.5</v>
      </c>
      <c r="J192">
        <v>157.30000000000001</v>
      </c>
      <c r="K192">
        <v>141.1</v>
      </c>
      <c r="L192">
        <v>113.2</v>
      </c>
      <c r="M192">
        <v>153.19999999999999</v>
      </c>
      <c r="N192">
        <v>136.69999999999999</v>
      </c>
      <c r="O192">
        <v>159.6</v>
      </c>
      <c r="P192">
        <v>148.9</v>
      </c>
      <c r="Q192">
        <v>154.5</v>
      </c>
      <c r="R192">
        <v>148.9</v>
      </c>
      <c r="S192">
        <v>146.4</v>
      </c>
      <c r="T192">
        <v>152.30000000000001</v>
      </c>
      <c r="U192">
        <v>129.9</v>
      </c>
      <c r="V192">
        <v>143.69999999999999</v>
      </c>
      <c r="W192">
        <v>156.1</v>
      </c>
      <c r="X192">
        <v>145.19999999999999</v>
      </c>
      <c r="Y192">
        <v>143.80000000000001</v>
      </c>
      <c r="Z192">
        <v>148.6</v>
      </c>
      <c r="AA192" s="1">
        <f>SUM(Table1[[#This Row],[Cereals and products]:[Food and beverages]])/13</f>
        <v>145.80000000000001</v>
      </c>
      <c r="AB192" s="1">
        <f>SUM(Table1[[#This Row],[Fuel and light]])</f>
        <v>148.9</v>
      </c>
      <c r="AC192" s="1">
        <f>SUM(Table1[[#This Row],[Transport and communication]])</f>
        <v>129.9</v>
      </c>
      <c r="AD192" s="1">
        <f>SUM(Table1[[#This Row],[Housing]],Table1[[#This Row],[Household goods and services]])/2</f>
        <v>150.44999999999999</v>
      </c>
      <c r="AE192" s="1">
        <f>SUM(Table1[[#This Row],[Health]])</f>
        <v>152.30000000000001</v>
      </c>
      <c r="AF192" s="1">
        <f>SUM(Table1[[#This Row],[Recreation and amusement]],Table1[[#This Row],[Education]])/2</f>
        <v>149.89999999999998</v>
      </c>
      <c r="AG192" s="1">
        <f>SUM(Table1[[#This Row],[Miscellaneous]],Table1[[#This Row],[Personal care and effects]])/2</f>
        <v>144.5</v>
      </c>
    </row>
    <row r="193" spans="1:33" hidden="1" x14ac:dyDescent="0.3">
      <c r="A193" t="s">
        <v>36</v>
      </c>
      <c r="B193">
        <v>2020</v>
      </c>
      <c r="C193" t="s">
        <v>46</v>
      </c>
      <c r="D193">
        <v>146.5</v>
      </c>
      <c r="E193">
        <v>167.5</v>
      </c>
      <c r="F193">
        <v>148.9</v>
      </c>
      <c r="G193">
        <v>151.1</v>
      </c>
      <c r="H193">
        <v>127.5</v>
      </c>
      <c r="I193">
        <v>143.30000000000001</v>
      </c>
      <c r="J193">
        <v>167</v>
      </c>
      <c r="K193">
        <v>139.69999999999999</v>
      </c>
      <c r="L193">
        <v>114.4</v>
      </c>
      <c r="M193">
        <v>151.5</v>
      </c>
      <c r="N193">
        <v>131.9</v>
      </c>
      <c r="O193">
        <v>159.1</v>
      </c>
      <c r="P193">
        <v>150.1</v>
      </c>
      <c r="Q193">
        <v>154.5</v>
      </c>
      <c r="R193">
        <v>141.4</v>
      </c>
      <c r="S193">
        <v>140.80000000000001</v>
      </c>
      <c r="T193">
        <v>145</v>
      </c>
      <c r="U193">
        <v>124.6</v>
      </c>
      <c r="V193">
        <v>137.9</v>
      </c>
      <c r="W193">
        <v>152.5</v>
      </c>
      <c r="X193">
        <v>145.30000000000001</v>
      </c>
      <c r="Y193">
        <v>138.69999999999999</v>
      </c>
      <c r="Z193">
        <v>147.30000000000001</v>
      </c>
      <c r="AA193" s="1">
        <f>SUM(Table1[[#This Row],[Cereals and products]:[Food and beverages]])/13</f>
        <v>146.03846153846155</v>
      </c>
      <c r="AB193" s="1">
        <f>SUM(Table1[[#This Row],[Fuel and light]])</f>
        <v>141.4</v>
      </c>
      <c r="AC193" s="1">
        <f>SUM(Table1[[#This Row],[Transport and communication]])</f>
        <v>124.6</v>
      </c>
      <c r="AD193" s="1">
        <f>SUM(Table1[[#This Row],[Housing]],Table1[[#This Row],[Household goods and services]])/2</f>
        <v>147.65</v>
      </c>
      <c r="AE193" s="1">
        <f>SUM(Table1[[#This Row],[Health]])</f>
        <v>145</v>
      </c>
      <c r="AF193" s="1">
        <f>SUM(Table1[[#This Row],[Recreation and amusement]],Table1[[#This Row],[Education]])/2</f>
        <v>145.19999999999999</v>
      </c>
      <c r="AG193" s="1">
        <f>SUM(Table1[[#This Row],[Miscellaneous]],Table1[[#This Row],[Personal care and effects]])/2</f>
        <v>142</v>
      </c>
    </row>
    <row r="194" spans="1:33" hidden="1" x14ac:dyDescent="0.3">
      <c r="A194" t="s">
        <v>33</v>
      </c>
      <c r="B194">
        <v>2020</v>
      </c>
      <c r="C194" t="s">
        <v>47</v>
      </c>
      <c r="D194">
        <v>139.35</v>
      </c>
      <c r="E194">
        <v>157.6</v>
      </c>
      <c r="F194">
        <v>137.15</v>
      </c>
      <c r="G194">
        <v>142.5</v>
      </c>
      <c r="H194">
        <v>120.3</v>
      </c>
      <c r="I194">
        <v>148.1</v>
      </c>
      <c r="J194">
        <v>152.30000000000001</v>
      </c>
      <c r="K194">
        <v>124.7</v>
      </c>
      <c r="L194">
        <v>110.6</v>
      </c>
      <c r="M194">
        <v>140.44999999999999</v>
      </c>
      <c r="N194">
        <v>131.5</v>
      </c>
      <c r="O194">
        <v>155</v>
      </c>
      <c r="P194">
        <v>142.4</v>
      </c>
      <c r="Q194">
        <v>150.1</v>
      </c>
      <c r="R194" s="1">
        <f t="shared" ref="R194:Z196" si="0">(R191+R192+R193+R197+R198+R199)/6</f>
        <v>145.35000000000002</v>
      </c>
      <c r="S194" s="1">
        <f t="shared" si="0"/>
        <v>147.63333333333335</v>
      </c>
      <c r="T194" s="1">
        <f t="shared" si="0"/>
        <v>153.93333333333331</v>
      </c>
      <c r="U194" s="1">
        <f t="shared" si="0"/>
        <v>135.33333333333334</v>
      </c>
      <c r="V194" s="1">
        <f t="shared" si="0"/>
        <v>146.53333333333333</v>
      </c>
      <c r="W194" s="1">
        <f t="shared" si="0"/>
        <v>157.73333333333332</v>
      </c>
      <c r="X194" s="1">
        <f t="shared" si="0"/>
        <v>151.1</v>
      </c>
      <c r="Y194" s="1">
        <f t="shared" si="0"/>
        <v>147.15</v>
      </c>
      <c r="Z194" s="1">
        <f t="shared" si="0"/>
        <v>153.43333333333331</v>
      </c>
      <c r="AA194" s="1">
        <f>SUM(Table1[[#This Row],[Cereals and products]:[Food and beverages]])/13</f>
        <v>138.61153846153846</v>
      </c>
      <c r="AB194" s="1">
        <f>SUM(Table1[[#This Row],[Fuel and light]])</f>
        <v>145.35000000000002</v>
      </c>
      <c r="AC194" s="1">
        <f>SUM(Table1[[#This Row],[Transport and communication]])</f>
        <v>135.33333333333334</v>
      </c>
      <c r="AD194" s="1">
        <f>SUM(Table1[[#This Row],[Housing]],Table1[[#This Row],[Household goods and services]])/2</f>
        <v>148.86666666666667</v>
      </c>
      <c r="AE194" s="1">
        <f>SUM(Table1[[#This Row],[Health]])</f>
        <v>153.93333333333331</v>
      </c>
      <c r="AF194" s="1">
        <f>SUM(Table1[[#This Row],[Recreation and amusement]],Table1[[#This Row],[Education]])/2</f>
        <v>152.13333333333333</v>
      </c>
      <c r="AG194" s="1">
        <f>SUM(Table1[[#This Row],[Miscellaneous]],Table1[[#This Row],[Personal care and effects]])/2</f>
        <v>149.125</v>
      </c>
    </row>
    <row r="195" spans="1:33" hidden="1" x14ac:dyDescent="0.3">
      <c r="A195" t="s">
        <v>36</v>
      </c>
      <c r="B195">
        <v>2020</v>
      </c>
      <c r="C195" t="s">
        <v>47</v>
      </c>
      <c r="D195">
        <v>139.875</v>
      </c>
      <c r="E195">
        <v>157.19999999999999</v>
      </c>
      <c r="F195">
        <v>137.72499999999999</v>
      </c>
      <c r="G195">
        <v>142.4</v>
      </c>
      <c r="H195">
        <v>119.5</v>
      </c>
      <c r="I195">
        <v>148.9</v>
      </c>
      <c r="J195">
        <v>156.94999999999999</v>
      </c>
      <c r="K195">
        <v>124.5</v>
      </c>
      <c r="L195">
        <v>110.9</v>
      </c>
      <c r="M195">
        <v>140.72499999999999</v>
      </c>
      <c r="N195">
        <v>130.19999999999999</v>
      </c>
      <c r="O195">
        <v>154.80000000000001</v>
      </c>
      <c r="P195">
        <v>143.1</v>
      </c>
      <c r="Q195">
        <v>150.1</v>
      </c>
      <c r="R195" s="1">
        <f t="shared" si="0"/>
        <v>140.77500000000001</v>
      </c>
      <c r="S195" s="1">
        <f t="shared" si="0"/>
        <v>143.78888888888889</v>
      </c>
      <c r="T195" s="1">
        <f t="shared" si="0"/>
        <v>149.00555555555556</v>
      </c>
      <c r="U195" s="1">
        <f t="shared" si="0"/>
        <v>130.92222222222225</v>
      </c>
      <c r="V195" s="1">
        <f t="shared" si="0"/>
        <v>141.65555555555554</v>
      </c>
      <c r="W195" s="1">
        <f t="shared" si="0"/>
        <v>154.22222222222223</v>
      </c>
      <c r="X195" s="1">
        <f t="shared" si="0"/>
        <v>147.43333333333331</v>
      </c>
      <c r="Y195" s="1">
        <f t="shared" si="0"/>
        <v>142.85833333333332</v>
      </c>
      <c r="Z195" s="1">
        <f t="shared" si="0"/>
        <v>150.32222222222219</v>
      </c>
      <c r="AA195" s="1">
        <f>SUM(Table1[[#This Row],[Cereals and products]:[Food and beverages]])/13</f>
        <v>138.9826923076923</v>
      </c>
      <c r="AB195" s="1">
        <f>SUM(Table1[[#This Row],[Fuel and light]])</f>
        <v>140.77500000000001</v>
      </c>
      <c r="AC195" s="1">
        <f>SUM(Table1[[#This Row],[Transport and communication]])</f>
        <v>130.92222222222225</v>
      </c>
      <c r="AD195" s="1">
        <f>SUM(Table1[[#This Row],[Housing]],Table1[[#This Row],[Household goods and services]])/2</f>
        <v>146.94444444444446</v>
      </c>
      <c r="AE195" s="1">
        <f>SUM(Table1[[#This Row],[Health]])</f>
        <v>149.00555555555556</v>
      </c>
      <c r="AF195" s="1">
        <f>SUM(Table1[[#This Row],[Recreation and amusement]],Table1[[#This Row],[Education]])/2</f>
        <v>147.93888888888887</v>
      </c>
      <c r="AG195" s="1">
        <f>SUM(Table1[[#This Row],[Miscellaneous]],Table1[[#This Row],[Personal care and effects]])/2</f>
        <v>145.14583333333331</v>
      </c>
    </row>
    <row r="196" spans="1:33" hidden="1" x14ac:dyDescent="0.3">
      <c r="A196" t="s">
        <v>35</v>
      </c>
      <c r="B196">
        <v>2020</v>
      </c>
      <c r="C196" t="s">
        <v>47</v>
      </c>
      <c r="D196">
        <v>139.61250000000001</v>
      </c>
      <c r="E196">
        <v>157.4</v>
      </c>
      <c r="F196">
        <v>137.4375</v>
      </c>
      <c r="G196">
        <v>142.4</v>
      </c>
      <c r="H196">
        <v>119.9</v>
      </c>
      <c r="I196">
        <v>148.5</v>
      </c>
      <c r="J196">
        <v>154.625</v>
      </c>
      <c r="K196">
        <v>124.6</v>
      </c>
      <c r="L196">
        <v>110.7</v>
      </c>
      <c r="M196">
        <v>140.58750000000001</v>
      </c>
      <c r="N196">
        <v>130.80000000000001</v>
      </c>
      <c r="O196">
        <v>154.9</v>
      </c>
      <c r="P196">
        <v>142.69999999999999</v>
      </c>
      <c r="Q196">
        <v>150.1</v>
      </c>
      <c r="R196" s="1">
        <f t="shared" si="0"/>
        <v>138.77083333333334</v>
      </c>
      <c r="S196" s="1">
        <f t="shared" si="0"/>
        <v>141.58703703703705</v>
      </c>
      <c r="T196" s="1">
        <f t="shared" si="0"/>
        <v>145.08981481481482</v>
      </c>
      <c r="U196" s="1">
        <f t="shared" si="0"/>
        <v>128.29259259259263</v>
      </c>
      <c r="V196" s="1">
        <f t="shared" si="0"/>
        <v>138.7648148148148</v>
      </c>
      <c r="W196" s="1">
        <f t="shared" si="0"/>
        <v>151.59259259259261</v>
      </c>
      <c r="X196" s="1">
        <f t="shared" si="0"/>
        <v>143.33888888888887</v>
      </c>
      <c r="Y196" s="1">
        <f t="shared" si="0"/>
        <v>139.78472222222226</v>
      </c>
      <c r="Z196" s="1">
        <f t="shared" si="0"/>
        <v>147.50925925925924</v>
      </c>
      <c r="AA196" s="1">
        <f>SUM(Table1[[#This Row],[Cereals and products]:[Food and beverages]])/13</f>
        <v>138.78173076923079</v>
      </c>
      <c r="AB196" s="1">
        <f>SUM(Table1[[#This Row],[Fuel and light]])</f>
        <v>138.77083333333334</v>
      </c>
      <c r="AC196" s="1">
        <f>SUM(Table1[[#This Row],[Transport and communication]])</f>
        <v>128.29259259259263</v>
      </c>
      <c r="AD196" s="1">
        <f>SUM(Table1[[#This Row],[Housing]],Table1[[#This Row],[Household goods and services]])/2</f>
        <v>145.84351851851852</v>
      </c>
      <c r="AE196" s="1">
        <f>SUM(Table1[[#This Row],[Health]])</f>
        <v>145.08981481481482</v>
      </c>
      <c r="AF196" s="1">
        <f>SUM(Table1[[#This Row],[Recreation and amusement]],Table1[[#This Row],[Education]])/2</f>
        <v>145.17870370370372</v>
      </c>
      <c r="AG196" s="1">
        <f>SUM(Table1[[#This Row],[Miscellaneous]],Table1[[#This Row],[Personal care and effects]])/2</f>
        <v>141.56180555555557</v>
      </c>
    </row>
    <row r="197" spans="1:33" hidden="1" x14ac:dyDescent="0.3">
      <c r="A197" t="s">
        <v>33</v>
      </c>
      <c r="B197">
        <v>2020</v>
      </c>
      <c r="C197" t="s">
        <v>45</v>
      </c>
      <c r="D197">
        <v>145.4</v>
      </c>
      <c r="E197">
        <v>188.6</v>
      </c>
      <c r="F197">
        <v>171.6</v>
      </c>
      <c r="G197">
        <v>153.80000000000001</v>
      </c>
      <c r="H197">
        <v>145.4</v>
      </c>
      <c r="I197">
        <v>146.5</v>
      </c>
      <c r="J197">
        <v>222.2</v>
      </c>
      <c r="K197">
        <v>155.9</v>
      </c>
      <c r="L197">
        <v>114.9</v>
      </c>
      <c r="M197">
        <v>162</v>
      </c>
      <c r="N197">
        <v>150</v>
      </c>
      <c r="O197">
        <v>162.69999999999999</v>
      </c>
      <c r="P197">
        <v>163.4</v>
      </c>
      <c r="Q197">
        <v>153.5</v>
      </c>
      <c r="R197">
        <v>147.5</v>
      </c>
      <c r="S197">
        <v>152.80000000000001</v>
      </c>
      <c r="T197">
        <v>160.4</v>
      </c>
      <c r="U197">
        <v>146.1</v>
      </c>
      <c r="V197">
        <v>153.6</v>
      </c>
      <c r="W197">
        <v>161.6</v>
      </c>
      <c r="X197">
        <v>156.19999999999999</v>
      </c>
      <c r="Y197">
        <v>154.5</v>
      </c>
      <c r="Z197">
        <v>159.80000000000001</v>
      </c>
      <c r="AA197" s="1">
        <f>SUM(Table1[[#This Row],[Cereals and products]:[Food and beverages]])/13</f>
        <v>160.1846153846154</v>
      </c>
      <c r="AB197" s="1">
        <f>SUM(Table1[[#This Row],[Fuel and light]])</f>
        <v>147.5</v>
      </c>
      <c r="AC197" s="1">
        <f>SUM(Table1[[#This Row],[Transport and communication]])</f>
        <v>146.1</v>
      </c>
      <c r="AD197" s="1">
        <f>SUM(Table1[[#This Row],[Housing]],Table1[[#This Row],[Household goods and services]])/2</f>
        <v>153.15</v>
      </c>
      <c r="AE197" s="1">
        <f>SUM(Table1[[#This Row],[Health]])</f>
        <v>160.4</v>
      </c>
      <c r="AF197" s="1">
        <f>SUM(Table1[[#This Row],[Recreation and amusement]],Table1[[#This Row],[Education]])/2</f>
        <v>157.6</v>
      </c>
      <c r="AG197" s="1">
        <f>SUM(Table1[[#This Row],[Miscellaneous]],Table1[[#This Row],[Personal care and effects]])/2</f>
        <v>155.35</v>
      </c>
    </row>
    <row r="198" spans="1:33" hidden="1" x14ac:dyDescent="0.3">
      <c r="A198" t="s">
        <v>35</v>
      </c>
      <c r="B198">
        <v>2020</v>
      </c>
      <c r="C198" t="s">
        <v>45</v>
      </c>
      <c r="D198">
        <v>146.80000000000001</v>
      </c>
      <c r="E198">
        <v>191</v>
      </c>
      <c r="F198">
        <v>173.6</v>
      </c>
      <c r="G198">
        <v>153.80000000000001</v>
      </c>
      <c r="H198">
        <v>142.69999999999999</v>
      </c>
      <c r="I198">
        <v>148.4</v>
      </c>
      <c r="J198">
        <v>230</v>
      </c>
      <c r="K198">
        <v>156.80000000000001</v>
      </c>
      <c r="L198">
        <v>115.7</v>
      </c>
      <c r="M198">
        <v>161.80000000000001</v>
      </c>
      <c r="N198">
        <v>146.5</v>
      </c>
      <c r="O198">
        <v>163.80000000000001</v>
      </c>
      <c r="P198">
        <v>164.7</v>
      </c>
      <c r="Q198">
        <v>158</v>
      </c>
      <c r="R198">
        <v>143.6</v>
      </c>
      <c r="S198">
        <v>149.19999999999999</v>
      </c>
      <c r="T198">
        <v>157.19999999999999</v>
      </c>
      <c r="U198">
        <v>140.4</v>
      </c>
      <c r="V198">
        <v>148.4</v>
      </c>
      <c r="W198">
        <v>158.6</v>
      </c>
      <c r="X198">
        <v>156.9</v>
      </c>
      <c r="Y198">
        <v>150.69999999999999</v>
      </c>
      <c r="Z198">
        <v>158.4</v>
      </c>
      <c r="AA198" s="1">
        <f>SUM(Table1[[#This Row],[Cereals and products]:[Food and beverages]])/13</f>
        <v>161.19999999999999</v>
      </c>
      <c r="AB198" s="1">
        <f>SUM(Table1[[#This Row],[Fuel and light]])</f>
        <v>143.6</v>
      </c>
      <c r="AC198" s="1">
        <f>SUM(Table1[[#This Row],[Transport and communication]])</f>
        <v>140.4</v>
      </c>
      <c r="AD198" s="1">
        <f>SUM(Table1[[#This Row],[Housing]],Table1[[#This Row],[Household goods and services]])/2</f>
        <v>153.6</v>
      </c>
      <c r="AE198" s="1">
        <f>SUM(Table1[[#This Row],[Health]])</f>
        <v>157.19999999999999</v>
      </c>
      <c r="AF198" s="1">
        <f>SUM(Table1[[#This Row],[Recreation and amusement]],Table1[[#This Row],[Education]])/2</f>
        <v>153.5</v>
      </c>
      <c r="AG198" s="1">
        <f>SUM(Table1[[#This Row],[Miscellaneous]],Table1[[#This Row],[Personal care and effects]])/2</f>
        <v>153.80000000000001</v>
      </c>
    </row>
    <row r="199" spans="1:33" hidden="1" x14ac:dyDescent="0.3">
      <c r="A199" t="s">
        <v>36</v>
      </c>
      <c r="B199">
        <v>2020</v>
      </c>
      <c r="C199" t="s">
        <v>45</v>
      </c>
      <c r="D199">
        <v>149.69999999999999</v>
      </c>
      <c r="E199">
        <v>195.5</v>
      </c>
      <c r="F199">
        <v>176.9</v>
      </c>
      <c r="G199">
        <v>153.9</v>
      </c>
      <c r="H199">
        <v>138</v>
      </c>
      <c r="I199">
        <v>150.5</v>
      </c>
      <c r="J199">
        <v>245.3</v>
      </c>
      <c r="K199">
        <v>158.69999999999999</v>
      </c>
      <c r="L199">
        <v>117.2</v>
      </c>
      <c r="M199">
        <v>161.4</v>
      </c>
      <c r="N199">
        <v>141.5</v>
      </c>
      <c r="O199">
        <v>165.1</v>
      </c>
      <c r="P199">
        <v>167</v>
      </c>
      <c r="Q199">
        <v>158</v>
      </c>
      <c r="R199">
        <v>137.30000000000001</v>
      </c>
      <c r="S199">
        <v>145.1</v>
      </c>
      <c r="T199">
        <v>152</v>
      </c>
      <c r="U199">
        <v>135.19999999999999</v>
      </c>
      <c r="V199">
        <v>144.4</v>
      </c>
      <c r="W199">
        <v>156.4</v>
      </c>
      <c r="X199">
        <v>157.9</v>
      </c>
      <c r="Y199">
        <v>146.6</v>
      </c>
      <c r="Z199">
        <v>156.69999999999999</v>
      </c>
      <c r="AA199" s="1">
        <f>SUM(Table1[[#This Row],[Cereals and products]:[Food and beverages]])/13</f>
        <v>163.1307692307692</v>
      </c>
      <c r="AB199" s="1">
        <f>SUM(Table1[[#This Row],[Fuel and light]])</f>
        <v>137.30000000000001</v>
      </c>
      <c r="AC199" s="1">
        <f>SUM(Table1[[#This Row],[Transport and communication]])</f>
        <v>135.19999999999999</v>
      </c>
      <c r="AD199" s="1">
        <f>SUM(Table1[[#This Row],[Housing]],Table1[[#This Row],[Household goods and services]])/2</f>
        <v>151.55000000000001</v>
      </c>
      <c r="AE199" s="1">
        <f>SUM(Table1[[#This Row],[Health]])</f>
        <v>152</v>
      </c>
      <c r="AF199" s="1">
        <f>SUM(Table1[[#This Row],[Recreation and amusement]],Table1[[#This Row],[Education]])/2</f>
        <v>150.4</v>
      </c>
      <c r="AG199" s="1">
        <f>SUM(Table1[[#This Row],[Miscellaneous]],Table1[[#This Row],[Personal care and effects]])/2</f>
        <v>152.25</v>
      </c>
    </row>
    <row r="200" spans="1:33" hidden="1" x14ac:dyDescent="0.3">
      <c r="A200" t="s">
        <v>36</v>
      </c>
      <c r="B200">
        <v>2018</v>
      </c>
      <c r="C200" t="s">
        <v>42</v>
      </c>
      <c r="D200">
        <v>135.6</v>
      </c>
      <c r="E200">
        <v>148.6</v>
      </c>
      <c r="F200">
        <v>139.1</v>
      </c>
      <c r="G200">
        <v>141</v>
      </c>
      <c r="H200">
        <v>116.7</v>
      </c>
      <c r="I200">
        <v>149.69999999999999</v>
      </c>
      <c r="J200">
        <v>159.19999999999999</v>
      </c>
      <c r="K200">
        <v>112.6</v>
      </c>
      <c r="L200">
        <v>111.8</v>
      </c>
      <c r="M200">
        <v>140.30000000000001</v>
      </c>
      <c r="N200">
        <v>126.8</v>
      </c>
      <c r="O200">
        <v>149.4</v>
      </c>
      <c r="P200">
        <v>140.30000000000001</v>
      </c>
      <c r="Q200">
        <v>143.6</v>
      </c>
      <c r="R200">
        <v>128.1</v>
      </c>
      <c r="S200">
        <v>133.6</v>
      </c>
      <c r="T200">
        <v>133.6</v>
      </c>
      <c r="U200">
        <v>120.1</v>
      </c>
      <c r="V200">
        <v>129</v>
      </c>
      <c r="W200">
        <v>144</v>
      </c>
      <c r="X200">
        <v>128.19999999999999</v>
      </c>
      <c r="Y200">
        <v>130.19999999999999</v>
      </c>
      <c r="Z200">
        <v>137.5</v>
      </c>
      <c r="AA200" s="1">
        <f>SUM(Table1[[#This Row],[Cereals and products]:[Food and beverages]])/13</f>
        <v>136.23846153846154</v>
      </c>
      <c r="AB200" s="1">
        <f>SUM(Table1[[#This Row],[Fuel and light]])</f>
        <v>128.1</v>
      </c>
      <c r="AC200" s="1">
        <f>SUM(Table1[[#This Row],[Transport and communication]])</f>
        <v>120.1</v>
      </c>
      <c r="AD200" s="1">
        <f>SUM(Table1[[#This Row],[Housing]],Table1[[#This Row],[Household goods and services]])/2</f>
        <v>138.6</v>
      </c>
      <c r="AE200" s="1">
        <f>SUM(Table1[[#This Row],[Health]])</f>
        <v>133.6</v>
      </c>
      <c r="AF200" s="1">
        <f>SUM(Table1[[#This Row],[Recreation and amusement]],Table1[[#This Row],[Education]])/2</f>
        <v>136.5</v>
      </c>
      <c r="AG200" s="1">
        <f>SUM(Table1[[#This Row],[Miscellaneous]],Table1[[#This Row],[Personal care and effects]])/2</f>
        <v>129.19999999999999</v>
      </c>
    </row>
    <row r="201" spans="1:33" hidden="1" x14ac:dyDescent="0.3">
      <c r="A201" t="s">
        <v>35</v>
      </c>
      <c r="B201">
        <v>2018</v>
      </c>
      <c r="C201" t="s">
        <v>42</v>
      </c>
      <c r="D201">
        <v>137.5</v>
      </c>
      <c r="E201">
        <v>149.1</v>
      </c>
      <c r="F201">
        <v>139.19999999999999</v>
      </c>
      <c r="G201">
        <v>142.5</v>
      </c>
      <c r="H201">
        <v>121.4</v>
      </c>
      <c r="I201">
        <v>151.6</v>
      </c>
      <c r="J201">
        <v>155.9</v>
      </c>
      <c r="K201">
        <v>121.7</v>
      </c>
      <c r="L201">
        <v>113.5</v>
      </c>
      <c r="M201">
        <v>138.9</v>
      </c>
      <c r="N201">
        <v>130.30000000000001</v>
      </c>
      <c r="O201">
        <v>152.30000000000001</v>
      </c>
      <c r="P201">
        <v>141.4</v>
      </c>
      <c r="Q201">
        <v>143.6</v>
      </c>
      <c r="R201">
        <v>139.69999999999999</v>
      </c>
      <c r="S201">
        <v>138.6</v>
      </c>
      <c r="T201">
        <v>137</v>
      </c>
      <c r="U201">
        <v>123.6</v>
      </c>
      <c r="V201">
        <v>133.1</v>
      </c>
      <c r="W201">
        <v>144.69999999999999</v>
      </c>
      <c r="X201">
        <v>130.1</v>
      </c>
      <c r="Y201">
        <v>133.19999999999999</v>
      </c>
      <c r="Z201">
        <v>139.80000000000001</v>
      </c>
      <c r="AA201" s="1">
        <f>SUM(Table1[[#This Row],[Cereals and products]:[Food and beverages]])/13</f>
        <v>138.1</v>
      </c>
      <c r="AB201" s="1">
        <f>SUM(Table1[[#This Row],[Fuel and light]])</f>
        <v>139.69999999999999</v>
      </c>
      <c r="AC201" s="1">
        <f>SUM(Table1[[#This Row],[Transport and communication]])</f>
        <v>123.6</v>
      </c>
      <c r="AD201" s="1">
        <f>SUM(Table1[[#This Row],[Housing]],Table1[[#This Row],[Household goods and services]])/2</f>
        <v>141.1</v>
      </c>
      <c r="AE201" s="1">
        <f>SUM(Table1[[#This Row],[Health]])</f>
        <v>137</v>
      </c>
      <c r="AF201" s="1">
        <f>SUM(Table1[[#This Row],[Recreation and amusement]],Table1[[#This Row],[Education]])/2</f>
        <v>138.89999999999998</v>
      </c>
      <c r="AG201" s="1">
        <f>SUM(Table1[[#This Row],[Miscellaneous]],Table1[[#This Row],[Personal care and effects]])/2</f>
        <v>131.64999999999998</v>
      </c>
    </row>
    <row r="202" spans="1:33" hidden="1" x14ac:dyDescent="0.3">
      <c r="A202" t="s">
        <v>33</v>
      </c>
      <c r="B202">
        <v>2018</v>
      </c>
      <c r="C202" t="s">
        <v>42</v>
      </c>
      <c r="D202">
        <v>138.4</v>
      </c>
      <c r="E202">
        <v>149.30000000000001</v>
      </c>
      <c r="F202">
        <v>139.30000000000001</v>
      </c>
      <c r="G202">
        <v>143.4</v>
      </c>
      <c r="H202">
        <v>124.1</v>
      </c>
      <c r="I202">
        <v>153.30000000000001</v>
      </c>
      <c r="J202">
        <v>154.19999999999999</v>
      </c>
      <c r="K202">
        <v>126.4</v>
      </c>
      <c r="L202">
        <v>114.3</v>
      </c>
      <c r="M202">
        <v>138.19999999999999</v>
      </c>
      <c r="N202">
        <v>132.80000000000001</v>
      </c>
      <c r="O202">
        <v>154.80000000000001</v>
      </c>
      <c r="P202">
        <v>142</v>
      </c>
      <c r="Q202">
        <f>AVERAGE(Q200:Q201)</f>
        <v>143.6</v>
      </c>
      <c r="R202">
        <v>146.80000000000001</v>
      </c>
      <c r="S202">
        <v>143.1</v>
      </c>
      <c r="T202">
        <v>139</v>
      </c>
      <c r="U202">
        <v>127.5</v>
      </c>
      <c r="V202">
        <v>138.4</v>
      </c>
      <c r="W202">
        <v>145.80000000000001</v>
      </c>
      <c r="X202">
        <v>131.4</v>
      </c>
      <c r="Y202">
        <v>136</v>
      </c>
      <c r="Z202">
        <v>141.80000000000001</v>
      </c>
      <c r="AA202" s="1">
        <f>SUM(Table1[[#This Row],[Cereals and products]:[Food and beverages]])/13</f>
        <v>139.26923076923077</v>
      </c>
      <c r="AB202" s="1">
        <f>SUM(Table1[[#This Row],[Fuel and light]])</f>
        <v>146.80000000000001</v>
      </c>
      <c r="AC202" s="1">
        <f>SUM(Table1[[#This Row],[Transport and communication]])</f>
        <v>127.5</v>
      </c>
      <c r="AD202" s="1">
        <f>SUM(Table1[[#This Row],[Housing]],Table1[[#This Row],[Household goods and services]])/2</f>
        <v>143.35</v>
      </c>
      <c r="AE202" s="1">
        <f>SUM(Table1[[#This Row],[Health]])</f>
        <v>139</v>
      </c>
      <c r="AF202" s="1">
        <f>SUM(Table1[[#This Row],[Recreation and amusement]],Table1[[#This Row],[Education]])/2</f>
        <v>142.10000000000002</v>
      </c>
      <c r="AG202" s="1">
        <f>SUM(Table1[[#This Row],[Miscellaneous]],Table1[[#This Row],[Personal care and effects]])/2</f>
        <v>133.69999999999999</v>
      </c>
    </row>
    <row r="203" spans="1:33" hidden="1" x14ac:dyDescent="0.3">
      <c r="A203" t="s">
        <v>36</v>
      </c>
      <c r="B203">
        <v>2017</v>
      </c>
      <c r="C203" t="s">
        <v>42</v>
      </c>
      <c r="D203">
        <v>132.80000000000001</v>
      </c>
      <c r="E203">
        <v>148.4</v>
      </c>
      <c r="F203">
        <v>129.4</v>
      </c>
      <c r="G203">
        <v>137.69999999999999</v>
      </c>
      <c r="H203">
        <v>113.4</v>
      </c>
      <c r="I203">
        <v>139.4</v>
      </c>
      <c r="J203">
        <v>175.1</v>
      </c>
      <c r="K203">
        <v>124.7</v>
      </c>
      <c r="L203">
        <v>121.5</v>
      </c>
      <c r="M203">
        <v>137.80000000000001</v>
      </c>
      <c r="N203">
        <v>124.4</v>
      </c>
      <c r="O203">
        <v>143.69999999999999</v>
      </c>
      <c r="P203">
        <v>139.80000000000001</v>
      </c>
      <c r="Q203">
        <v>132.6</v>
      </c>
      <c r="R203">
        <v>119.7</v>
      </c>
      <c r="S203">
        <v>127.2</v>
      </c>
      <c r="T203">
        <v>125</v>
      </c>
      <c r="U203">
        <v>113.2</v>
      </c>
      <c r="V203">
        <v>123.5</v>
      </c>
      <c r="W203">
        <v>135.5</v>
      </c>
      <c r="X203">
        <v>122.4</v>
      </c>
      <c r="Y203">
        <v>123</v>
      </c>
      <c r="Z203">
        <v>131.80000000000001</v>
      </c>
      <c r="AA203" s="1">
        <f>SUM(Table1[[#This Row],[Cereals and products]:[Food and beverages]])/13</f>
        <v>136.00769230769231</v>
      </c>
      <c r="AB203" s="1">
        <f>SUM(Table1[[#This Row],[Fuel and light]])</f>
        <v>119.7</v>
      </c>
      <c r="AC203" s="1">
        <f>SUM(Table1[[#This Row],[Transport and communication]])</f>
        <v>113.2</v>
      </c>
      <c r="AD203" s="1">
        <f>SUM(Table1[[#This Row],[Housing]],Table1[[#This Row],[Household goods and services]])/2</f>
        <v>129.9</v>
      </c>
      <c r="AE203" s="1">
        <f>SUM(Table1[[#This Row],[Health]])</f>
        <v>125</v>
      </c>
      <c r="AF203" s="1">
        <f>SUM(Table1[[#This Row],[Recreation and amusement]],Table1[[#This Row],[Education]])/2</f>
        <v>129.5</v>
      </c>
      <c r="AG203" s="1">
        <f>SUM(Table1[[#This Row],[Miscellaneous]],Table1[[#This Row],[Personal care and effects]])/2</f>
        <v>122.7</v>
      </c>
    </row>
    <row r="204" spans="1:33" hidden="1" x14ac:dyDescent="0.3">
      <c r="A204" t="s">
        <v>35</v>
      </c>
      <c r="B204">
        <v>2017</v>
      </c>
      <c r="C204" t="s">
        <v>42</v>
      </c>
      <c r="D204">
        <v>133.6</v>
      </c>
      <c r="E204">
        <v>145.69999999999999</v>
      </c>
      <c r="F204">
        <v>129.6</v>
      </c>
      <c r="G204">
        <v>138.5</v>
      </c>
      <c r="H204">
        <v>118.1</v>
      </c>
      <c r="I204">
        <v>141.80000000000001</v>
      </c>
      <c r="J204">
        <v>159.5</v>
      </c>
      <c r="K204">
        <v>133.6</v>
      </c>
      <c r="L204">
        <v>120.5</v>
      </c>
      <c r="M204">
        <v>135.19999999999999</v>
      </c>
      <c r="N204">
        <v>128.5</v>
      </c>
      <c r="O204">
        <v>145.80000000000001</v>
      </c>
      <c r="P204">
        <v>139</v>
      </c>
      <c r="Q204">
        <v>132.6</v>
      </c>
      <c r="R204">
        <v>129.4</v>
      </c>
      <c r="S204">
        <v>131.9</v>
      </c>
      <c r="T204">
        <v>129.4</v>
      </c>
      <c r="U204">
        <v>116</v>
      </c>
      <c r="V204">
        <v>126.6</v>
      </c>
      <c r="W204">
        <v>136.80000000000001</v>
      </c>
      <c r="X204">
        <v>123.6</v>
      </c>
      <c r="Y204">
        <v>125.9</v>
      </c>
      <c r="Z204">
        <v>134.19999999999999</v>
      </c>
      <c r="AA204" s="1">
        <f>SUM(Table1[[#This Row],[Cereals and products]:[Food and beverages]])/13</f>
        <v>136.1076923076923</v>
      </c>
      <c r="AB204" s="1">
        <f>SUM(Table1[[#This Row],[Fuel and light]])</f>
        <v>129.4</v>
      </c>
      <c r="AC204" s="1">
        <f>SUM(Table1[[#This Row],[Transport and communication]])</f>
        <v>116</v>
      </c>
      <c r="AD204" s="1">
        <f>SUM(Table1[[#This Row],[Housing]],Table1[[#This Row],[Household goods and services]])/2</f>
        <v>132.25</v>
      </c>
      <c r="AE204" s="1">
        <f>SUM(Table1[[#This Row],[Health]])</f>
        <v>129.4</v>
      </c>
      <c r="AF204" s="1">
        <f>SUM(Table1[[#This Row],[Recreation and amusement]],Table1[[#This Row],[Education]])/2</f>
        <v>131.69999999999999</v>
      </c>
      <c r="AG204" s="1">
        <f>SUM(Table1[[#This Row],[Miscellaneous]],Table1[[#This Row],[Personal care and effects]])/2</f>
        <v>124.75</v>
      </c>
    </row>
    <row r="205" spans="1:33" hidden="1" x14ac:dyDescent="0.3">
      <c r="A205" t="s">
        <v>33</v>
      </c>
      <c r="B205">
        <v>2017</v>
      </c>
      <c r="C205" t="s">
        <v>42</v>
      </c>
      <c r="D205">
        <v>134</v>
      </c>
      <c r="E205">
        <v>144.19999999999999</v>
      </c>
      <c r="F205">
        <v>129.80000000000001</v>
      </c>
      <c r="G205">
        <v>139</v>
      </c>
      <c r="H205">
        <v>120.9</v>
      </c>
      <c r="I205">
        <v>143.9</v>
      </c>
      <c r="J205">
        <v>151.5</v>
      </c>
      <c r="K205">
        <v>138.1</v>
      </c>
      <c r="L205">
        <v>120</v>
      </c>
      <c r="M205">
        <v>133.9</v>
      </c>
      <c r="N205">
        <v>131.4</v>
      </c>
      <c r="O205">
        <v>147.69999999999999</v>
      </c>
      <c r="P205">
        <v>138.5</v>
      </c>
      <c r="Q205">
        <f>AVERAGE(Q203:Q204)</f>
        <v>132.6</v>
      </c>
      <c r="R205">
        <v>135.30000000000001</v>
      </c>
      <c r="S205">
        <v>136.1</v>
      </c>
      <c r="T205">
        <v>132.1</v>
      </c>
      <c r="U205">
        <v>119.1</v>
      </c>
      <c r="V205">
        <v>130.6</v>
      </c>
      <c r="W205">
        <v>138.6</v>
      </c>
      <c r="X205">
        <v>124.4</v>
      </c>
      <c r="Y205">
        <v>128.6</v>
      </c>
      <c r="Z205">
        <v>136.19999999999999</v>
      </c>
      <c r="AA205" s="1">
        <f>SUM(Table1[[#This Row],[Cereals and products]:[Food and beverages]])/13</f>
        <v>136.37692307692308</v>
      </c>
      <c r="AB205" s="1">
        <f>SUM(Table1[[#This Row],[Fuel and light]])</f>
        <v>135.30000000000001</v>
      </c>
      <c r="AC205" s="1">
        <f>SUM(Table1[[#This Row],[Transport and communication]])</f>
        <v>119.1</v>
      </c>
      <c r="AD205" s="1">
        <f>SUM(Table1[[#This Row],[Housing]],Table1[[#This Row],[Household goods and services]])/2</f>
        <v>134.35</v>
      </c>
      <c r="AE205" s="1">
        <f>SUM(Table1[[#This Row],[Health]])</f>
        <v>132.1</v>
      </c>
      <c r="AF205" s="1">
        <f>SUM(Table1[[#This Row],[Recreation and amusement]],Table1[[#This Row],[Education]])/2</f>
        <v>134.6</v>
      </c>
      <c r="AG205" s="1">
        <f>SUM(Table1[[#This Row],[Miscellaneous]],Table1[[#This Row],[Personal care and effects]])/2</f>
        <v>126.5</v>
      </c>
    </row>
    <row r="206" spans="1:33" hidden="1" x14ac:dyDescent="0.3">
      <c r="A206" t="s">
        <v>36</v>
      </c>
      <c r="B206">
        <v>2016</v>
      </c>
      <c r="C206" t="s">
        <v>42</v>
      </c>
      <c r="D206">
        <v>126.8</v>
      </c>
      <c r="E206">
        <v>144.19999999999999</v>
      </c>
      <c r="F206">
        <v>136.6</v>
      </c>
      <c r="G206">
        <v>131.80000000000001</v>
      </c>
      <c r="H206">
        <v>111</v>
      </c>
      <c r="I206">
        <v>137</v>
      </c>
      <c r="J206">
        <v>179.5</v>
      </c>
      <c r="K206">
        <v>188.4</v>
      </c>
      <c r="L206">
        <v>113.3</v>
      </c>
      <c r="M206">
        <v>143.9</v>
      </c>
      <c r="N206">
        <v>121.7</v>
      </c>
      <c r="O206">
        <v>137.5</v>
      </c>
      <c r="P206">
        <v>139.80000000000001</v>
      </c>
      <c r="Q206">
        <v>126.4</v>
      </c>
      <c r="R206">
        <v>115.5</v>
      </c>
      <c r="S206">
        <v>123.5</v>
      </c>
      <c r="T206">
        <v>120.9</v>
      </c>
      <c r="U206">
        <v>111.7</v>
      </c>
      <c r="V206">
        <v>120.3</v>
      </c>
      <c r="W206">
        <v>130.80000000000001</v>
      </c>
      <c r="X206">
        <v>120</v>
      </c>
      <c r="Y206">
        <v>119.9</v>
      </c>
      <c r="Z206">
        <v>129</v>
      </c>
      <c r="AA206" s="1">
        <f>SUM(Table1[[#This Row],[Cereals and products]:[Food and beverages]])/13</f>
        <v>139.34615384615387</v>
      </c>
      <c r="AB206" s="1">
        <f>SUM(Table1[[#This Row],[Fuel and light]])</f>
        <v>115.5</v>
      </c>
      <c r="AC206" s="1">
        <f>SUM(Table1[[#This Row],[Transport and communication]])</f>
        <v>111.7</v>
      </c>
      <c r="AD206" s="1">
        <f>SUM(Table1[[#This Row],[Housing]],Table1[[#This Row],[Household goods and services]])/2</f>
        <v>124.95</v>
      </c>
      <c r="AE206" s="1">
        <f>SUM(Table1[[#This Row],[Health]])</f>
        <v>120.9</v>
      </c>
      <c r="AF206" s="1">
        <f>SUM(Table1[[#This Row],[Recreation and amusement]],Table1[[#This Row],[Education]])/2</f>
        <v>125.55000000000001</v>
      </c>
      <c r="AG206" s="1">
        <f>SUM(Table1[[#This Row],[Miscellaneous]],Table1[[#This Row],[Personal care and effects]])/2</f>
        <v>119.95</v>
      </c>
    </row>
    <row r="207" spans="1:33" hidden="1" x14ac:dyDescent="0.3">
      <c r="A207" t="s">
        <v>35</v>
      </c>
      <c r="B207">
        <v>2016</v>
      </c>
      <c r="C207" t="s">
        <v>42</v>
      </c>
      <c r="D207">
        <v>128.5</v>
      </c>
      <c r="E207">
        <v>141.19999999999999</v>
      </c>
      <c r="F207">
        <v>132.30000000000001</v>
      </c>
      <c r="G207">
        <v>133.5</v>
      </c>
      <c r="H207">
        <v>116.4</v>
      </c>
      <c r="I207">
        <v>137.80000000000001</v>
      </c>
      <c r="J207">
        <v>165.4</v>
      </c>
      <c r="K207">
        <v>177.4</v>
      </c>
      <c r="L207">
        <v>111.3</v>
      </c>
      <c r="M207">
        <v>137.5</v>
      </c>
      <c r="N207">
        <v>125</v>
      </c>
      <c r="O207">
        <v>138.80000000000001</v>
      </c>
      <c r="P207">
        <v>138.4</v>
      </c>
      <c r="Q207">
        <v>126.4</v>
      </c>
      <c r="R207">
        <v>123.4</v>
      </c>
      <c r="S207">
        <v>126.9</v>
      </c>
      <c r="T207">
        <v>124.5</v>
      </c>
      <c r="U207">
        <v>113.9</v>
      </c>
      <c r="V207">
        <v>122.4</v>
      </c>
      <c r="W207">
        <v>130.80000000000001</v>
      </c>
      <c r="X207">
        <v>120.5</v>
      </c>
      <c r="Y207">
        <v>121.9</v>
      </c>
      <c r="Z207">
        <v>131.1</v>
      </c>
      <c r="AA207" s="1">
        <f>SUM(Table1[[#This Row],[Cereals and products]:[Food and beverages]])/13</f>
        <v>137.19230769230768</v>
      </c>
      <c r="AB207" s="1">
        <f>SUM(Table1[[#This Row],[Fuel and light]])</f>
        <v>123.4</v>
      </c>
      <c r="AC207" s="1">
        <f>SUM(Table1[[#This Row],[Transport and communication]])</f>
        <v>113.9</v>
      </c>
      <c r="AD207" s="1">
        <f>SUM(Table1[[#This Row],[Housing]],Table1[[#This Row],[Household goods and services]])/2</f>
        <v>126.65</v>
      </c>
      <c r="AE207" s="1">
        <f>SUM(Table1[[#This Row],[Health]])</f>
        <v>124.5</v>
      </c>
      <c r="AF207" s="1">
        <f>SUM(Table1[[#This Row],[Recreation and amusement]],Table1[[#This Row],[Education]])/2</f>
        <v>126.60000000000001</v>
      </c>
      <c r="AG207" s="1">
        <f>SUM(Table1[[#This Row],[Miscellaneous]],Table1[[#This Row],[Personal care and effects]])/2</f>
        <v>121.2</v>
      </c>
    </row>
    <row r="208" spans="1:33" hidden="1" x14ac:dyDescent="0.3">
      <c r="A208" t="s">
        <v>33</v>
      </c>
      <c r="B208">
        <v>2016</v>
      </c>
      <c r="C208" t="s">
        <v>42</v>
      </c>
      <c r="D208">
        <v>129.30000000000001</v>
      </c>
      <c r="E208">
        <v>139.5</v>
      </c>
      <c r="F208">
        <v>129.6</v>
      </c>
      <c r="G208">
        <v>134.5</v>
      </c>
      <c r="H208">
        <v>119.5</v>
      </c>
      <c r="I208">
        <v>138.5</v>
      </c>
      <c r="J208">
        <v>158.19999999999999</v>
      </c>
      <c r="K208">
        <v>171.8</v>
      </c>
      <c r="L208">
        <v>110.3</v>
      </c>
      <c r="M208">
        <v>134.30000000000001</v>
      </c>
      <c r="N208">
        <v>127.3</v>
      </c>
      <c r="O208">
        <v>139.9</v>
      </c>
      <c r="P208">
        <v>137.6</v>
      </c>
      <c r="Q208">
        <f>AVERAGE(Q206:Q207)</f>
        <v>126.4</v>
      </c>
      <c r="R208">
        <v>128.19999999999999</v>
      </c>
      <c r="S208">
        <v>130</v>
      </c>
      <c r="T208">
        <v>126.7</v>
      </c>
      <c r="U208">
        <v>116.4</v>
      </c>
      <c r="V208">
        <v>125.2</v>
      </c>
      <c r="W208">
        <v>130.80000000000001</v>
      </c>
      <c r="X208">
        <v>120.9</v>
      </c>
      <c r="Y208">
        <v>123.8</v>
      </c>
      <c r="Z208">
        <v>133</v>
      </c>
      <c r="AA208" s="1">
        <f>SUM(Table1[[#This Row],[Cereals and products]:[Food and beverages]])/13</f>
        <v>136.17692307692306</v>
      </c>
      <c r="AB208" s="1">
        <f>SUM(Table1[[#This Row],[Fuel and light]])</f>
        <v>128.19999999999999</v>
      </c>
      <c r="AC208" s="1">
        <f>SUM(Table1[[#This Row],[Transport and communication]])</f>
        <v>116.4</v>
      </c>
      <c r="AD208" s="1">
        <f>SUM(Table1[[#This Row],[Housing]],Table1[[#This Row],[Household goods and services]])/2</f>
        <v>128.19999999999999</v>
      </c>
      <c r="AE208" s="1">
        <f>SUM(Table1[[#This Row],[Health]])</f>
        <v>126.7</v>
      </c>
      <c r="AF208" s="1">
        <f>SUM(Table1[[#This Row],[Recreation and amusement]],Table1[[#This Row],[Education]])/2</f>
        <v>128</v>
      </c>
      <c r="AG208" s="1">
        <f>SUM(Table1[[#This Row],[Miscellaneous]],Table1[[#This Row],[Personal care and effects]])/2</f>
        <v>122.35</v>
      </c>
    </row>
    <row r="209" spans="1:33" hidden="1" x14ac:dyDescent="0.3">
      <c r="A209" t="s">
        <v>36</v>
      </c>
      <c r="B209">
        <v>2015</v>
      </c>
      <c r="C209" t="s">
        <v>42</v>
      </c>
      <c r="D209">
        <v>123.2</v>
      </c>
      <c r="E209">
        <v>134.30000000000001</v>
      </c>
      <c r="F209">
        <v>119.5</v>
      </c>
      <c r="G209">
        <v>127.7</v>
      </c>
      <c r="H209">
        <v>106.3</v>
      </c>
      <c r="I209">
        <v>132.80000000000001</v>
      </c>
      <c r="J209">
        <v>153.5</v>
      </c>
      <c r="K209">
        <v>149.5</v>
      </c>
      <c r="L209">
        <v>85.7</v>
      </c>
      <c r="M209">
        <v>131.5</v>
      </c>
      <c r="N209">
        <v>118.3</v>
      </c>
      <c r="O209">
        <v>131.1</v>
      </c>
      <c r="P209">
        <v>129.5</v>
      </c>
      <c r="Q209">
        <v>119.9</v>
      </c>
      <c r="R209">
        <v>115.3</v>
      </c>
      <c r="S209">
        <v>119.5</v>
      </c>
      <c r="T209">
        <v>116</v>
      </c>
      <c r="U209">
        <v>111.5</v>
      </c>
      <c r="V209">
        <v>116.6</v>
      </c>
      <c r="W209">
        <v>125.4</v>
      </c>
      <c r="X209">
        <v>111.7</v>
      </c>
      <c r="Y209">
        <v>116.3</v>
      </c>
      <c r="Z209">
        <v>122.4</v>
      </c>
      <c r="AA209" s="1">
        <f>SUM(Table1[[#This Row],[Cereals and products]:[Food and beverages]])/13</f>
        <v>126.37692307692306</v>
      </c>
      <c r="AB209" s="1">
        <f>SUM(Table1[[#This Row],[Fuel and light]])</f>
        <v>115.3</v>
      </c>
      <c r="AC209" s="1">
        <f>SUM(Table1[[#This Row],[Transport and communication]])</f>
        <v>111.5</v>
      </c>
      <c r="AD209" s="1">
        <f>SUM(Table1[[#This Row],[Housing]],Table1[[#This Row],[Household goods and services]])/2</f>
        <v>119.7</v>
      </c>
      <c r="AE209" s="1">
        <f>SUM(Table1[[#This Row],[Health]])</f>
        <v>116</v>
      </c>
      <c r="AF209" s="1">
        <f>SUM(Table1[[#This Row],[Recreation and amusement]],Table1[[#This Row],[Education]])/2</f>
        <v>121</v>
      </c>
      <c r="AG209" s="1">
        <f>SUM(Table1[[#This Row],[Miscellaneous]],Table1[[#This Row],[Personal care and effects]])/2</f>
        <v>114</v>
      </c>
    </row>
    <row r="210" spans="1:33" hidden="1" x14ac:dyDescent="0.3">
      <c r="A210" t="s">
        <v>35</v>
      </c>
      <c r="B210">
        <v>2015</v>
      </c>
      <c r="C210" t="s">
        <v>42</v>
      </c>
      <c r="D210">
        <v>123.7</v>
      </c>
      <c r="E210">
        <v>132.5</v>
      </c>
      <c r="F210">
        <v>121</v>
      </c>
      <c r="G210">
        <v>128.30000000000001</v>
      </c>
      <c r="H210">
        <v>110.9</v>
      </c>
      <c r="I210">
        <v>133.1</v>
      </c>
      <c r="J210">
        <v>145.1</v>
      </c>
      <c r="K210">
        <v>139.1</v>
      </c>
      <c r="L210">
        <v>91.3</v>
      </c>
      <c r="M210">
        <v>126.1</v>
      </c>
      <c r="N210">
        <v>119.9</v>
      </c>
      <c r="O210">
        <v>131.4</v>
      </c>
      <c r="P210">
        <v>128.19999999999999</v>
      </c>
      <c r="Q210">
        <v>119.9</v>
      </c>
      <c r="R210">
        <v>120.1</v>
      </c>
      <c r="S210">
        <v>121.3</v>
      </c>
      <c r="T210">
        <v>119</v>
      </c>
      <c r="U210">
        <v>112.7</v>
      </c>
      <c r="V210">
        <v>117.2</v>
      </c>
      <c r="W210">
        <v>124.4</v>
      </c>
      <c r="X210">
        <v>112.3</v>
      </c>
      <c r="Y210">
        <v>117.2</v>
      </c>
      <c r="Z210">
        <v>123.6</v>
      </c>
      <c r="AA210" s="1">
        <f>SUM(Table1[[#This Row],[Cereals and products]:[Food and beverages]])/13</f>
        <v>125.43076923076924</v>
      </c>
      <c r="AB210" s="1">
        <f>SUM(Table1[[#This Row],[Fuel and light]])</f>
        <v>120.1</v>
      </c>
      <c r="AC210" s="1">
        <f>SUM(Table1[[#This Row],[Transport and communication]])</f>
        <v>112.7</v>
      </c>
      <c r="AD210" s="1">
        <f>SUM(Table1[[#This Row],[Housing]],Table1[[#This Row],[Household goods and services]])/2</f>
        <v>120.6</v>
      </c>
      <c r="AE210" s="1">
        <f>SUM(Table1[[#This Row],[Health]])</f>
        <v>119</v>
      </c>
      <c r="AF210" s="1">
        <f>SUM(Table1[[#This Row],[Recreation and amusement]],Table1[[#This Row],[Education]])/2</f>
        <v>120.80000000000001</v>
      </c>
      <c r="AG210" s="1">
        <f>SUM(Table1[[#This Row],[Miscellaneous]],Table1[[#This Row],[Personal care and effects]])/2</f>
        <v>114.75</v>
      </c>
    </row>
    <row r="211" spans="1:33" hidden="1" x14ac:dyDescent="0.3">
      <c r="A211" t="s">
        <v>33</v>
      </c>
      <c r="B211">
        <v>2015</v>
      </c>
      <c r="C211" t="s">
        <v>42</v>
      </c>
      <c r="D211">
        <v>124</v>
      </c>
      <c r="E211">
        <v>131.5</v>
      </c>
      <c r="F211">
        <v>122</v>
      </c>
      <c r="G211">
        <v>128.69999999999999</v>
      </c>
      <c r="H211">
        <v>113.5</v>
      </c>
      <c r="I211">
        <v>133.30000000000001</v>
      </c>
      <c r="J211">
        <v>140.80000000000001</v>
      </c>
      <c r="K211">
        <v>133.80000000000001</v>
      </c>
      <c r="L211">
        <v>94.1</v>
      </c>
      <c r="M211">
        <v>123.4</v>
      </c>
      <c r="N211">
        <v>121</v>
      </c>
      <c r="O211">
        <v>131.69999999999999</v>
      </c>
      <c r="P211">
        <v>127.5</v>
      </c>
      <c r="Q211">
        <f>AVERAGE(Q209:Q210)</f>
        <v>119.9</v>
      </c>
      <c r="R211">
        <v>123</v>
      </c>
      <c r="S211">
        <v>123</v>
      </c>
      <c r="T211">
        <v>120.8</v>
      </c>
      <c r="U211">
        <v>114.1</v>
      </c>
      <c r="V211">
        <v>118</v>
      </c>
      <c r="W211">
        <v>122.9</v>
      </c>
      <c r="X211">
        <v>112.7</v>
      </c>
      <c r="Y211">
        <v>118.1</v>
      </c>
      <c r="Z211">
        <v>124.7</v>
      </c>
      <c r="AA211" s="1">
        <f>SUM(Table1[[#This Row],[Cereals and products]:[Food and beverages]])/13</f>
        <v>125.02307692307691</v>
      </c>
      <c r="AB211" s="1">
        <f>SUM(Table1[[#This Row],[Fuel and light]])</f>
        <v>123</v>
      </c>
      <c r="AC211" s="1">
        <f>SUM(Table1[[#This Row],[Transport and communication]])</f>
        <v>114.1</v>
      </c>
      <c r="AD211" s="1">
        <f>SUM(Table1[[#This Row],[Housing]],Table1[[#This Row],[Household goods and services]])/2</f>
        <v>121.45</v>
      </c>
      <c r="AE211" s="1">
        <f>SUM(Table1[[#This Row],[Health]])</f>
        <v>120.8</v>
      </c>
      <c r="AF211" s="1">
        <f>SUM(Table1[[#This Row],[Recreation and amusement]],Table1[[#This Row],[Education]])/2</f>
        <v>120.45</v>
      </c>
      <c r="AG211" s="1">
        <f>SUM(Table1[[#This Row],[Miscellaneous]],Table1[[#This Row],[Personal care and effects]])/2</f>
        <v>115.4</v>
      </c>
    </row>
    <row r="212" spans="1:33" hidden="1" x14ac:dyDescent="0.3">
      <c r="A212" t="s">
        <v>33</v>
      </c>
      <c r="B212">
        <v>2014</v>
      </c>
      <c r="C212" t="s">
        <v>42</v>
      </c>
      <c r="D212">
        <v>121.7</v>
      </c>
      <c r="E212">
        <v>122.5</v>
      </c>
      <c r="F212">
        <v>117.7</v>
      </c>
      <c r="G212">
        <v>120.6</v>
      </c>
      <c r="H212">
        <v>110.4</v>
      </c>
      <c r="I212">
        <v>129.1</v>
      </c>
      <c r="J212">
        <v>150.1</v>
      </c>
      <c r="K212">
        <v>113.2</v>
      </c>
      <c r="L212">
        <v>104.8</v>
      </c>
      <c r="M212">
        <v>113.3</v>
      </c>
      <c r="N212">
        <v>115.6</v>
      </c>
      <c r="O212">
        <v>120.9</v>
      </c>
      <c r="P212">
        <v>123.3</v>
      </c>
      <c r="Q212">
        <f>AVERAGE(Q213:Q214)</f>
        <v>114.8</v>
      </c>
      <c r="R212">
        <v>115.3</v>
      </c>
      <c r="S212">
        <v>115.4</v>
      </c>
      <c r="T212">
        <v>113.4</v>
      </c>
      <c r="U212">
        <v>113.2</v>
      </c>
      <c r="V212">
        <v>111.8</v>
      </c>
      <c r="W212">
        <v>115.5</v>
      </c>
      <c r="X212">
        <v>108.8</v>
      </c>
      <c r="Y212">
        <v>113.1</v>
      </c>
      <c r="Z212">
        <v>119.5</v>
      </c>
      <c r="AA212" s="1">
        <f>SUM(Table1[[#This Row],[Cereals and products]:[Food and beverages]])/13</f>
        <v>120.24615384615385</v>
      </c>
      <c r="AB212" s="1">
        <f>SUM(Table1[[#This Row],[Fuel and light]])</f>
        <v>115.3</v>
      </c>
      <c r="AC212" s="1">
        <f>SUM(Table1[[#This Row],[Transport and communication]])</f>
        <v>113.2</v>
      </c>
      <c r="AD212" s="1">
        <f>SUM(Table1[[#This Row],[Housing]],Table1[[#This Row],[Household goods and services]])/2</f>
        <v>115.1</v>
      </c>
      <c r="AE212" s="1">
        <f>SUM(Table1[[#This Row],[Health]])</f>
        <v>113.4</v>
      </c>
      <c r="AF212" s="1">
        <f>SUM(Table1[[#This Row],[Recreation and amusement]],Table1[[#This Row],[Education]])/2</f>
        <v>113.65</v>
      </c>
      <c r="AG212" s="1">
        <f>SUM(Table1[[#This Row],[Miscellaneous]],Table1[[#This Row],[Personal care and effects]])/2</f>
        <v>110.94999999999999</v>
      </c>
    </row>
    <row r="213" spans="1:33" hidden="1" x14ac:dyDescent="0.3">
      <c r="A213" t="s">
        <v>35</v>
      </c>
      <c r="B213">
        <v>2014</v>
      </c>
      <c r="C213" t="s">
        <v>42</v>
      </c>
      <c r="D213">
        <v>122.4</v>
      </c>
      <c r="E213">
        <v>123.9</v>
      </c>
      <c r="F213">
        <v>117.8</v>
      </c>
      <c r="G213">
        <v>121</v>
      </c>
      <c r="H213">
        <v>107.9</v>
      </c>
      <c r="I213">
        <v>131.19999999999999</v>
      </c>
      <c r="J213">
        <v>157.69999999999999</v>
      </c>
      <c r="K213">
        <v>113.2</v>
      </c>
      <c r="L213">
        <v>104.1</v>
      </c>
      <c r="M213">
        <v>115.5</v>
      </c>
      <c r="N213">
        <v>114.8</v>
      </c>
      <c r="O213">
        <v>122.1</v>
      </c>
      <c r="P213">
        <v>124.7</v>
      </c>
      <c r="Q213">
        <v>114.8</v>
      </c>
      <c r="R213">
        <v>113.9</v>
      </c>
      <c r="S213">
        <v>115.2</v>
      </c>
      <c r="T213">
        <v>112.7</v>
      </c>
      <c r="U213">
        <v>113.1</v>
      </c>
      <c r="V213">
        <v>112.1</v>
      </c>
      <c r="W213">
        <v>116.8</v>
      </c>
      <c r="X213">
        <v>109.2</v>
      </c>
      <c r="Y213">
        <v>113.3</v>
      </c>
      <c r="Z213">
        <v>119.2</v>
      </c>
      <c r="AA213" s="1">
        <f>SUM(Table1[[#This Row],[Cereals and products]:[Food and beverages]])/13</f>
        <v>121.25384615384615</v>
      </c>
      <c r="AB213" s="1">
        <f>SUM(Table1[[#This Row],[Fuel and light]])</f>
        <v>113.9</v>
      </c>
      <c r="AC213" s="1">
        <f>SUM(Table1[[#This Row],[Transport and communication]])</f>
        <v>113.1</v>
      </c>
      <c r="AD213" s="1">
        <f>SUM(Table1[[#This Row],[Housing]],Table1[[#This Row],[Household goods and services]])/2</f>
        <v>115</v>
      </c>
      <c r="AE213" s="1">
        <f>SUM(Table1[[#This Row],[Health]])</f>
        <v>112.7</v>
      </c>
      <c r="AF213" s="1">
        <f>SUM(Table1[[#This Row],[Recreation and amusement]],Table1[[#This Row],[Education]])/2</f>
        <v>114.44999999999999</v>
      </c>
      <c r="AG213" s="1">
        <f>SUM(Table1[[#This Row],[Miscellaneous]],Table1[[#This Row],[Personal care and effects]])/2</f>
        <v>111.25</v>
      </c>
    </row>
    <row r="214" spans="1:33" hidden="1" x14ac:dyDescent="0.3">
      <c r="A214" t="s">
        <v>36</v>
      </c>
      <c r="B214">
        <v>2014</v>
      </c>
      <c r="C214" t="s">
        <v>42</v>
      </c>
      <c r="D214">
        <v>123.8</v>
      </c>
      <c r="E214">
        <v>126.4</v>
      </c>
      <c r="F214">
        <v>118</v>
      </c>
      <c r="G214">
        <v>121.6</v>
      </c>
      <c r="H214">
        <v>103.5</v>
      </c>
      <c r="I214">
        <v>133.69999999999999</v>
      </c>
      <c r="J214">
        <v>172.4</v>
      </c>
      <c r="K214">
        <v>113.1</v>
      </c>
      <c r="L214">
        <v>102.7</v>
      </c>
      <c r="M214">
        <v>120</v>
      </c>
      <c r="N214">
        <v>113.8</v>
      </c>
      <c r="O214">
        <v>123.4</v>
      </c>
      <c r="P214">
        <v>127.1</v>
      </c>
      <c r="Q214">
        <v>114.8</v>
      </c>
      <c r="R214">
        <v>111.6</v>
      </c>
      <c r="S214">
        <v>114.9</v>
      </c>
      <c r="T214">
        <v>111.5</v>
      </c>
      <c r="U214">
        <v>113</v>
      </c>
      <c r="V214">
        <v>112.4</v>
      </c>
      <c r="W214">
        <v>117.8</v>
      </c>
      <c r="X214">
        <v>109.7</v>
      </c>
      <c r="Y214">
        <v>113.5</v>
      </c>
      <c r="Z214">
        <v>118.9</v>
      </c>
      <c r="AA214" s="1">
        <f>SUM(Table1[[#This Row],[Cereals and products]:[Food and beverages]])/13</f>
        <v>123.03846153846153</v>
      </c>
      <c r="AB214" s="1">
        <f>SUM(Table1[[#This Row],[Fuel and light]])</f>
        <v>111.6</v>
      </c>
      <c r="AC214" s="1">
        <f>SUM(Table1[[#This Row],[Transport and communication]])</f>
        <v>113</v>
      </c>
      <c r="AD214" s="1">
        <f>SUM(Table1[[#This Row],[Housing]],Table1[[#This Row],[Household goods and services]])/2</f>
        <v>114.85</v>
      </c>
      <c r="AE214" s="1">
        <f>SUM(Table1[[#This Row],[Health]])</f>
        <v>111.5</v>
      </c>
      <c r="AF214" s="1">
        <f>SUM(Table1[[#This Row],[Recreation and amusement]],Table1[[#This Row],[Education]])/2</f>
        <v>115.1</v>
      </c>
      <c r="AG214" s="1">
        <f>SUM(Table1[[#This Row],[Miscellaneous]],Table1[[#This Row],[Personal care and effects]])/2</f>
        <v>111.6</v>
      </c>
    </row>
    <row r="215" spans="1:33" hidden="1" x14ac:dyDescent="0.3">
      <c r="A215" t="s">
        <v>33</v>
      </c>
      <c r="B215">
        <v>2013</v>
      </c>
      <c r="C215" t="s">
        <v>42</v>
      </c>
      <c r="D215">
        <v>113.4</v>
      </c>
      <c r="E215">
        <v>114.9</v>
      </c>
      <c r="F215">
        <v>110.5</v>
      </c>
      <c r="G215">
        <v>109.3</v>
      </c>
      <c r="H215">
        <v>106.2</v>
      </c>
      <c r="I215">
        <v>110.3</v>
      </c>
      <c r="J215">
        <v>129.19999999999999</v>
      </c>
      <c r="K215">
        <v>107.1</v>
      </c>
      <c r="L215">
        <v>104.3</v>
      </c>
      <c r="M215">
        <v>106.4</v>
      </c>
      <c r="N215">
        <v>109.1</v>
      </c>
      <c r="O215">
        <v>112.1</v>
      </c>
      <c r="P215">
        <v>113.1</v>
      </c>
      <c r="Q215">
        <f>AVERAGE(Q216:Q217)</f>
        <v>107.7</v>
      </c>
      <c r="R215">
        <v>109.5</v>
      </c>
      <c r="S215">
        <v>108.3</v>
      </c>
      <c r="T215">
        <v>106.9</v>
      </c>
      <c r="U215">
        <v>106.8</v>
      </c>
      <c r="V215">
        <v>106.4</v>
      </c>
      <c r="W215">
        <v>107.8</v>
      </c>
      <c r="X215">
        <v>102.5</v>
      </c>
      <c r="Y215">
        <v>106.5</v>
      </c>
      <c r="Z215">
        <v>110.7</v>
      </c>
      <c r="AA215" s="1">
        <f>SUM(Table1[[#This Row],[Cereals and products]:[Food and beverages]])/13</f>
        <v>111.22307692307689</v>
      </c>
      <c r="AB215" s="1">
        <f>SUM(Table1[[#This Row],[Fuel and light]])</f>
        <v>109.5</v>
      </c>
      <c r="AC215" s="1">
        <f>SUM(Table1[[#This Row],[Transport and communication]])</f>
        <v>106.8</v>
      </c>
      <c r="AD215" s="1">
        <f>SUM(Table1[[#This Row],[Housing]],Table1[[#This Row],[Household goods and services]])/2</f>
        <v>108</v>
      </c>
      <c r="AE215" s="1">
        <f>SUM(Table1[[#This Row],[Health]])</f>
        <v>106.9</v>
      </c>
      <c r="AF215" s="1">
        <f>SUM(Table1[[#This Row],[Recreation and amusement]],Table1[[#This Row],[Education]])/2</f>
        <v>107.1</v>
      </c>
      <c r="AG215" s="1">
        <f>SUM(Table1[[#This Row],[Miscellaneous]],Table1[[#This Row],[Personal care and effects]])/2</f>
        <v>104.5</v>
      </c>
    </row>
    <row r="216" spans="1:33" hidden="1" x14ac:dyDescent="0.3">
      <c r="A216" t="s">
        <v>35</v>
      </c>
      <c r="B216">
        <v>2013</v>
      </c>
      <c r="C216" t="s">
        <v>42</v>
      </c>
      <c r="D216">
        <v>114.8</v>
      </c>
      <c r="E216">
        <v>116.4</v>
      </c>
      <c r="F216">
        <v>111.9</v>
      </c>
      <c r="G216">
        <v>108.9</v>
      </c>
      <c r="H216">
        <v>104.3</v>
      </c>
      <c r="I216">
        <v>111.7</v>
      </c>
      <c r="J216">
        <v>140</v>
      </c>
      <c r="K216">
        <v>106.4</v>
      </c>
      <c r="L216">
        <v>103.3</v>
      </c>
      <c r="M216">
        <v>106.8</v>
      </c>
      <c r="N216">
        <v>109.6</v>
      </c>
      <c r="O216">
        <v>112.6</v>
      </c>
      <c r="P216">
        <v>114.7</v>
      </c>
      <c r="Q216">
        <v>107.7</v>
      </c>
      <c r="R216">
        <v>109.2</v>
      </c>
      <c r="S216">
        <v>108.2</v>
      </c>
      <c r="T216">
        <v>107</v>
      </c>
      <c r="U216">
        <v>107.1</v>
      </c>
      <c r="V216">
        <v>106.1</v>
      </c>
      <c r="W216">
        <v>109.1</v>
      </c>
      <c r="X216">
        <v>102.8</v>
      </c>
      <c r="Y216">
        <v>106.9</v>
      </c>
      <c r="Z216">
        <v>111</v>
      </c>
      <c r="AA216" s="1">
        <f>SUM(Table1[[#This Row],[Cereals and products]:[Food and beverages]])/13</f>
        <v>112.41538461538461</v>
      </c>
      <c r="AB216" s="1">
        <f>SUM(Table1[[#This Row],[Fuel and light]])</f>
        <v>109.2</v>
      </c>
      <c r="AC216" s="1">
        <f>SUM(Table1[[#This Row],[Transport and communication]])</f>
        <v>107.1</v>
      </c>
      <c r="AD216" s="1">
        <f>SUM(Table1[[#This Row],[Housing]],Table1[[#This Row],[Household goods and services]])/2</f>
        <v>107.95</v>
      </c>
      <c r="AE216" s="1">
        <f>SUM(Table1[[#This Row],[Health]])</f>
        <v>107</v>
      </c>
      <c r="AF216" s="1">
        <f>SUM(Table1[[#This Row],[Recreation and amusement]],Table1[[#This Row],[Education]])/2</f>
        <v>107.6</v>
      </c>
      <c r="AG216" s="1">
        <f>SUM(Table1[[#This Row],[Miscellaneous]],Table1[[#This Row],[Personal care and effects]])/2</f>
        <v>104.85</v>
      </c>
    </row>
    <row r="217" spans="1:33" hidden="1" x14ac:dyDescent="0.3">
      <c r="A217" t="s">
        <v>36</v>
      </c>
      <c r="B217">
        <v>2013</v>
      </c>
      <c r="C217" t="s">
        <v>42</v>
      </c>
      <c r="D217">
        <v>117.8</v>
      </c>
      <c r="E217">
        <v>119.2</v>
      </c>
      <c r="F217">
        <v>114</v>
      </c>
      <c r="G217">
        <v>108.3</v>
      </c>
      <c r="H217">
        <v>101.1</v>
      </c>
      <c r="I217">
        <v>113.2</v>
      </c>
      <c r="J217">
        <v>160.9</v>
      </c>
      <c r="K217">
        <v>105.1</v>
      </c>
      <c r="L217">
        <v>101.3</v>
      </c>
      <c r="M217">
        <v>107.5</v>
      </c>
      <c r="N217">
        <v>110.4</v>
      </c>
      <c r="O217">
        <v>113.1</v>
      </c>
      <c r="P217">
        <v>117.5</v>
      </c>
      <c r="Q217">
        <v>107.7</v>
      </c>
      <c r="R217">
        <v>108.6</v>
      </c>
      <c r="S217">
        <v>108.1</v>
      </c>
      <c r="T217">
        <v>107.1</v>
      </c>
      <c r="U217">
        <v>107.3</v>
      </c>
      <c r="V217">
        <v>105.9</v>
      </c>
      <c r="W217">
        <v>110.1</v>
      </c>
      <c r="X217">
        <v>103.2</v>
      </c>
      <c r="Y217">
        <v>107.3</v>
      </c>
      <c r="Z217">
        <v>111.4</v>
      </c>
      <c r="AA217" s="1">
        <f>SUM(Table1[[#This Row],[Cereals and products]:[Food and beverages]])/13</f>
        <v>114.56923076923077</v>
      </c>
      <c r="AB217" s="1">
        <f>SUM(Table1[[#This Row],[Fuel and light]])</f>
        <v>108.6</v>
      </c>
      <c r="AC217" s="1">
        <f>SUM(Table1[[#This Row],[Transport and communication]])</f>
        <v>107.3</v>
      </c>
      <c r="AD217" s="1">
        <f>SUM(Table1[[#This Row],[Housing]],Table1[[#This Row],[Household goods and services]])/2</f>
        <v>107.9</v>
      </c>
      <c r="AE217" s="1">
        <f>SUM(Table1[[#This Row],[Health]])</f>
        <v>107.1</v>
      </c>
      <c r="AF217" s="1">
        <f>SUM(Table1[[#This Row],[Recreation and amusement]],Table1[[#This Row],[Education]])/2</f>
        <v>108</v>
      </c>
      <c r="AG217" s="1">
        <f>SUM(Table1[[#This Row],[Miscellaneous]],Table1[[#This Row],[Personal care and effects]])/2</f>
        <v>105.25</v>
      </c>
    </row>
    <row r="218" spans="1:33" hidden="1" x14ac:dyDescent="0.3">
      <c r="A218" t="s">
        <v>36</v>
      </c>
      <c r="B218">
        <v>2023</v>
      </c>
      <c r="C218" t="s">
        <v>41</v>
      </c>
      <c r="D218">
        <v>173.3</v>
      </c>
      <c r="E218">
        <v>215.2</v>
      </c>
      <c r="F218">
        <v>197</v>
      </c>
      <c r="G218">
        <v>175.2</v>
      </c>
      <c r="H218">
        <v>178</v>
      </c>
      <c r="I218">
        <v>160.5</v>
      </c>
      <c r="J218">
        <v>175.3</v>
      </c>
      <c r="K218">
        <v>171.2</v>
      </c>
      <c r="L218">
        <v>122.7</v>
      </c>
      <c r="M218">
        <v>204.3</v>
      </c>
      <c r="N218">
        <v>163.69999999999999</v>
      </c>
      <c r="O218">
        <v>194.3</v>
      </c>
      <c r="P218">
        <v>179.5</v>
      </c>
      <c r="Q218">
        <v>172.1</v>
      </c>
      <c r="R218">
        <v>180.1</v>
      </c>
      <c r="S218">
        <v>168</v>
      </c>
      <c r="T218">
        <v>178.5</v>
      </c>
      <c r="U218">
        <v>159.5</v>
      </c>
      <c r="V218">
        <v>167.8</v>
      </c>
      <c r="W218">
        <v>171.8</v>
      </c>
      <c r="X218">
        <v>178.8</v>
      </c>
      <c r="Y218">
        <v>168.9</v>
      </c>
      <c r="Z218">
        <v>174.9</v>
      </c>
      <c r="AA218" s="1">
        <f>SUM(Table1[[#This Row],[Cereals and products]:[Food and beverages]])/13</f>
        <v>177.70769230769233</v>
      </c>
      <c r="AB218" s="1">
        <f>SUM(Table1[[#This Row],[Fuel and light]])</f>
        <v>180.1</v>
      </c>
      <c r="AC218" s="1">
        <f>SUM(Table1[[#This Row],[Transport and communication]])</f>
        <v>159.5</v>
      </c>
      <c r="AD218" s="1">
        <f>SUM(Table1[[#This Row],[Housing]],Table1[[#This Row],[Household goods and services]])/2</f>
        <v>170.05</v>
      </c>
      <c r="AE218" s="1">
        <f>SUM(Table1[[#This Row],[Health]])</f>
        <v>178.5</v>
      </c>
      <c r="AF218" s="1">
        <f>SUM(Table1[[#This Row],[Recreation and amusement]],Table1[[#This Row],[Education]])/2</f>
        <v>169.8</v>
      </c>
      <c r="AG218" s="1">
        <f>SUM(Table1[[#This Row],[Miscellaneous]],Table1[[#This Row],[Personal care and effects]])/2</f>
        <v>173.85000000000002</v>
      </c>
    </row>
    <row r="219" spans="1:33" x14ac:dyDescent="0.3">
      <c r="A219" t="s">
        <v>35</v>
      </c>
      <c r="B219">
        <v>2023</v>
      </c>
      <c r="C219" t="s">
        <v>41</v>
      </c>
      <c r="D219">
        <v>173.8</v>
      </c>
      <c r="E219">
        <v>210.7</v>
      </c>
      <c r="F219">
        <v>194.5</v>
      </c>
      <c r="G219">
        <v>174.6</v>
      </c>
      <c r="H219">
        <v>187.2</v>
      </c>
      <c r="I219">
        <v>158.30000000000001</v>
      </c>
      <c r="J219">
        <v>153.9</v>
      </c>
      <c r="K219">
        <v>170.9</v>
      </c>
      <c r="L219">
        <v>121.1</v>
      </c>
      <c r="M219">
        <v>208.4</v>
      </c>
      <c r="N219">
        <v>171.4</v>
      </c>
      <c r="O219">
        <v>191.2</v>
      </c>
      <c r="P219">
        <v>176.7</v>
      </c>
      <c r="Q219">
        <v>172.1</v>
      </c>
      <c r="R219">
        <v>182</v>
      </c>
      <c r="S219">
        <v>172.9</v>
      </c>
      <c r="T219">
        <v>182.3</v>
      </c>
      <c r="U219">
        <v>163.6</v>
      </c>
      <c r="V219">
        <v>169.5</v>
      </c>
      <c r="W219">
        <v>174.3</v>
      </c>
      <c r="X219">
        <v>178.6</v>
      </c>
      <c r="Y219">
        <v>172.8</v>
      </c>
      <c r="Z219">
        <v>176.5</v>
      </c>
      <c r="AA219" s="1">
        <f>SUM(Table1[[#This Row],[Cereals and products]:[Food and beverages]])/13</f>
        <v>176.36153846153846</v>
      </c>
      <c r="AB219" s="1">
        <f>SUM(Table1[[#This Row],[Fuel and light]])</f>
        <v>182</v>
      </c>
      <c r="AC219" s="1">
        <f>SUM(Table1[[#This Row],[Transport and communication]])</f>
        <v>163.6</v>
      </c>
      <c r="AD219" s="1">
        <f>SUM(Table1[[#This Row],[Housing]],Table1[[#This Row],[Household goods and services]])/2</f>
        <v>172.5</v>
      </c>
      <c r="AE219" s="1">
        <f>SUM(Table1[[#This Row],[Health]])</f>
        <v>182.3</v>
      </c>
      <c r="AF219" s="1">
        <f>SUM(Table1[[#This Row],[Recreation and amusement]],Table1[[#This Row],[Education]])/2</f>
        <v>171.9</v>
      </c>
      <c r="AG219" s="1">
        <f>SUM(Table1[[#This Row],[Miscellaneous]],Table1[[#This Row],[Personal care and effects]])/2</f>
        <v>175.7</v>
      </c>
    </row>
    <row r="220" spans="1:33" hidden="1" x14ac:dyDescent="0.3">
      <c r="A220" t="s">
        <v>33</v>
      </c>
      <c r="B220">
        <v>2023</v>
      </c>
      <c r="C220" t="s">
        <v>41</v>
      </c>
      <c r="D220">
        <v>174</v>
      </c>
      <c r="E220">
        <v>208.3</v>
      </c>
      <c r="F220">
        <v>192.9</v>
      </c>
      <c r="G220">
        <v>174.3</v>
      </c>
      <c r="H220">
        <v>192.6</v>
      </c>
      <c r="I220">
        <v>156.30000000000001</v>
      </c>
      <c r="J220">
        <v>142.9</v>
      </c>
      <c r="K220">
        <v>170.7</v>
      </c>
      <c r="L220">
        <v>120.3</v>
      </c>
      <c r="M220">
        <v>210.5</v>
      </c>
      <c r="N220">
        <v>176.9</v>
      </c>
      <c r="O220">
        <v>188.5</v>
      </c>
      <c r="P220">
        <v>175</v>
      </c>
      <c r="Q220">
        <f>AVERAGE(Q218:Q219)</f>
        <v>172.1</v>
      </c>
      <c r="R220">
        <v>183.2</v>
      </c>
      <c r="S220">
        <v>177.2</v>
      </c>
      <c r="T220">
        <v>184.7</v>
      </c>
      <c r="U220">
        <v>168.2</v>
      </c>
      <c r="V220">
        <v>171.8</v>
      </c>
      <c r="W220">
        <v>177.8</v>
      </c>
      <c r="X220">
        <v>178.4</v>
      </c>
      <c r="Y220">
        <v>176.5</v>
      </c>
      <c r="Z220">
        <v>177.8</v>
      </c>
      <c r="AA220" s="1">
        <f>SUM(Table1[[#This Row],[Cereals and products]:[Food and beverages]])/13</f>
        <v>175.63076923076926</v>
      </c>
      <c r="AB220" s="1">
        <f>SUM(Table1[[#This Row],[Fuel and light]])</f>
        <v>183.2</v>
      </c>
      <c r="AC220" s="1">
        <f>SUM(Table1[[#This Row],[Transport and communication]])</f>
        <v>168.2</v>
      </c>
      <c r="AD220" s="1">
        <f>SUM(Table1[[#This Row],[Housing]],Table1[[#This Row],[Household goods and services]])/2</f>
        <v>174.64999999999998</v>
      </c>
      <c r="AE220" s="1">
        <f>SUM(Table1[[#This Row],[Health]])</f>
        <v>184.7</v>
      </c>
      <c r="AF220" s="1">
        <f>SUM(Table1[[#This Row],[Recreation and amusement]],Table1[[#This Row],[Education]])/2</f>
        <v>174.8</v>
      </c>
      <c r="AG220" s="1">
        <f>SUM(Table1[[#This Row],[Miscellaneous]],Table1[[#This Row],[Personal care and effects]])/2</f>
        <v>177.45</v>
      </c>
    </row>
    <row r="221" spans="1:33" hidden="1" x14ac:dyDescent="0.3">
      <c r="A221" t="s">
        <v>33</v>
      </c>
      <c r="B221">
        <v>2022</v>
      </c>
      <c r="C221" t="s">
        <v>41</v>
      </c>
      <c r="D221">
        <v>148.30000000000001</v>
      </c>
      <c r="E221">
        <v>196.9</v>
      </c>
      <c r="F221">
        <v>178</v>
      </c>
      <c r="G221">
        <v>160.5</v>
      </c>
      <c r="H221">
        <v>192.6</v>
      </c>
      <c r="I221">
        <v>151.19999999999999</v>
      </c>
      <c r="J221">
        <v>159.19999999999999</v>
      </c>
      <c r="K221">
        <v>164</v>
      </c>
      <c r="L221">
        <v>119.3</v>
      </c>
      <c r="M221">
        <v>173.3</v>
      </c>
      <c r="N221">
        <v>169.8</v>
      </c>
      <c r="O221">
        <v>175.8</v>
      </c>
      <c r="P221">
        <v>164.1</v>
      </c>
      <c r="Q221">
        <f>AVERAGE(Q222:Q223)</f>
        <v>164.5</v>
      </c>
      <c r="R221">
        <v>165.8</v>
      </c>
      <c r="S221">
        <v>164.9</v>
      </c>
      <c r="T221">
        <v>174.7</v>
      </c>
      <c r="U221">
        <v>160.80000000000001</v>
      </c>
      <c r="V221">
        <v>164.9</v>
      </c>
      <c r="W221">
        <v>169.9</v>
      </c>
      <c r="X221">
        <v>163.19999999999999</v>
      </c>
      <c r="Y221">
        <v>166.6</v>
      </c>
      <c r="Z221">
        <v>166.4</v>
      </c>
      <c r="AA221" s="1">
        <f>SUM(Table1[[#This Row],[Cereals and products]:[Food and beverages]])/13</f>
        <v>165.61538461538461</v>
      </c>
      <c r="AB221" s="1">
        <f>SUM(Table1[[#This Row],[Fuel and light]])</f>
        <v>165.8</v>
      </c>
      <c r="AC221" s="1">
        <f>SUM(Table1[[#This Row],[Transport and communication]])</f>
        <v>160.80000000000001</v>
      </c>
      <c r="AD221" s="1">
        <f>SUM(Table1[[#This Row],[Housing]],Table1[[#This Row],[Household goods and services]])/2</f>
        <v>164.7</v>
      </c>
      <c r="AE221" s="1">
        <f>SUM(Table1[[#This Row],[Health]])</f>
        <v>174.7</v>
      </c>
      <c r="AF221" s="1">
        <f>SUM(Table1[[#This Row],[Recreation and amusement]],Table1[[#This Row],[Education]])/2</f>
        <v>167.4</v>
      </c>
      <c r="AG221" s="1">
        <f>SUM(Table1[[#This Row],[Miscellaneous]],Table1[[#This Row],[Personal care and effects]])/2</f>
        <v>164.89999999999998</v>
      </c>
    </row>
    <row r="222" spans="1:33" hidden="1" x14ac:dyDescent="0.3">
      <c r="A222" t="s">
        <v>35</v>
      </c>
      <c r="B222">
        <v>2022</v>
      </c>
      <c r="C222" t="s">
        <v>41</v>
      </c>
      <c r="D222">
        <v>149.5</v>
      </c>
      <c r="E222">
        <v>198.7</v>
      </c>
      <c r="F222">
        <v>178.8</v>
      </c>
      <c r="G222">
        <v>160.5</v>
      </c>
      <c r="H222">
        <v>184.7</v>
      </c>
      <c r="I222">
        <v>153.69999999999999</v>
      </c>
      <c r="J222">
        <v>174.3</v>
      </c>
      <c r="K222">
        <v>163.9</v>
      </c>
      <c r="L222">
        <v>120</v>
      </c>
      <c r="M222">
        <v>172.1</v>
      </c>
      <c r="N222">
        <v>164.3</v>
      </c>
      <c r="O222">
        <v>177.3</v>
      </c>
      <c r="P222">
        <v>166.4</v>
      </c>
      <c r="Q222">
        <v>164.5</v>
      </c>
      <c r="R222">
        <v>164.2</v>
      </c>
      <c r="S222">
        <v>161.1</v>
      </c>
      <c r="T222">
        <v>171.4</v>
      </c>
      <c r="U222">
        <v>156.5</v>
      </c>
      <c r="V222">
        <v>161.19999999999999</v>
      </c>
      <c r="W222">
        <v>164.7</v>
      </c>
      <c r="X222">
        <v>163</v>
      </c>
      <c r="Y222">
        <v>162.69999999999999</v>
      </c>
      <c r="Z222">
        <v>165.7</v>
      </c>
      <c r="AA222" s="1">
        <f>SUM(Table1[[#This Row],[Cereals and products]:[Food and beverages]])/13</f>
        <v>166.47692307692307</v>
      </c>
      <c r="AB222" s="1">
        <f>SUM(Table1[[#This Row],[Fuel and light]])</f>
        <v>164.2</v>
      </c>
      <c r="AC222" s="1">
        <f>SUM(Table1[[#This Row],[Transport and communication]])</f>
        <v>156.5</v>
      </c>
      <c r="AD222" s="1">
        <f>SUM(Table1[[#This Row],[Housing]],Table1[[#This Row],[Household goods and services]])/2</f>
        <v>162.80000000000001</v>
      </c>
      <c r="AE222" s="1">
        <f>SUM(Table1[[#This Row],[Health]])</f>
        <v>171.4</v>
      </c>
      <c r="AF222" s="1">
        <f>SUM(Table1[[#This Row],[Recreation and amusement]],Table1[[#This Row],[Education]])/2</f>
        <v>162.94999999999999</v>
      </c>
      <c r="AG222" s="1">
        <f>SUM(Table1[[#This Row],[Miscellaneous]],Table1[[#This Row],[Personal care and effects]])/2</f>
        <v>162.85</v>
      </c>
    </row>
    <row r="223" spans="1:33" hidden="1" x14ac:dyDescent="0.3">
      <c r="A223" t="s">
        <v>36</v>
      </c>
      <c r="B223">
        <v>2022</v>
      </c>
      <c r="C223" t="s">
        <v>41</v>
      </c>
      <c r="D223">
        <v>152.19999999999999</v>
      </c>
      <c r="E223">
        <v>202.1</v>
      </c>
      <c r="F223">
        <v>180.1</v>
      </c>
      <c r="G223">
        <v>160.4</v>
      </c>
      <c r="H223">
        <v>171</v>
      </c>
      <c r="I223">
        <v>156.5</v>
      </c>
      <c r="J223">
        <v>203.6</v>
      </c>
      <c r="K223">
        <v>163.80000000000001</v>
      </c>
      <c r="L223">
        <v>121.3</v>
      </c>
      <c r="M223">
        <v>169.8</v>
      </c>
      <c r="N223">
        <v>156.6</v>
      </c>
      <c r="O223">
        <v>179</v>
      </c>
      <c r="P223">
        <v>170.3</v>
      </c>
      <c r="Q223">
        <v>164.5</v>
      </c>
      <c r="R223">
        <v>161.6</v>
      </c>
      <c r="S223">
        <v>156.80000000000001</v>
      </c>
      <c r="T223">
        <v>166.1</v>
      </c>
      <c r="U223">
        <v>152.69999999999999</v>
      </c>
      <c r="V223">
        <v>158.4</v>
      </c>
      <c r="W223">
        <v>161</v>
      </c>
      <c r="X223">
        <v>162.80000000000001</v>
      </c>
      <c r="Y223">
        <v>158.6</v>
      </c>
      <c r="Z223">
        <v>165</v>
      </c>
      <c r="AA223" s="1">
        <f>SUM(Table1[[#This Row],[Cereals and products]:[Food and beverages]])/13</f>
        <v>168.2076923076923</v>
      </c>
      <c r="AB223" s="1">
        <f>SUM(Table1[[#This Row],[Fuel and light]])</f>
        <v>161.6</v>
      </c>
      <c r="AC223" s="1">
        <f>SUM(Table1[[#This Row],[Transport and communication]])</f>
        <v>152.69999999999999</v>
      </c>
      <c r="AD223" s="1">
        <f>SUM(Table1[[#This Row],[Housing]],Table1[[#This Row],[Household goods and services]])/2</f>
        <v>160.65</v>
      </c>
      <c r="AE223" s="1">
        <f>SUM(Table1[[#This Row],[Health]])</f>
        <v>166.1</v>
      </c>
      <c r="AF223" s="1">
        <f>SUM(Table1[[#This Row],[Recreation and amusement]],Table1[[#This Row],[Education]])/2</f>
        <v>159.69999999999999</v>
      </c>
      <c r="AG223" s="1">
        <f>SUM(Table1[[#This Row],[Miscellaneous]],Table1[[#This Row],[Personal care and effects]])/2</f>
        <v>160.69999999999999</v>
      </c>
    </row>
    <row r="224" spans="1:33" hidden="1" x14ac:dyDescent="0.3">
      <c r="A224" t="s">
        <v>33</v>
      </c>
      <c r="B224">
        <v>2020</v>
      </c>
      <c r="C224" t="s">
        <v>40</v>
      </c>
      <c r="D224">
        <v>146</v>
      </c>
      <c r="E224">
        <v>186.3</v>
      </c>
      <c r="F224">
        <v>159.19999999999999</v>
      </c>
      <c r="G224">
        <v>153.6</v>
      </c>
      <c r="H224">
        <v>142.6</v>
      </c>
      <c r="I224">
        <v>147.19999999999999</v>
      </c>
      <c r="J224">
        <v>200.6</v>
      </c>
      <c r="K224">
        <v>150.30000000000001</v>
      </c>
      <c r="L224">
        <v>115.3</v>
      </c>
      <c r="M224">
        <v>160.9</v>
      </c>
      <c r="N224">
        <v>147.4</v>
      </c>
      <c r="O224">
        <v>161.9</v>
      </c>
      <c r="P224">
        <v>159.6</v>
      </c>
      <c r="Q224">
        <v>153</v>
      </c>
      <c r="R224">
        <v>146.80000000000001</v>
      </c>
      <c r="S224">
        <v>152</v>
      </c>
      <c r="T224">
        <v>159.5</v>
      </c>
      <c r="U224">
        <v>146.4</v>
      </c>
      <c r="V224">
        <v>152.4</v>
      </c>
      <c r="W224">
        <v>162.5</v>
      </c>
      <c r="X224">
        <v>156.19999999999999</v>
      </c>
      <c r="Y224">
        <v>154.30000000000001</v>
      </c>
      <c r="Z224">
        <v>157.5</v>
      </c>
      <c r="AA224" s="1">
        <f>SUM(Table1[[#This Row],[Cereals and products]:[Food and beverages]])/13</f>
        <v>156.22307692307692</v>
      </c>
      <c r="AB224" s="1">
        <f>SUM(Table1[[#This Row],[Fuel and light]])</f>
        <v>146.80000000000001</v>
      </c>
      <c r="AC224" s="1">
        <f>SUM(Table1[[#This Row],[Transport and communication]])</f>
        <v>146.4</v>
      </c>
      <c r="AD224" s="1">
        <f>SUM(Table1[[#This Row],[Housing]],Table1[[#This Row],[Household goods and services]])/2</f>
        <v>152.5</v>
      </c>
      <c r="AE224" s="1">
        <f>SUM(Table1[[#This Row],[Health]])</f>
        <v>159.5</v>
      </c>
      <c r="AF224" s="1">
        <f>SUM(Table1[[#This Row],[Recreation and amusement]],Table1[[#This Row],[Education]])/2</f>
        <v>157.44999999999999</v>
      </c>
      <c r="AG224" s="1">
        <f>SUM(Table1[[#This Row],[Miscellaneous]],Table1[[#This Row],[Personal care and effects]])/2</f>
        <v>155.25</v>
      </c>
    </row>
    <row r="225" spans="1:33" hidden="1" x14ac:dyDescent="0.3">
      <c r="A225" t="s">
        <v>35</v>
      </c>
      <c r="B225">
        <v>2020</v>
      </c>
      <c r="C225" t="s">
        <v>40</v>
      </c>
      <c r="D225">
        <v>147.5</v>
      </c>
      <c r="E225">
        <v>188.9</v>
      </c>
      <c r="F225">
        <v>161.4</v>
      </c>
      <c r="G225">
        <v>153.6</v>
      </c>
      <c r="H225">
        <v>140.1</v>
      </c>
      <c r="I225">
        <v>151.19999999999999</v>
      </c>
      <c r="J225">
        <v>209.2</v>
      </c>
      <c r="K225">
        <v>150.9</v>
      </c>
      <c r="L225">
        <v>116.2</v>
      </c>
      <c r="M225">
        <v>161</v>
      </c>
      <c r="N225">
        <v>144</v>
      </c>
      <c r="O225">
        <v>163.19999999999999</v>
      </c>
      <c r="P225">
        <v>161.4</v>
      </c>
      <c r="Q225">
        <v>156.5</v>
      </c>
      <c r="R225">
        <v>143.1</v>
      </c>
      <c r="S225">
        <v>148.69999999999999</v>
      </c>
      <c r="T225">
        <v>156.30000000000001</v>
      </c>
      <c r="U225">
        <v>140.6</v>
      </c>
      <c r="V225">
        <v>146.5</v>
      </c>
      <c r="W225">
        <v>158.5</v>
      </c>
      <c r="X225">
        <v>157</v>
      </c>
      <c r="Y225">
        <v>150.4</v>
      </c>
      <c r="Z225">
        <v>156.4</v>
      </c>
      <c r="AA225" s="1">
        <f>SUM(Table1[[#This Row],[Cereals and products]:[Food and beverages]])/13</f>
        <v>157.5846153846154</v>
      </c>
      <c r="AB225" s="1">
        <f>SUM(Table1[[#This Row],[Fuel and light]])</f>
        <v>143.1</v>
      </c>
      <c r="AC225" s="1">
        <f>SUM(Table1[[#This Row],[Transport and communication]])</f>
        <v>140.6</v>
      </c>
      <c r="AD225" s="1">
        <f>SUM(Table1[[#This Row],[Housing]],Table1[[#This Row],[Household goods and services]])/2</f>
        <v>152.6</v>
      </c>
      <c r="AE225" s="1">
        <f>SUM(Table1[[#This Row],[Health]])</f>
        <v>156.30000000000001</v>
      </c>
      <c r="AF225" s="1">
        <f>SUM(Table1[[#This Row],[Recreation and amusement]],Table1[[#This Row],[Education]])/2</f>
        <v>152.5</v>
      </c>
      <c r="AG225" s="1">
        <f>SUM(Table1[[#This Row],[Miscellaneous]],Table1[[#This Row],[Personal care and effects]])/2</f>
        <v>153.69999999999999</v>
      </c>
    </row>
    <row r="226" spans="1:33" hidden="1" x14ac:dyDescent="0.3">
      <c r="A226" t="s">
        <v>36</v>
      </c>
      <c r="B226">
        <v>2020</v>
      </c>
      <c r="C226" t="s">
        <v>40</v>
      </c>
      <c r="D226">
        <v>150.6</v>
      </c>
      <c r="E226">
        <v>193.7</v>
      </c>
      <c r="F226">
        <v>164.8</v>
      </c>
      <c r="G226">
        <v>153.69999999999999</v>
      </c>
      <c r="H226">
        <v>135.69999999999999</v>
      </c>
      <c r="I226">
        <v>155.69999999999999</v>
      </c>
      <c r="J226">
        <v>226</v>
      </c>
      <c r="K226">
        <v>152.19999999999999</v>
      </c>
      <c r="L226">
        <v>118.1</v>
      </c>
      <c r="M226">
        <v>161.30000000000001</v>
      </c>
      <c r="N226">
        <v>139.19999999999999</v>
      </c>
      <c r="O226">
        <v>164.8</v>
      </c>
      <c r="P226">
        <v>164.4</v>
      </c>
      <c r="Q226">
        <v>156.5</v>
      </c>
      <c r="R226">
        <v>137.1</v>
      </c>
      <c r="S226">
        <v>145.1</v>
      </c>
      <c r="T226">
        <v>151</v>
      </c>
      <c r="U226">
        <v>135.4</v>
      </c>
      <c r="V226">
        <v>142</v>
      </c>
      <c r="W226">
        <v>155.69999999999999</v>
      </c>
      <c r="X226">
        <v>158.1</v>
      </c>
      <c r="Y226">
        <v>146.19999999999999</v>
      </c>
      <c r="Z226">
        <v>155.19999999999999</v>
      </c>
      <c r="AA226" s="1">
        <f>SUM(Table1[[#This Row],[Cereals and products]:[Food and beverages]])/13</f>
        <v>160.01538461538459</v>
      </c>
      <c r="AB226" s="1">
        <f>SUM(Table1[[#This Row],[Fuel and light]])</f>
        <v>137.1</v>
      </c>
      <c r="AC226" s="1">
        <f>SUM(Table1[[#This Row],[Transport and communication]])</f>
        <v>135.4</v>
      </c>
      <c r="AD226" s="1">
        <f>SUM(Table1[[#This Row],[Housing]],Table1[[#This Row],[Household goods and services]])/2</f>
        <v>150.80000000000001</v>
      </c>
      <c r="AE226" s="1">
        <f>SUM(Table1[[#This Row],[Health]])</f>
        <v>151</v>
      </c>
      <c r="AF226" s="1">
        <f>SUM(Table1[[#This Row],[Recreation and amusement]],Table1[[#This Row],[Education]])/2</f>
        <v>148.85</v>
      </c>
      <c r="AG226" s="1">
        <f>SUM(Table1[[#This Row],[Miscellaneous]],Table1[[#This Row],[Personal care and effects]])/2</f>
        <v>152.14999999999998</v>
      </c>
    </row>
    <row r="227" spans="1:33" hidden="1" x14ac:dyDescent="0.3">
      <c r="A227" t="s">
        <v>33</v>
      </c>
      <c r="B227">
        <v>2020</v>
      </c>
      <c r="C227" t="s">
        <v>34</v>
      </c>
      <c r="D227">
        <v>146.9</v>
      </c>
      <c r="E227">
        <v>183.9</v>
      </c>
      <c r="F227">
        <v>149.5</v>
      </c>
      <c r="G227">
        <v>153.4</v>
      </c>
      <c r="H227">
        <v>140.4</v>
      </c>
      <c r="I227">
        <v>147</v>
      </c>
      <c r="J227">
        <v>178.8</v>
      </c>
      <c r="K227">
        <v>149.30000000000001</v>
      </c>
      <c r="L227">
        <v>115.1</v>
      </c>
      <c r="M227">
        <v>160</v>
      </c>
      <c r="N227">
        <v>145.4</v>
      </c>
      <c r="O227">
        <v>161.6</v>
      </c>
      <c r="P227">
        <v>156.1</v>
      </c>
      <c r="Q227">
        <v>152.19999999999999</v>
      </c>
      <c r="R227">
        <v>146.4</v>
      </c>
      <c r="S227">
        <v>151.6</v>
      </c>
      <c r="T227">
        <v>159.1</v>
      </c>
      <c r="U227">
        <v>144.6</v>
      </c>
      <c r="V227">
        <v>152.80000000000001</v>
      </c>
      <c r="W227">
        <v>161.1</v>
      </c>
      <c r="X227">
        <v>157.4</v>
      </c>
      <c r="Y227">
        <v>153.69999999999999</v>
      </c>
      <c r="Z227">
        <v>155.4</v>
      </c>
      <c r="AA227" s="1">
        <f>SUM(Table1[[#This Row],[Cereals and products]:[Food and beverages]])/13</f>
        <v>152.87692307692308</v>
      </c>
      <c r="AB227" s="1">
        <f>SUM(Table1[[#This Row],[Fuel and light]])</f>
        <v>146.4</v>
      </c>
      <c r="AC227" s="1">
        <f>SUM(Table1[[#This Row],[Transport and communication]])</f>
        <v>144.6</v>
      </c>
      <c r="AD227" s="1">
        <f>SUM(Table1[[#This Row],[Housing]],Table1[[#This Row],[Household goods and services]])/2</f>
        <v>151.89999999999998</v>
      </c>
      <c r="AE227" s="1">
        <f>SUM(Table1[[#This Row],[Health]])</f>
        <v>159.1</v>
      </c>
      <c r="AF227" s="1">
        <f>SUM(Table1[[#This Row],[Recreation and amusement]],Table1[[#This Row],[Education]])/2</f>
        <v>156.94999999999999</v>
      </c>
      <c r="AG227" s="1">
        <f>SUM(Table1[[#This Row],[Miscellaneous]],Table1[[#This Row],[Personal care and effects]])/2</f>
        <v>155.55000000000001</v>
      </c>
    </row>
    <row r="228" spans="1:33" hidden="1" x14ac:dyDescent="0.3">
      <c r="A228" t="s">
        <v>35</v>
      </c>
      <c r="B228">
        <v>2020</v>
      </c>
      <c r="C228" t="s">
        <v>34</v>
      </c>
      <c r="D228">
        <v>148.4</v>
      </c>
      <c r="E228">
        <v>187.1</v>
      </c>
      <c r="F228">
        <v>152.5</v>
      </c>
      <c r="G228">
        <v>153.6</v>
      </c>
      <c r="H228">
        <v>138.19999999999999</v>
      </c>
      <c r="I228">
        <v>150.9</v>
      </c>
      <c r="J228">
        <v>186.7</v>
      </c>
      <c r="K228">
        <v>149.80000000000001</v>
      </c>
      <c r="L228">
        <v>116.4</v>
      </c>
      <c r="M228">
        <v>160.30000000000001</v>
      </c>
      <c r="N228">
        <v>142.19999999999999</v>
      </c>
      <c r="O228">
        <v>162.9</v>
      </c>
      <c r="P228">
        <v>158</v>
      </c>
      <c r="Q228">
        <v>156.30000000000001</v>
      </c>
      <c r="R228">
        <v>142.9</v>
      </c>
      <c r="S228">
        <v>148.69999999999999</v>
      </c>
      <c r="T228">
        <v>155.6</v>
      </c>
      <c r="U228">
        <v>139.6</v>
      </c>
      <c r="V228">
        <v>146.6</v>
      </c>
      <c r="W228">
        <v>157.5</v>
      </c>
      <c r="X228">
        <v>158.4</v>
      </c>
      <c r="Y228">
        <v>150</v>
      </c>
      <c r="Z228">
        <v>154.69999999999999</v>
      </c>
      <c r="AA228" s="1">
        <f>SUM(Table1[[#This Row],[Cereals and products]:[Food and beverages]])/13</f>
        <v>154.38461538461539</v>
      </c>
      <c r="AB228" s="1">
        <f>SUM(Table1[[#This Row],[Fuel and light]])</f>
        <v>142.9</v>
      </c>
      <c r="AC228" s="1">
        <f>SUM(Table1[[#This Row],[Transport and communication]])</f>
        <v>139.6</v>
      </c>
      <c r="AD228" s="1">
        <f>SUM(Table1[[#This Row],[Housing]],Table1[[#This Row],[Household goods and services]])/2</f>
        <v>152.5</v>
      </c>
      <c r="AE228" s="1">
        <f>SUM(Table1[[#This Row],[Health]])</f>
        <v>155.6</v>
      </c>
      <c r="AF228" s="1">
        <f>SUM(Table1[[#This Row],[Recreation and amusement]],Table1[[#This Row],[Education]])/2</f>
        <v>152.05000000000001</v>
      </c>
      <c r="AG228" s="1">
        <f>SUM(Table1[[#This Row],[Miscellaneous]],Table1[[#This Row],[Personal care and effects]])/2</f>
        <v>154.19999999999999</v>
      </c>
    </row>
    <row r="229" spans="1:33" hidden="1" x14ac:dyDescent="0.3">
      <c r="A229" t="s">
        <v>36</v>
      </c>
      <c r="B229">
        <v>2020</v>
      </c>
      <c r="C229" t="s">
        <v>34</v>
      </c>
      <c r="D229">
        <v>151.5</v>
      </c>
      <c r="E229">
        <v>193.1</v>
      </c>
      <c r="F229">
        <v>157.30000000000001</v>
      </c>
      <c r="G229">
        <v>153.9</v>
      </c>
      <c r="H229">
        <v>134.4</v>
      </c>
      <c r="I229">
        <v>155.4</v>
      </c>
      <c r="J229">
        <v>202</v>
      </c>
      <c r="K229">
        <v>150.80000000000001</v>
      </c>
      <c r="L229">
        <v>118.9</v>
      </c>
      <c r="M229">
        <v>160.9</v>
      </c>
      <c r="N229">
        <v>137.69999999999999</v>
      </c>
      <c r="O229">
        <v>164.4</v>
      </c>
      <c r="P229">
        <v>161.30000000000001</v>
      </c>
      <c r="Q229">
        <v>156.30000000000001</v>
      </c>
      <c r="R229">
        <v>137.19999999999999</v>
      </c>
      <c r="S229">
        <v>145.4</v>
      </c>
      <c r="T229">
        <v>150</v>
      </c>
      <c r="U229">
        <v>135.1</v>
      </c>
      <c r="V229">
        <v>141.80000000000001</v>
      </c>
      <c r="W229">
        <v>154.9</v>
      </c>
      <c r="X229">
        <v>159.80000000000001</v>
      </c>
      <c r="Y229">
        <v>146</v>
      </c>
      <c r="Z229">
        <v>154</v>
      </c>
      <c r="AA229" s="1">
        <f>SUM(Table1[[#This Row],[Cereals and products]:[Food and beverages]])/13</f>
        <v>157.04615384615386</v>
      </c>
      <c r="AB229" s="1">
        <f>SUM(Table1[[#This Row],[Fuel and light]])</f>
        <v>137.19999999999999</v>
      </c>
      <c r="AC229" s="1">
        <f>SUM(Table1[[#This Row],[Transport and communication]])</f>
        <v>135.1</v>
      </c>
      <c r="AD229" s="1">
        <f>SUM(Table1[[#This Row],[Housing]],Table1[[#This Row],[Household goods and services]])/2</f>
        <v>150.85000000000002</v>
      </c>
      <c r="AE229" s="1">
        <f>SUM(Table1[[#This Row],[Health]])</f>
        <v>150</v>
      </c>
      <c r="AF229" s="1">
        <f>SUM(Table1[[#This Row],[Recreation and amusement]],Table1[[#This Row],[Education]])/2</f>
        <v>148.35000000000002</v>
      </c>
      <c r="AG229" s="1">
        <f>SUM(Table1[[#This Row],[Miscellaneous]],Table1[[#This Row],[Personal care and effects]])/2</f>
        <v>152.9</v>
      </c>
    </row>
    <row r="230" spans="1:33" hidden="1" x14ac:dyDescent="0.3">
      <c r="A230" t="s">
        <v>33</v>
      </c>
      <c r="B230">
        <v>2021</v>
      </c>
      <c r="C230" t="s">
        <v>48</v>
      </c>
      <c r="D230">
        <v>142.69999999999999</v>
      </c>
      <c r="E230">
        <v>195.5</v>
      </c>
      <c r="F230">
        <v>163.4</v>
      </c>
      <c r="G230">
        <v>155</v>
      </c>
      <c r="H230">
        <v>175.2</v>
      </c>
      <c r="I230">
        <v>160.6</v>
      </c>
      <c r="J230">
        <v>135.1</v>
      </c>
      <c r="K230">
        <v>161.1</v>
      </c>
      <c r="L230">
        <v>112.2</v>
      </c>
      <c r="M230">
        <v>164.4</v>
      </c>
      <c r="N230">
        <v>161.9</v>
      </c>
      <c r="O230">
        <v>166.8</v>
      </c>
      <c r="P230">
        <v>155.6</v>
      </c>
      <c r="Q230">
        <f>AVERAGE(Q231:Q232)</f>
        <v>161.4</v>
      </c>
      <c r="R230">
        <v>156</v>
      </c>
      <c r="S230">
        <v>155.5</v>
      </c>
      <c r="T230">
        <v>165.3</v>
      </c>
      <c r="U230">
        <v>151.69999999999999</v>
      </c>
      <c r="V230">
        <v>158.6</v>
      </c>
      <c r="W230">
        <v>164.1</v>
      </c>
      <c r="X230">
        <v>154.6</v>
      </c>
      <c r="Y230">
        <v>158</v>
      </c>
      <c r="Z230">
        <v>157.6</v>
      </c>
      <c r="AA230" s="1">
        <f>SUM(Table1[[#This Row],[Cereals and products]:[Food and beverages]])/13</f>
        <v>157.65384615384616</v>
      </c>
      <c r="AB230" s="1">
        <f>SUM(Table1[[#This Row],[Fuel and light]])</f>
        <v>156</v>
      </c>
      <c r="AC230" s="1">
        <f>SUM(Table1[[#This Row],[Transport and communication]])</f>
        <v>151.69999999999999</v>
      </c>
      <c r="AD230" s="1">
        <f>SUM(Table1[[#This Row],[Housing]],Table1[[#This Row],[Household goods and services]])/2</f>
        <v>158.44999999999999</v>
      </c>
      <c r="AE230" s="1">
        <f>SUM(Table1[[#This Row],[Health]])</f>
        <v>165.3</v>
      </c>
      <c r="AF230" s="1">
        <f>SUM(Table1[[#This Row],[Recreation and amusement]],Table1[[#This Row],[Education]])/2</f>
        <v>161.35</v>
      </c>
      <c r="AG230" s="1">
        <f>SUM(Table1[[#This Row],[Miscellaneous]],Table1[[#This Row],[Personal care and effects]])/2</f>
        <v>156.30000000000001</v>
      </c>
    </row>
    <row r="231" spans="1:33" hidden="1" x14ac:dyDescent="0.3">
      <c r="A231" t="s">
        <v>35</v>
      </c>
      <c r="B231">
        <v>2021</v>
      </c>
      <c r="C231" t="s">
        <v>48</v>
      </c>
      <c r="D231">
        <v>144.30000000000001</v>
      </c>
      <c r="E231">
        <v>198</v>
      </c>
      <c r="F231">
        <v>164.6</v>
      </c>
      <c r="G231">
        <v>155.4</v>
      </c>
      <c r="H231">
        <v>170.1</v>
      </c>
      <c r="I231">
        <v>164.4</v>
      </c>
      <c r="J231">
        <v>144.1</v>
      </c>
      <c r="K231">
        <v>161.69999999999999</v>
      </c>
      <c r="L231">
        <v>113.1</v>
      </c>
      <c r="M231">
        <v>163.9</v>
      </c>
      <c r="N231">
        <v>157.6</v>
      </c>
      <c r="O231">
        <v>168.9</v>
      </c>
      <c r="P231">
        <v>158</v>
      </c>
      <c r="Q231">
        <v>161.4</v>
      </c>
      <c r="R231">
        <v>155.6</v>
      </c>
      <c r="S231">
        <v>151.80000000000001</v>
      </c>
      <c r="T231">
        <v>162.30000000000001</v>
      </c>
      <c r="U231">
        <v>146.6</v>
      </c>
      <c r="V231">
        <v>153.19999999999999</v>
      </c>
      <c r="W231">
        <v>160.30000000000001</v>
      </c>
      <c r="X231">
        <v>155.4</v>
      </c>
      <c r="Y231">
        <v>154.4</v>
      </c>
      <c r="Z231">
        <v>157.80000000000001</v>
      </c>
      <c r="AA231" s="1">
        <f>SUM(Table1[[#This Row],[Cereals and products]:[Food and beverages]])/13</f>
        <v>158.77692307692308</v>
      </c>
      <c r="AB231" s="1">
        <f>SUM(Table1[[#This Row],[Fuel and light]])</f>
        <v>155.6</v>
      </c>
      <c r="AC231" s="1">
        <f>SUM(Table1[[#This Row],[Transport and communication]])</f>
        <v>146.6</v>
      </c>
      <c r="AD231" s="1">
        <f>SUM(Table1[[#This Row],[Housing]],Table1[[#This Row],[Household goods and services]])/2</f>
        <v>156.60000000000002</v>
      </c>
      <c r="AE231" s="1">
        <f>SUM(Table1[[#This Row],[Health]])</f>
        <v>162.30000000000001</v>
      </c>
      <c r="AF231" s="1">
        <f>SUM(Table1[[#This Row],[Recreation and amusement]],Table1[[#This Row],[Education]])/2</f>
        <v>156.75</v>
      </c>
      <c r="AG231" s="1">
        <f>SUM(Table1[[#This Row],[Miscellaneous]],Table1[[#This Row],[Personal care and effects]])/2</f>
        <v>154.9</v>
      </c>
    </row>
    <row r="232" spans="1:33" hidden="1" x14ac:dyDescent="0.3">
      <c r="A232" t="s">
        <v>36</v>
      </c>
      <c r="B232">
        <v>2021</v>
      </c>
      <c r="C232" t="s">
        <v>48</v>
      </c>
      <c r="D232">
        <v>147.6</v>
      </c>
      <c r="E232">
        <v>202.5</v>
      </c>
      <c r="F232">
        <v>166.4</v>
      </c>
      <c r="G232">
        <v>156</v>
      </c>
      <c r="H232">
        <v>161.4</v>
      </c>
      <c r="I232">
        <v>168.8</v>
      </c>
      <c r="J232">
        <v>161.6</v>
      </c>
      <c r="K232">
        <v>162.80000000000001</v>
      </c>
      <c r="L232">
        <v>114.8</v>
      </c>
      <c r="M232">
        <v>162.80000000000001</v>
      </c>
      <c r="N232">
        <v>151.5</v>
      </c>
      <c r="O232">
        <v>171.4</v>
      </c>
      <c r="P232">
        <v>162</v>
      </c>
      <c r="Q232">
        <v>161.4</v>
      </c>
      <c r="R232">
        <v>154.9</v>
      </c>
      <c r="S232">
        <v>147.6</v>
      </c>
      <c r="T232">
        <v>157.5</v>
      </c>
      <c r="U232">
        <v>142.1</v>
      </c>
      <c r="V232">
        <v>149.1</v>
      </c>
      <c r="W232">
        <v>157.6</v>
      </c>
      <c r="X232">
        <v>156.6</v>
      </c>
      <c r="Y232">
        <v>150.5</v>
      </c>
      <c r="Z232">
        <v>158</v>
      </c>
      <c r="AA232" s="1">
        <f>SUM(Table1[[#This Row],[Cereals and products]:[Food and beverages]])/13</f>
        <v>160.73846153846154</v>
      </c>
      <c r="AB232" s="1">
        <f>SUM(Table1[[#This Row],[Fuel and light]])</f>
        <v>154.9</v>
      </c>
      <c r="AC232" s="1">
        <f>SUM(Table1[[#This Row],[Transport and communication]])</f>
        <v>142.1</v>
      </c>
      <c r="AD232" s="1">
        <f>SUM(Table1[[#This Row],[Housing]],Table1[[#This Row],[Household goods and services]])/2</f>
        <v>154.5</v>
      </c>
      <c r="AE232" s="1">
        <f>SUM(Table1[[#This Row],[Health]])</f>
        <v>157.5</v>
      </c>
      <c r="AF232" s="1">
        <f>SUM(Table1[[#This Row],[Recreation and amusement]],Table1[[#This Row],[Education]])/2</f>
        <v>153.35</v>
      </c>
      <c r="AG232" s="1">
        <f>SUM(Table1[[#This Row],[Miscellaneous]],Table1[[#This Row],[Personal care and effects]])/2</f>
        <v>153.55000000000001</v>
      </c>
    </row>
    <row r="233" spans="1:33" hidden="1" x14ac:dyDescent="0.3">
      <c r="A233" t="s">
        <v>36</v>
      </c>
      <c r="B233">
        <v>2018</v>
      </c>
      <c r="C233" t="s">
        <v>41</v>
      </c>
      <c r="D233">
        <v>134.6</v>
      </c>
      <c r="E233">
        <v>143.69999999999999</v>
      </c>
      <c r="F233">
        <v>143.6</v>
      </c>
      <c r="G233">
        <v>139.6</v>
      </c>
      <c r="H233">
        <v>116.4</v>
      </c>
      <c r="I233">
        <v>133.80000000000001</v>
      </c>
      <c r="J233">
        <v>150.5</v>
      </c>
      <c r="K233">
        <v>118.4</v>
      </c>
      <c r="L233">
        <v>117.3</v>
      </c>
      <c r="M233">
        <v>140.5</v>
      </c>
      <c r="N233">
        <v>125.9</v>
      </c>
      <c r="O233">
        <v>146.80000000000001</v>
      </c>
      <c r="P233">
        <v>137.19999999999999</v>
      </c>
      <c r="Q233">
        <v>140.4</v>
      </c>
      <c r="R233">
        <v>127.3</v>
      </c>
      <c r="S233">
        <v>129.5</v>
      </c>
      <c r="T233">
        <v>129</v>
      </c>
      <c r="U233">
        <v>116.3</v>
      </c>
      <c r="V233">
        <v>126.2</v>
      </c>
      <c r="W233">
        <v>137.1</v>
      </c>
      <c r="X233">
        <v>125.5</v>
      </c>
      <c r="Y233">
        <v>125.8</v>
      </c>
      <c r="Z233">
        <v>134.1</v>
      </c>
      <c r="AA233" s="1">
        <f>SUM(Table1[[#This Row],[Cereals and products]:[Food and beverages]])/13</f>
        <v>134.48461538461541</v>
      </c>
      <c r="AB233" s="1">
        <f>SUM(Table1[[#This Row],[Fuel and light]])</f>
        <v>127.3</v>
      </c>
      <c r="AC233" s="1">
        <f>SUM(Table1[[#This Row],[Transport and communication]])</f>
        <v>116.3</v>
      </c>
      <c r="AD233" s="1">
        <f>SUM(Table1[[#This Row],[Housing]],Table1[[#This Row],[Household goods and services]])/2</f>
        <v>134.94999999999999</v>
      </c>
      <c r="AE233" s="1">
        <f>SUM(Table1[[#This Row],[Health]])</f>
        <v>129</v>
      </c>
      <c r="AF233" s="1">
        <f>SUM(Table1[[#This Row],[Recreation and amusement]],Table1[[#This Row],[Education]])/2</f>
        <v>131.65</v>
      </c>
      <c r="AG233" s="1">
        <f>SUM(Table1[[#This Row],[Miscellaneous]],Table1[[#This Row],[Personal care and effects]])/2</f>
        <v>125.65</v>
      </c>
    </row>
    <row r="234" spans="1:33" hidden="1" x14ac:dyDescent="0.3">
      <c r="A234" t="s">
        <v>35</v>
      </c>
      <c r="B234">
        <v>2018</v>
      </c>
      <c r="C234" t="s">
        <v>41</v>
      </c>
      <c r="D234">
        <v>136</v>
      </c>
      <c r="E234">
        <v>144.19999999999999</v>
      </c>
      <c r="F234">
        <v>143.69999999999999</v>
      </c>
      <c r="G234">
        <v>141.1</v>
      </c>
      <c r="H234">
        <v>120.7</v>
      </c>
      <c r="I234">
        <v>141.30000000000001</v>
      </c>
      <c r="J234">
        <v>151.6</v>
      </c>
      <c r="K234">
        <v>127.3</v>
      </c>
      <c r="L234">
        <v>118.8</v>
      </c>
      <c r="M234">
        <v>137.5</v>
      </c>
      <c r="N234">
        <v>129</v>
      </c>
      <c r="O234">
        <v>149.5</v>
      </c>
      <c r="P234">
        <v>139.19999999999999</v>
      </c>
      <c r="Q234">
        <v>140.4</v>
      </c>
      <c r="R234">
        <v>136.6</v>
      </c>
      <c r="S234">
        <v>134.9</v>
      </c>
      <c r="T234">
        <v>133.30000000000001</v>
      </c>
      <c r="U234">
        <v>119.3</v>
      </c>
      <c r="V234">
        <v>129.69999999999999</v>
      </c>
      <c r="W234">
        <v>139</v>
      </c>
      <c r="X234">
        <v>127.3</v>
      </c>
      <c r="Y234">
        <v>129.1</v>
      </c>
      <c r="Z234">
        <v>136.9</v>
      </c>
      <c r="AA234" s="1">
        <f>SUM(Table1[[#This Row],[Cereals and products]:[Food and beverages]])/13</f>
        <v>136.91538461538462</v>
      </c>
      <c r="AB234" s="1">
        <f>SUM(Table1[[#This Row],[Fuel and light]])</f>
        <v>136.6</v>
      </c>
      <c r="AC234" s="1">
        <f>SUM(Table1[[#This Row],[Transport and communication]])</f>
        <v>119.3</v>
      </c>
      <c r="AD234" s="1">
        <f>SUM(Table1[[#This Row],[Housing]],Table1[[#This Row],[Household goods and services]])/2</f>
        <v>137.65</v>
      </c>
      <c r="AE234" s="1">
        <f>SUM(Table1[[#This Row],[Health]])</f>
        <v>133.30000000000001</v>
      </c>
      <c r="AF234" s="1">
        <f>SUM(Table1[[#This Row],[Recreation and amusement]],Table1[[#This Row],[Education]])/2</f>
        <v>134.35</v>
      </c>
      <c r="AG234" s="1">
        <f>SUM(Table1[[#This Row],[Miscellaneous]],Table1[[#This Row],[Personal care and effects]])/2</f>
        <v>128.19999999999999</v>
      </c>
    </row>
    <row r="235" spans="1:33" hidden="1" x14ac:dyDescent="0.3">
      <c r="A235" t="s">
        <v>33</v>
      </c>
      <c r="B235">
        <v>2018</v>
      </c>
      <c r="C235" t="s">
        <v>41</v>
      </c>
      <c r="D235">
        <v>136.6</v>
      </c>
      <c r="E235">
        <v>144.4</v>
      </c>
      <c r="F235">
        <v>143.80000000000001</v>
      </c>
      <c r="G235">
        <v>142</v>
      </c>
      <c r="H235">
        <v>123.2</v>
      </c>
      <c r="I235">
        <v>147.9</v>
      </c>
      <c r="J235">
        <v>152.1</v>
      </c>
      <c r="K235">
        <v>131.80000000000001</v>
      </c>
      <c r="L235">
        <v>119.5</v>
      </c>
      <c r="M235">
        <v>136</v>
      </c>
      <c r="N235">
        <v>131.19999999999999</v>
      </c>
      <c r="O235">
        <v>151.80000000000001</v>
      </c>
      <c r="P235">
        <v>140.4</v>
      </c>
      <c r="Q235">
        <f>AVERAGE(Q233:Q234)</f>
        <v>140.4</v>
      </c>
      <c r="R235">
        <v>142.30000000000001</v>
      </c>
      <c r="S235">
        <v>139.80000000000001</v>
      </c>
      <c r="T235">
        <v>136</v>
      </c>
      <c r="U235">
        <v>122.7</v>
      </c>
      <c r="V235">
        <v>134.30000000000001</v>
      </c>
      <c r="W235">
        <v>141.6</v>
      </c>
      <c r="X235">
        <v>128.6</v>
      </c>
      <c r="Y235">
        <v>132.30000000000001</v>
      </c>
      <c r="Z235">
        <v>139.30000000000001</v>
      </c>
      <c r="AA235" s="1">
        <f>SUM(Table1[[#This Row],[Cereals and products]:[Food and beverages]])/13</f>
        <v>138.51538461538462</v>
      </c>
      <c r="AB235" s="1">
        <f>SUM(Table1[[#This Row],[Fuel and light]])</f>
        <v>142.30000000000001</v>
      </c>
      <c r="AC235" s="1">
        <f>SUM(Table1[[#This Row],[Transport and communication]])</f>
        <v>122.7</v>
      </c>
      <c r="AD235" s="1">
        <f>SUM(Table1[[#This Row],[Housing]],Table1[[#This Row],[Household goods and services]])/2</f>
        <v>140.10000000000002</v>
      </c>
      <c r="AE235" s="1">
        <f>SUM(Table1[[#This Row],[Health]])</f>
        <v>136</v>
      </c>
      <c r="AF235" s="1">
        <f>SUM(Table1[[#This Row],[Recreation and amusement]],Table1[[#This Row],[Education]])/2</f>
        <v>137.94999999999999</v>
      </c>
      <c r="AG235" s="1">
        <f>SUM(Table1[[#This Row],[Miscellaneous]],Table1[[#This Row],[Personal care and effects]])/2</f>
        <v>130.44999999999999</v>
      </c>
    </row>
    <row r="236" spans="1:33" hidden="1" x14ac:dyDescent="0.3">
      <c r="A236" t="s">
        <v>36</v>
      </c>
      <c r="B236">
        <v>2017</v>
      </c>
      <c r="C236" t="s">
        <v>41</v>
      </c>
      <c r="D236">
        <v>132.19999999999999</v>
      </c>
      <c r="E236">
        <v>138.9</v>
      </c>
      <c r="F236">
        <v>132.6</v>
      </c>
      <c r="G236">
        <v>133.1</v>
      </c>
      <c r="H236">
        <v>114</v>
      </c>
      <c r="I236">
        <v>129.6</v>
      </c>
      <c r="J236">
        <v>118.7</v>
      </c>
      <c r="K236">
        <v>155.1</v>
      </c>
      <c r="L236">
        <v>117.3</v>
      </c>
      <c r="M236">
        <v>144.9</v>
      </c>
      <c r="N236">
        <v>123.2</v>
      </c>
      <c r="O236">
        <v>141.6</v>
      </c>
      <c r="P236">
        <v>132</v>
      </c>
      <c r="Q236">
        <v>129.6</v>
      </c>
      <c r="R236">
        <v>118</v>
      </c>
      <c r="S236">
        <v>125.1</v>
      </c>
      <c r="T236">
        <v>122.6</v>
      </c>
      <c r="U236">
        <v>115.2</v>
      </c>
      <c r="V236">
        <v>122</v>
      </c>
      <c r="W236">
        <v>132.4</v>
      </c>
      <c r="X236">
        <v>120.9</v>
      </c>
      <c r="Y236">
        <v>122.1</v>
      </c>
      <c r="Z236">
        <v>127.8</v>
      </c>
      <c r="AA236" s="1">
        <f>SUM(Table1[[#This Row],[Cereals and products]:[Food and beverages]])/13</f>
        <v>131.78461538461539</v>
      </c>
      <c r="AB236" s="1">
        <f>SUM(Table1[[#This Row],[Fuel and light]])</f>
        <v>118</v>
      </c>
      <c r="AC236" s="1">
        <f>SUM(Table1[[#This Row],[Transport and communication]])</f>
        <v>115.2</v>
      </c>
      <c r="AD236" s="1">
        <f>SUM(Table1[[#This Row],[Housing]],Table1[[#This Row],[Household goods and services]])/2</f>
        <v>127.35</v>
      </c>
      <c r="AE236" s="1">
        <f>SUM(Table1[[#This Row],[Health]])</f>
        <v>122.6</v>
      </c>
      <c r="AF236" s="1">
        <f>SUM(Table1[[#This Row],[Recreation and amusement]],Table1[[#This Row],[Education]])/2</f>
        <v>127.2</v>
      </c>
      <c r="AG236" s="1">
        <f>SUM(Table1[[#This Row],[Miscellaneous]],Table1[[#This Row],[Personal care and effects]])/2</f>
        <v>121.5</v>
      </c>
    </row>
    <row r="237" spans="1:33" hidden="1" x14ac:dyDescent="0.3">
      <c r="A237" t="s">
        <v>35</v>
      </c>
      <c r="B237">
        <v>2017</v>
      </c>
      <c r="C237" t="s">
        <v>41</v>
      </c>
      <c r="D237">
        <v>132.80000000000001</v>
      </c>
      <c r="E237">
        <v>138.19999999999999</v>
      </c>
      <c r="F237">
        <v>132.19999999999999</v>
      </c>
      <c r="G237">
        <v>135.4</v>
      </c>
      <c r="H237">
        <v>119.1</v>
      </c>
      <c r="I237">
        <v>133</v>
      </c>
      <c r="J237">
        <v>119.4</v>
      </c>
      <c r="K237">
        <v>159.5</v>
      </c>
      <c r="L237">
        <v>115.6</v>
      </c>
      <c r="M237">
        <v>139.6</v>
      </c>
      <c r="N237">
        <v>126.6</v>
      </c>
      <c r="O237">
        <v>142.80000000000001</v>
      </c>
      <c r="P237">
        <v>133.1</v>
      </c>
      <c r="Q237">
        <v>129.6</v>
      </c>
      <c r="R237">
        <v>126.8</v>
      </c>
      <c r="S237">
        <v>129.4</v>
      </c>
      <c r="T237">
        <v>127.1</v>
      </c>
      <c r="U237">
        <v>117</v>
      </c>
      <c r="V237">
        <v>124.2</v>
      </c>
      <c r="W237">
        <v>133.30000000000001</v>
      </c>
      <c r="X237">
        <v>121.7</v>
      </c>
      <c r="Y237">
        <v>124.4</v>
      </c>
      <c r="Z237">
        <v>130.30000000000001</v>
      </c>
      <c r="AA237" s="1">
        <f>SUM(Table1[[#This Row],[Cereals and products]:[Food and beverages]])/13</f>
        <v>132.86923076923074</v>
      </c>
      <c r="AB237" s="1">
        <f>SUM(Table1[[#This Row],[Fuel and light]])</f>
        <v>126.8</v>
      </c>
      <c r="AC237" s="1">
        <f>SUM(Table1[[#This Row],[Transport and communication]])</f>
        <v>117</v>
      </c>
      <c r="AD237" s="1">
        <f>SUM(Table1[[#This Row],[Housing]],Table1[[#This Row],[Household goods and services]])/2</f>
        <v>129.5</v>
      </c>
      <c r="AE237" s="1">
        <f>SUM(Table1[[#This Row],[Health]])</f>
        <v>127.1</v>
      </c>
      <c r="AF237" s="1">
        <f>SUM(Table1[[#This Row],[Recreation and amusement]],Table1[[#This Row],[Education]])/2</f>
        <v>128.75</v>
      </c>
      <c r="AG237" s="1">
        <f>SUM(Table1[[#This Row],[Miscellaneous]],Table1[[#This Row],[Personal care and effects]])/2</f>
        <v>123.05000000000001</v>
      </c>
    </row>
    <row r="238" spans="1:33" hidden="1" x14ac:dyDescent="0.3">
      <c r="A238" t="s">
        <v>33</v>
      </c>
      <c r="B238">
        <v>2017</v>
      </c>
      <c r="C238" t="s">
        <v>41</v>
      </c>
      <c r="D238">
        <v>133.1</v>
      </c>
      <c r="E238">
        <v>137.80000000000001</v>
      </c>
      <c r="F238">
        <v>131.9</v>
      </c>
      <c r="G238">
        <v>136.69999999999999</v>
      </c>
      <c r="H238">
        <v>122</v>
      </c>
      <c r="I238">
        <v>136</v>
      </c>
      <c r="J238">
        <v>119.8</v>
      </c>
      <c r="K238">
        <v>161.69999999999999</v>
      </c>
      <c r="L238">
        <v>114.8</v>
      </c>
      <c r="M238">
        <v>136.9</v>
      </c>
      <c r="N238">
        <v>129</v>
      </c>
      <c r="O238">
        <v>143.9</v>
      </c>
      <c r="P238">
        <v>133.69999999999999</v>
      </c>
      <c r="Q238">
        <f>AVERAGE(Q236:Q237)</f>
        <v>129.6</v>
      </c>
      <c r="R238">
        <v>132.1</v>
      </c>
      <c r="S238">
        <v>133.19999999999999</v>
      </c>
      <c r="T238">
        <v>129.9</v>
      </c>
      <c r="U238">
        <v>119.1</v>
      </c>
      <c r="V238">
        <v>127</v>
      </c>
      <c r="W238">
        <v>134.6</v>
      </c>
      <c r="X238">
        <v>122.3</v>
      </c>
      <c r="Y238">
        <v>126.6</v>
      </c>
      <c r="Z238">
        <v>132.4</v>
      </c>
      <c r="AA238" s="1">
        <f>SUM(Table1[[#This Row],[Cereals and products]:[Food and beverages]])/13</f>
        <v>133.63846153846154</v>
      </c>
      <c r="AB238" s="1">
        <f>SUM(Table1[[#This Row],[Fuel and light]])</f>
        <v>132.1</v>
      </c>
      <c r="AC238" s="1">
        <f>SUM(Table1[[#This Row],[Transport and communication]])</f>
        <v>119.1</v>
      </c>
      <c r="AD238" s="1">
        <f>SUM(Table1[[#This Row],[Housing]],Table1[[#This Row],[Household goods and services]])/2</f>
        <v>131.39999999999998</v>
      </c>
      <c r="AE238" s="1">
        <f>SUM(Table1[[#This Row],[Health]])</f>
        <v>129.9</v>
      </c>
      <c r="AF238" s="1">
        <f>SUM(Table1[[#This Row],[Recreation and amusement]],Table1[[#This Row],[Education]])/2</f>
        <v>130.80000000000001</v>
      </c>
      <c r="AG238" s="1">
        <f>SUM(Table1[[#This Row],[Miscellaneous]],Table1[[#This Row],[Personal care and effects]])/2</f>
        <v>124.44999999999999</v>
      </c>
    </row>
    <row r="239" spans="1:33" hidden="1" x14ac:dyDescent="0.3">
      <c r="A239" t="s">
        <v>36</v>
      </c>
      <c r="B239">
        <v>2016</v>
      </c>
      <c r="C239" t="s">
        <v>41</v>
      </c>
      <c r="D239">
        <v>124.7</v>
      </c>
      <c r="E239">
        <v>135.9</v>
      </c>
      <c r="F239">
        <v>132</v>
      </c>
      <c r="G239">
        <v>129.19999999999999</v>
      </c>
      <c r="H239">
        <v>109.7</v>
      </c>
      <c r="I239">
        <v>119</v>
      </c>
      <c r="J239">
        <v>144.1</v>
      </c>
      <c r="K239">
        <v>184.2</v>
      </c>
      <c r="L239">
        <v>96.7</v>
      </c>
      <c r="M239">
        <v>139.5</v>
      </c>
      <c r="N239">
        <v>120.5</v>
      </c>
      <c r="O239">
        <v>134.69999999999999</v>
      </c>
      <c r="P239">
        <v>131.19999999999999</v>
      </c>
      <c r="Q239">
        <v>123.4</v>
      </c>
      <c r="R239">
        <v>116.9</v>
      </c>
      <c r="S239">
        <v>121.6</v>
      </c>
      <c r="T239">
        <v>119.1</v>
      </c>
      <c r="U239">
        <v>108.9</v>
      </c>
      <c r="V239">
        <v>118.5</v>
      </c>
      <c r="W239">
        <v>126.4</v>
      </c>
      <c r="X239">
        <v>114</v>
      </c>
      <c r="Y239">
        <v>116.8</v>
      </c>
      <c r="Z239">
        <v>124.2</v>
      </c>
      <c r="AA239" s="1">
        <f>SUM(Table1[[#This Row],[Cereals and products]:[Food and beverages]])/13</f>
        <v>130.87692307692308</v>
      </c>
      <c r="AB239" s="1">
        <f>SUM(Table1[[#This Row],[Fuel and light]])</f>
        <v>116.9</v>
      </c>
      <c r="AC239" s="1">
        <f>SUM(Table1[[#This Row],[Transport and communication]])</f>
        <v>108.9</v>
      </c>
      <c r="AD239" s="1">
        <f>SUM(Table1[[#This Row],[Housing]],Table1[[#This Row],[Household goods and services]])/2</f>
        <v>122.5</v>
      </c>
      <c r="AE239" s="1">
        <f>SUM(Table1[[#This Row],[Health]])</f>
        <v>119.1</v>
      </c>
      <c r="AF239" s="1">
        <f>SUM(Table1[[#This Row],[Recreation and amusement]],Table1[[#This Row],[Education]])/2</f>
        <v>122.45</v>
      </c>
      <c r="AG239" s="1">
        <f>SUM(Table1[[#This Row],[Miscellaneous]],Table1[[#This Row],[Personal care and effects]])/2</f>
        <v>115.4</v>
      </c>
    </row>
    <row r="240" spans="1:33" hidden="1" x14ac:dyDescent="0.3">
      <c r="A240" t="s">
        <v>35</v>
      </c>
      <c r="B240">
        <v>2016</v>
      </c>
      <c r="C240" t="s">
        <v>41</v>
      </c>
      <c r="D240">
        <v>126.1</v>
      </c>
      <c r="E240">
        <v>134.1</v>
      </c>
      <c r="F240">
        <v>128.6</v>
      </c>
      <c r="G240">
        <v>129.9</v>
      </c>
      <c r="H240">
        <v>115.5</v>
      </c>
      <c r="I240">
        <v>125.7</v>
      </c>
      <c r="J240">
        <v>141.5</v>
      </c>
      <c r="K240">
        <v>170.7</v>
      </c>
      <c r="L240">
        <v>97.4</v>
      </c>
      <c r="M240">
        <v>132.9</v>
      </c>
      <c r="N240">
        <v>122.7</v>
      </c>
      <c r="O240">
        <v>135.30000000000001</v>
      </c>
      <c r="P240">
        <v>131.30000000000001</v>
      </c>
      <c r="Q240">
        <v>123.4</v>
      </c>
      <c r="R240">
        <v>122.7</v>
      </c>
      <c r="S240">
        <v>124.2</v>
      </c>
      <c r="T240">
        <v>122</v>
      </c>
      <c r="U240">
        <v>111.1</v>
      </c>
      <c r="V240">
        <v>119.8</v>
      </c>
      <c r="W240">
        <v>126.3</v>
      </c>
      <c r="X240">
        <v>114.5</v>
      </c>
      <c r="Y240">
        <v>118.5</v>
      </c>
      <c r="Z240">
        <v>126.3</v>
      </c>
      <c r="AA240" s="1">
        <f>SUM(Table1[[#This Row],[Cereals and products]:[Food and beverages]])/13</f>
        <v>130.13076923076923</v>
      </c>
      <c r="AB240" s="1">
        <f>SUM(Table1[[#This Row],[Fuel and light]])</f>
        <v>122.7</v>
      </c>
      <c r="AC240" s="1">
        <f>SUM(Table1[[#This Row],[Transport and communication]])</f>
        <v>111.1</v>
      </c>
      <c r="AD240" s="1">
        <f>SUM(Table1[[#This Row],[Housing]],Table1[[#This Row],[Household goods and services]])/2</f>
        <v>123.80000000000001</v>
      </c>
      <c r="AE240" s="1">
        <f>SUM(Table1[[#This Row],[Health]])</f>
        <v>122</v>
      </c>
      <c r="AF240" s="1">
        <f>SUM(Table1[[#This Row],[Recreation and amusement]],Table1[[#This Row],[Education]])/2</f>
        <v>123.05</v>
      </c>
      <c r="AG240" s="1">
        <f>SUM(Table1[[#This Row],[Miscellaneous]],Table1[[#This Row],[Personal care and effects]])/2</f>
        <v>116.5</v>
      </c>
    </row>
    <row r="241" spans="1:33" hidden="1" x14ac:dyDescent="0.3">
      <c r="A241" t="s">
        <v>33</v>
      </c>
      <c r="B241">
        <v>2016</v>
      </c>
      <c r="C241" t="s">
        <v>41</v>
      </c>
      <c r="D241">
        <v>126.8</v>
      </c>
      <c r="E241">
        <v>133.19999999999999</v>
      </c>
      <c r="F241">
        <v>126.5</v>
      </c>
      <c r="G241">
        <v>130.30000000000001</v>
      </c>
      <c r="H241">
        <v>118.9</v>
      </c>
      <c r="I241">
        <v>131.6</v>
      </c>
      <c r="J241">
        <v>140.1</v>
      </c>
      <c r="K241">
        <v>163.80000000000001</v>
      </c>
      <c r="L241">
        <v>97.7</v>
      </c>
      <c r="M241">
        <v>129.6</v>
      </c>
      <c r="N241">
        <v>124.3</v>
      </c>
      <c r="O241">
        <v>135.9</v>
      </c>
      <c r="P241">
        <v>131.4</v>
      </c>
      <c r="Q241">
        <f>AVERAGE(Q239:Q240)</f>
        <v>123.4</v>
      </c>
      <c r="R241">
        <v>126.2</v>
      </c>
      <c r="S241">
        <v>126.6</v>
      </c>
      <c r="T241">
        <v>123.7</v>
      </c>
      <c r="U241">
        <v>113.6</v>
      </c>
      <c r="V241">
        <v>121.4</v>
      </c>
      <c r="W241">
        <v>126.2</v>
      </c>
      <c r="X241">
        <v>114.9</v>
      </c>
      <c r="Y241">
        <v>120.1</v>
      </c>
      <c r="Z241">
        <v>128.1</v>
      </c>
      <c r="AA241" s="1">
        <f>SUM(Table1[[#This Row],[Cereals and products]:[Food and beverages]])/13</f>
        <v>130.00769230769231</v>
      </c>
      <c r="AB241" s="1">
        <f>SUM(Table1[[#This Row],[Fuel and light]])</f>
        <v>126.2</v>
      </c>
      <c r="AC241" s="1">
        <f>SUM(Table1[[#This Row],[Transport and communication]])</f>
        <v>113.6</v>
      </c>
      <c r="AD241" s="1">
        <f>SUM(Table1[[#This Row],[Housing]],Table1[[#This Row],[Household goods and services]])/2</f>
        <v>125</v>
      </c>
      <c r="AE241" s="1">
        <f>SUM(Table1[[#This Row],[Health]])</f>
        <v>123.7</v>
      </c>
      <c r="AF241" s="1">
        <f>SUM(Table1[[#This Row],[Recreation and amusement]],Table1[[#This Row],[Education]])/2</f>
        <v>123.80000000000001</v>
      </c>
      <c r="AG241" s="1">
        <f>SUM(Table1[[#This Row],[Miscellaneous]],Table1[[#This Row],[Personal care and effects]])/2</f>
        <v>117.5</v>
      </c>
    </row>
    <row r="242" spans="1:33" hidden="1" x14ac:dyDescent="0.3">
      <c r="A242" t="s">
        <v>33</v>
      </c>
      <c r="B242">
        <v>2015</v>
      </c>
      <c r="C242" t="s">
        <v>41</v>
      </c>
      <c r="D242">
        <v>123.1</v>
      </c>
      <c r="E242">
        <v>123.1</v>
      </c>
      <c r="F242">
        <v>122.1</v>
      </c>
      <c r="G242">
        <v>124.9</v>
      </c>
      <c r="H242">
        <v>111</v>
      </c>
      <c r="I242">
        <v>130.4</v>
      </c>
      <c r="J242">
        <v>132.30000000000001</v>
      </c>
      <c r="K242">
        <v>117.2</v>
      </c>
      <c r="L242">
        <v>100.5</v>
      </c>
      <c r="M242">
        <v>117.2</v>
      </c>
      <c r="N242">
        <v>117.9</v>
      </c>
      <c r="O242">
        <v>125.6</v>
      </c>
      <c r="P242">
        <v>122.8</v>
      </c>
      <c r="Q242">
        <f>AVERAGE(Q243:Q244)</f>
        <v>117.3</v>
      </c>
      <c r="R242">
        <v>118.4</v>
      </c>
      <c r="S242">
        <v>118.9</v>
      </c>
      <c r="T242">
        <v>116.6</v>
      </c>
      <c r="U242">
        <v>111</v>
      </c>
      <c r="V242">
        <v>114</v>
      </c>
      <c r="W242">
        <v>118.2</v>
      </c>
      <c r="X242">
        <v>110.2</v>
      </c>
      <c r="Y242">
        <v>114.5</v>
      </c>
      <c r="Z242">
        <v>120.3</v>
      </c>
      <c r="AA242" s="1">
        <f>SUM(Table1[[#This Row],[Cereals and products]:[Food and beverages]])/13</f>
        <v>120.62307692307692</v>
      </c>
      <c r="AB242" s="1">
        <f>SUM(Table1[[#This Row],[Fuel and light]])</f>
        <v>118.4</v>
      </c>
      <c r="AC242" s="1">
        <f>SUM(Table1[[#This Row],[Transport and communication]])</f>
        <v>111</v>
      </c>
      <c r="AD242" s="1">
        <f>SUM(Table1[[#This Row],[Housing]],Table1[[#This Row],[Household goods and services]])/2</f>
        <v>118.1</v>
      </c>
      <c r="AE242" s="1">
        <f>SUM(Table1[[#This Row],[Health]])</f>
        <v>116.6</v>
      </c>
      <c r="AF242" s="1">
        <f>SUM(Table1[[#This Row],[Recreation and amusement]],Table1[[#This Row],[Education]])/2</f>
        <v>116.1</v>
      </c>
      <c r="AG242" s="1">
        <f>SUM(Table1[[#This Row],[Miscellaneous]],Table1[[#This Row],[Personal care and effects]])/2</f>
        <v>112.35</v>
      </c>
    </row>
    <row r="243" spans="1:33" hidden="1" x14ac:dyDescent="0.3">
      <c r="A243" t="s">
        <v>35</v>
      </c>
      <c r="B243">
        <v>2015</v>
      </c>
      <c r="C243" t="s">
        <v>41</v>
      </c>
      <c r="D243">
        <v>123.4</v>
      </c>
      <c r="E243">
        <v>123.9</v>
      </c>
      <c r="F243">
        <v>123.8</v>
      </c>
      <c r="G243">
        <v>125</v>
      </c>
      <c r="H243">
        <v>108.5</v>
      </c>
      <c r="I243">
        <v>126.2</v>
      </c>
      <c r="J243">
        <v>133</v>
      </c>
      <c r="K243">
        <v>119.1</v>
      </c>
      <c r="L243">
        <v>99</v>
      </c>
      <c r="M243">
        <v>120.3</v>
      </c>
      <c r="N243">
        <v>117.3</v>
      </c>
      <c r="O243">
        <v>126.7</v>
      </c>
      <c r="P243">
        <v>123.1</v>
      </c>
      <c r="Q243">
        <v>117.3</v>
      </c>
      <c r="R243">
        <v>116.5</v>
      </c>
      <c r="S243">
        <v>118.1</v>
      </c>
      <c r="T243">
        <v>115.5</v>
      </c>
      <c r="U243">
        <v>109.4</v>
      </c>
      <c r="V243">
        <v>114.3</v>
      </c>
      <c r="W243">
        <v>119.7</v>
      </c>
      <c r="X243">
        <v>110.7</v>
      </c>
      <c r="Y243">
        <v>114</v>
      </c>
      <c r="Z243">
        <v>119.5</v>
      </c>
      <c r="AA243" s="1">
        <f>SUM(Table1[[#This Row],[Cereals and products]:[Food and beverages]])/13</f>
        <v>120.71538461538461</v>
      </c>
      <c r="AB243" s="1">
        <f>SUM(Table1[[#This Row],[Fuel and light]])</f>
        <v>116.5</v>
      </c>
      <c r="AC243" s="1">
        <f>SUM(Table1[[#This Row],[Transport and communication]])</f>
        <v>109.4</v>
      </c>
      <c r="AD243" s="1">
        <f>SUM(Table1[[#This Row],[Housing]],Table1[[#This Row],[Household goods and services]])/2</f>
        <v>117.69999999999999</v>
      </c>
      <c r="AE243" s="1">
        <f>SUM(Table1[[#This Row],[Health]])</f>
        <v>115.5</v>
      </c>
      <c r="AF243" s="1">
        <f>SUM(Table1[[#This Row],[Recreation and amusement]],Table1[[#This Row],[Education]])/2</f>
        <v>117</v>
      </c>
      <c r="AG243" s="1">
        <f>SUM(Table1[[#This Row],[Miscellaneous]],Table1[[#This Row],[Personal care and effects]])/2</f>
        <v>112.35</v>
      </c>
    </row>
    <row r="244" spans="1:33" hidden="1" x14ac:dyDescent="0.3">
      <c r="A244" t="s">
        <v>36</v>
      </c>
      <c r="B244">
        <v>2015</v>
      </c>
      <c r="C244" t="s">
        <v>41</v>
      </c>
      <c r="D244">
        <v>124</v>
      </c>
      <c r="E244">
        <v>125.5</v>
      </c>
      <c r="F244">
        <v>126.6</v>
      </c>
      <c r="G244">
        <v>125.2</v>
      </c>
      <c r="H244">
        <v>104.3</v>
      </c>
      <c r="I244">
        <v>121.3</v>
      </c>
      <c r="J244">
        <v>134.4</v>
      </c>
      <c r="K244">
        <v>122.9</v>
      </c>
      <c r="L244">
        <v>96.1</v>
      </c>
      <c r="M244">
        <v>126.6</v>
      </c>
      <c r="N244">
        <v>116.5</v>
      </c>
      <c r="O244">
        <v>128</v>
      </c>
      <c r="P244">
        <v>123.5</v>
      </c>
      <c r="Q244">
        <v>117.3</v>
      </c>
      <c r="R244">
        <v>113.4</v>
      </c>
      <c r="S244">
        <v>117.2</v>
      </c>
      <c r="T244">
        <v>113.7</v>
      </c>
      <c r="U244">
        <v>107.9</v>
      </c>
      <c r="V244">
        <v>114.6</v>
      </c>
      <c r="W244">
        <v>120.8</v>
      </c>
      <c r="X244">
        <v>111.4</v>
      </c>
      <c r="Y244">
        <v>113.4</v>
      </c>
      <c r="Z244">
        <v>118.5</v>
      </c>
      <c r="AA244" s="1">
        <f>SUM(Table1[[#This Row],[Cereals and products]:[Food and beverages]])/13</f>
        <v>121.14615384615384</v>
      </c>
      <c r="AB244" s="1">
        <f>SUM(Table1[[#This Row],[Fuel and light]])</f>
        <v>113.4</v>
      </c>
      <c r="AC244" s="1">
        <f>SUM(Table1[[#This Row],[Transport and communication]])</f>
        <v>107.9</v>
      </c>
      <c r="AD244" s="1">
        <f>SUM(Table1[[#This Row],[Housing]],Table1[[#This Row],[Household goods and services]])/2</f>
        <v>117.25</v>
      </c>
      <c r="AE244" s="1">
        <f>SUM(Table1[[#This Row],[Health]])</f>
        <v>113.7</v>
      </c>
      <c r="AF244" s="1">
        <f>SUM(Table1[[#This Row],[Recreation and amusement]],Table1[[#This Row],[Education]])/2</f>
        <v>117.69999999999999</v>
      </c>
      <c r="AG244" s="1">
        <f>SUM(Table1[[#This Row],[Miscellaneous]],Table1[[#This Row],[Personal care and effects]])/2</f>
        <v>112.4</v>
      </c>
    </row>
    <row r="245" spans="1:33" hidden="1" x14ac:dyDescent="0.3">
      <c r="A245" t="s">
        <v>33</v>
      </c>
      <c r="B245">
        <v>2014</v>
      </c>
      <c r="C245" t="s">
        <v>41</v>
      </c>
      <c r="D245">
        <v>118.9</v>
      </c>
      <c r="E245">
        <v>117.1</v>
      </c>
      <c r="F245">
        <v>120.5</v>
      </c>
      <c r="G245">
        <v>114.4</v>
      </c>
      <c r="H245">
        <v>109</v>
      </c>
      <c r="I245">
        <v>115.5</v>
      </c>
      <c r="J245">
        <v>123.9</v>
      </c>
      <c r="K245">
        <v>109.6</v>
      </c>
      <c r="L245">
        <v>101.8</v>
      </c>
      <c r="M245">
        <v>110.2</v>
      </c>
      <c r="N245">
        <v>112.4</v>
      </c>
      <c r="O245">
        <v>117.3</v>
      </c>
      <c r="P245">
        <v>116</v>
      </c>
      <c r="Q245">
        <f>AVERAGE(Q247)</f>
        <v>111.6</v>
      </c>
      <c r="R245">
        <v>113</v>
      </c>
      <c r="S245">
        <v>112.6</v>
      </c>
      <c r="T245">
        <v>110.6</v>
      </c>
      <c r="U245">
        <v>110.5</v>
      </c>
      <c r="V245">
        <v>109.6</v>
      </c>
      <c r="W245">
        <v>111.8</v>
      </c>
      <c r="X245">
        <v>108.3</v>
      </c>
      <c r="Y245">
        <v>110.6</v>
      </c>
      <c r="Z245">
        <v>114.2</v>
      </c>
      <c r="AA245" s="1">
        <f>SUM(Table1[[#This Row],[Cereals and products]:[Food and beverages]])/13</f>
        <v>114.35384615384616</v>
      </c>
      <c r="AB245" s="1">
        <f>SUM(Table1[[#This Row],[Fuel and light]])</f>
        <v>113</v>
      </c>
      <c r="AC245" s="1">
        <f>SUM(Table1[[#This Row],[Transport and communication]])</f>
        <v>110.5</v>
      </c>
      <c r="AD245" s="1">
        <f>SUM(Table1[[#This Row],[Housing]],Table1[[#This Row],[Household goods and services]])/2</f>
        <v>112.1</v>
      </c>
      <c r="AE245" s="1">
        <f>SUM(Table1[[#This Row],[Health]])</f>
        <v>110.6</v>
      </c>
      <c r="AF245" s="1">
        <f>SUM(Table1[[#This Row],[Recreation and amusement]],Table1[[#This Row],[Education]])/2</f>
        <v>110.69999999999999</v>
      </c>
      <c r="AG245" s="1">
        <f>SUM(Table1[[#This Row],[Miscellaneous]],Table1[[#This Row],[Personal care and effects]])/2</f>
        <v>109.44999999999999</v>
      </c>
    </row>
    <row r="246" spans="1:33" hidden="1" x14ac:dyDescent="0.3">
      <c r="A246" t="s">
        <v>35</v>
      </c>
      <c r="B246">
        <v>2014</v>
      </c>
      <c r="C246" t="s">
        <v>41</v>
      </c>
      <c r="D246">
        <v>119.6</v>
      </c>
      <c r="E246">
        <v>118.8</v>
      </c>
      <c r="F246">
        <v>124.1</v>
      </c>
      <c r="G246">
        <v>114.1</v>
      </c>
      <c r="H246">
        <v>106.8</v>
      </c>
      <c r="I246">
        <v>113.9</v>
      </c>
      <c r="J246">
        <v>122.2</v>
      </c>
      <c r="K246">
        <v>108.9</v>
      </c>
      <c r="L246">
        <v>100.2</v>
      </c>
      <c r="M246">
        <v>111</v>
      </c>
      <c r="N246">
        <v>112.3</v>
      </c>
      <c r="O246">
        <v>118.1</v>
      </c>
      <c r="P246">
        <v>115.8</v>
      </c>
      <c r="Q246">
        <v>111.6</v>
      </c>
      <c r="R246">
        <v>112.2</v>
      </c>
      <c r="S246">
        <v>112.3</v>
      </c>
      <c r="T246">
        <v>110.3</v>
      </c>
      <c r="U246">
        <v>110.7</v>
      </c>
      <c r="V246">
        <v>109.7</v>
      </c>
      <c r="W246">
        <v>111.6</v>
      </c>
      <c r="X246">
        <v>108.2</v>
      </c>
      <c r="Y246">
        <v>110.6</v>
      </c>
      <c r="Z246">
        <v>113.6</v>
      </c>
      <c r="AA246" s="1">
        <f>SUM(Table1[[#This Row],[Cereals and products]:[Food and beverages]])/13</f>
        <v>114.29230769230767</v>
      </c>
      <c r="AB246" s="1">
        <f>SUM(Table1[[#This Row],[Fuel and light]])</f>
        <v>112.2</v>
      </c>
      <c r="AC246" s="1">
        <f>SUM(Table1[[#This Row],[Transport and communication]])</f>
        <v>110.7</v>
      </c>
      <c r="AD246" s="1">
        <f>SUM(Table1[[#This Row],[Housing]],Table1[[#This Row],[Household goods and services]])/2</f>
        <v>111.94999999999999</v>
      </c>
      <c r="AE246" s="1">
        <f>SUM(Table1[[#This Row],[Health]])</f>
        <v>110.3</v>
      </c>
      <c r="AF246" s="1">
        <f>SUM(Table1[[#This Row],[Recreation and amusement]],Table1[[#This Row],[Education]])/2</f>
        <v>110.65</v>
      </c>
      <c r="AG246" s="1">
        <f>SUM(Table1[[#This Row],[Miscellaneous]],Table1[[#This Row],[Personal care and effects]])/2</f>
        <v>109.4</v>
      </c>
    </row>
    <row r="247" spans="1:33" hidden="1" x14ac:dyDescent="0.3">
      <c r="A247" t="s">
        <v>36</v>
      </c>
      <c r="B247">
        <v>2014</v>
      </c>
      <c r="C247" t="s">
        <v>41</v>
      </c>
      <c r="D247">
        <v>121.2</v>
      </c>
      <c r="E247">
        <v>122</v>
      </c>
      <c r="F247">
        <v>129.9</v>
      </c>
      <c r="G247">
        <v>113.6</v>
      </c>
      <c r="H247">
        <v>102.9</v>
      </c>
      <c r="I247">
        <v>112.1</v>
      </c>
      <c r="J247">
        <v>118.9</v>
      </c>
      <c r="K247">
        <v>107.5</v>
      </c>
      <c r="L247">
        <v>96.9</v>
      </c>
      <c r="M247">
        <v>112.7</v>
      </c>
      <c r="N247">
        <v>112.1</v>
      </c>
      <c r="O247">
        <v>119</v>
      </c>
      <c r="P247">
        <v>115.5</v>
      </c>
      <c r="Q247">
        <v>111.6</v>
      </c>
      <c r="R247">
        <v>111</v>
      </c>
      <c r="S247">
        <v>111.9</v>
      </c>
      <c r="T247">
        <v>109.7</v>
      </c>
      <c r="U247">
        <v>110.8</v>
      </c>
      <c r="V247">
        <v>109.8</v>
      </c>
      <c r="W247">
        <v>111.5</v>
      </c>
      <c r="X247">
        <v>108</v>
      </c>
      <c r="Y247">
        <v>110.5</v>
      </c>
      <c r="Z247">
        <v>112.9</v>
      </c>
      <c r="AA247" s="1">
        <f>SUM(Table1[[#This Row],[Cereals and products]:[Food and beverages]])/13</f>
        <v>114.17692307692307</v>
      </c>
      <c r="AB247" s="1">
        <f>SUM(Table1[[#This Row],[Fuel and light]])</f>
        <v>111</v>
      </c>
      <c r="AC247" s="1">
        <f>SUM(Table1[[#This Row],[Transport and communication]])</f>
        <v>110.8</v>
      </c>
      <c r="AD247" s="1">
        <f>SUM(Table1[[#This Row],[Housing]],Table1[[#This Row],[Household goods and services]])/2</f>
        <v>111.75</v>
      </c>
      <c r="AE247" s="1">
        <f>SUM(Table1[[#This Row],[Health]])</f>
        <v>109.7</v>
      </c>
      <c r="AF247" s="1">
        <f>SUM(Table1[[#This Row],[Recreation and amusement]],Table1[[#This Row],[Education]])/2</f>
        <v>110.65</v>
      </c>
      <c r="AG247" s="1">
        <f>SUM(Table1[[#This Row],[Miscellaneous]],Table1[[#This Row],[Personal care and effects]])/2</f>
        <v>109.25</v>
      </c>
    </row>
    <row r="248" spans="1:33" hidden="1" x14ac:dyDescent="0.3">
      <c r="A248" t="s">
        <v>33</v>
      </c>
      <c r="B248">
        <v>2013</v>
      </c>
      <c r="C248" t="s">
        <v>41</v>
      </c>
      <c r="D248">
        <v>107.5</v>
      </c>
      <c r="E248">
        <v>106.3</v>
      </c>
      <c r="F248">
        <v>108.1</v>
      </c>
      <c r="G248">
        <v>104.9</v>
      </c>
      <c r="H248">
        <v>106.1</v>
      </c>
      <c r="I248">
        <v>103.9</v>
      </c>
      <c r="J248">
        <v>101.9</v>
      </c>
      <c r="K248">
        <v>106.1</v>
      </c>
      <c r="L248">
        <v>106.8</v>
      </c>
      <c r="M248">
        <v>103.1</v>
      </c>
      <c r="N248">
        <v>104.8</v>
      </c>
      <c r="O248">
        <v>106.7</v>
      </c>
      <c r="P248">
        <v>105.5</v>
      </c>
      <c r="Q248">
        <f>AVERAGE(Q249:Q250)</f>
        <v>100.3</v>
      </c>
      <c r="R248">
        <v>105.5</v>
      </c>
      <c r="S248">
        <v>104.8</v>
      </c>
      <c r="T248">
        <v>104</v>
      </c>
      <c r="U248">
        <v>103.3</v>
      </c>
      <c r="V248">
        <v>103.4</v>
      </c>
      <c r="W248">
        <v>103.8</v>
      </c>
      <c r="X248">
        <v>104.7</v>
      </c>
      <c r="Y248">
        <v>104</v>
      </c>
      <c r="Z248">
        <v>105.1</v>
      </c>
      <c r="AA248" s="1">
        <f>SUM(Table1[[#This Row],[Cereals and products]:[Food and beverages]])/13</f>
        <v>105.5153846153846</v>
      </c>
      <c r="AB248" s="1">
        <f>SUM(Table1[[#This Row],[Fuel and light]])</f>
        <v>105.5</v>
      </c>
      <c r="AC248" s="1">
        <f>SUM(Table1[[#This Row],[Transport and communication]])</f>
        <v>103.3</v>
      </c>
      <c r="AD248" s="1">
        <f>SUM(Table1[[#This Row],[Housing]],Table1[[#This Row],[Household goods and services]])/2</f>
        <v>102.55</v>
      </c>
      <c r="AE248" s="1">
        <f>SUM(Table1[[#This Row],[Health]])</f>
        <v>104</v>
      </c>
      <c r="AF248" s="1">
        <f>SUM(Table1[[#This Row],[Recreation and amusement]],Table1[[#This Row],[Education]])/2</f>
        <v>103.6</v>
      </c>
      <c r="AG248" s="1">
        <f>SUM(Table1[[#This Row],[Miscellaneous]],Table1[[#This Row],[Personal care and effects]])/2</f>
        <v>104.35</v>
      </c>
    </row>
    <row r="249" spans="1:33" hidden="1" x14ac:dyDescent="0.3">
      <c r="A249" t="s">
        <v>35</v>
      </c>
      <c r="B249">
        <v>2013</v>
      </c>
      <c r="C249" t="s">
        <v>41</v>
      </c>
      <c r="D249">
        <v>108.4</v>
      </c>
      <c r="E249">
        <v>107.3</v>
      </c>
      <c r="F249">
        <v>110</v>
      </c>
      <c r="G249">
        <v>104.4</v>
      </c>
      <c r="H249">
        <v>105.1</v>
      </c>
      <c r="I249">
        <v>103.2</v>
      </c>
      <c r="J249">
        <v>102.2</v>
      </c>
      <c r="K249">
        <v>106</v>
      </c>
      <c r="L249">
        <v>106.2</v>
      </c>
      <c r="M249">
        <v>102.7</v>
      </c>
      <c r="N249">
        <v>104.9</v>
      </c>
      <c r="O249">
        <v>107.3</v>
      </c>
      <c r="P249">
        <v>105.6</v>
      </c>
      <c r="Q249">
        <v>100.3</v>
      </c>
      <c r="R249">
        <v>105.5</v>
      </c>
      <c r="S249">
        <v>104.8</v>
      </c>
      <c r="T249">
        <v>104</v>
      </c>
      <c r="U249">
        <v>103.2</v>
      </c>
      <c r="V249">
        <v>103.1</v>
      </c>
      <c r="W249">
        <v>103.6</v>
      </c>
      <c r="X249">
        <v>104.5</v>
      </c>
      <c r="Y249">
        <v>103.9</v>
      </c>
      <c r="Z249">
        <v>104.6</v>
      </c>
      <c r="AA249" s="1">
        <f>SUM(Table1[[#This Row],[Cereals and products]:[Food and beverages]])/13</f>
        <v>105.63846153846156</v>
      </c>
      <c r="AB249" s="1">
        <f>SUM(Table1[[#This Row],[Fuel and light]])</f>
        <v>105.5</v>
      </c>
      <c r="AC249" s="1">
        <f>SUM(Table1[[#This Row],[Transport and communication]])</f>
        <v>103.2</v>
      </c>
      <c r="AD249" s="1">
        <f>SUM(Table1[[#This Row],[Housing]],Table1[[#This Row],[Household goods and services]])/2</f>
        <v>102.55</v>
      </c>
      <c r="AE249" s="1">
        <f>SUM(Table1[[#This Row],[Health]])</f>
        <v>104</v>
      </c>
      <c r="AF249" s="1">
        <f>SUM(Table1[[#This Row],[Recreation and amusement]],Table1[[#This Row],[Education]])/2</f>
        <v>103.35</v>
      </c>
      <c r="AG249" s="1">
        <f>SUM(Table1[[#This Row],[Miscellaneous]],Table1[[#This Row],[Personal care and effects]])/2</f>
        <v>104.2</v>
      </c>
    </row>
    <row r="250" spans="1:33" hidden="1" x14ac:dyDescent="0.3">
      <c r="A250" t="s">
        <v>36</v>
      </c>
      <c r="B250">
        <v>2013</v>
      </c>
      <c r="C250" t="s">
        <v>41</v>
      </c>
      <c r="D250">
        <v>110.5</v>
      </c>
      <c r="E250">
        <v>109.1</v>
      </c>
      <c r="F250">
        <v>113</v>
      </c>
      <c r="G250">
        <v>103.6</v>
      </c>
      <c r="H250">
        <v>103.4</v>
      </c>
      <c r="I250">
        <v>102.3</v>
      </c>
      <c r="J250">
        <v>102.9</v>
      </c>
      <c r="K250">
        <v>105.8</v>
      </c>
      <c r="L250">
        <v>105.1</v>
      </c>
      <c r="M250">
        <v>101.8</v>
      </c>
      <c r="N250">
        <v>105.1</v>
      </c>
      <c r="O250">
        <v>107.9</v>
      </c>
      <c r="P250">
        <v>105.9</v>
      </c>
      <c r="Q250">
        <v>100.3</v>
      </c>
      <c r="R250">
        <v>105.4</v>
      </c>
      <c r="S250">
        <v>104.8</v>
      </c>
      <c r="T250">
        <v>104.1</v>
      </c>
      <c r="U250">
        <v>103.2</v>
      </c>
      <c r="V250">
        <v>102.9</v>
      </c>
      <c r="W250">
        <v>103.5</v>
      </c>
      <c r="X250">
        <v>104.3</v>
      </c>
      <c r="Y250">
        <v>103.7</v>
      </c>
      <c r="Z250">
        <v>104</v>
      </c>
      <c r="AA250" s="1">
        <f>SUM(Table1[[#This Row],[Cereals and products]:[Food and beverages]])/13</f>
        <v>105.87692307692308</v>
      </c>
      <c r="AB250" s="1">
        <f>SUM(Table1[[#This Row],[Fuel and light]])</f>
        <v>105.4</v>
      </c>
      <c r="AC250" s="1">
        <f>SUM(Table1[[#This Row],[Transport and communication]])</f>
        <v>103.2</v>
      </c>
      <c r="AD250" s="1">
        <f>SUM(Table1[[#This Row],[Housing]],Table1[[#This Row],[Household goods and services]])/2</f>
        <v>102.55</v>
      </c>
      <c r="AE250" s="1">
        <f>SUM(Table1[[#This Row],[Health]])</f>
        <v>104.1</v>
      </c>
      <c r="AF250" s="1">
        <f>SUM(Table1[[#This Row],[Recreation and amusement]],Table1[[#This Row],[Education]])/2</f>
        <v>103.2</v>
      </c>
      <c r="AG250" s="1">
        <f>SUM(Table1[[#This Row],[Miscellaneous]],Table1[[#This Row],[Personal care and effects]])/2</f>
        <v>104</v>
      </c>
    </row>
    <row r="251" spans="1:33" hidden="1" x14ac:dyDescent="0.3">
      <c r="A251" t="s">
        <v>33</v>
      </c>
      <c r="B251">
        <v>2023</v>
      </c>
      <c r="C251" t="s">
        <v>39</v>
      </c>
      <c r="D251">
        <v>174.2</v>
      </c>
      <c r="E251">
        <v>205.2</v>
      </c>
      <c r="F251">
        <v>173.9</v>
      </c>
      <c r="G251">
        <v>177</v>
      </c>
      <c r="H251">
        <v>183.4</v>
      </c>
      <c r="I251">
        <v>167.2</v>
      </c>
      <c r="J251">
        <v>140.9</v>
      </c>
      <c r="K251">
        <v>170.4</v>
      </c>
      <c r="L251">
        <v>119.1</v>
      </c>
      <c r="M251">
        <v>212.1</v>
      </c>
      <c r="N251">
        <v>177.6</v>
      </c>
      <c r="O251">
        <v>189.9</v>
      </c>
      <c r="P251">
        <v>174.8</v>
      </c>
      <c r="Q251">
        <f>AVERAGE(Q253)</f>
        <v>173.5</v>
      </c>
      <c r="R251">
        <v>181.6</v>
      </c>
      <c r="S251">
        <v>178.6</v>
      </c>
      <c r="T251">
        <v>186.6</v>
      </c>
      <c r="U251">
        <v>169</v>
      </c>
      <c r="V251">
        <v>172.8</v>
      </c>
      <c r="W251">
        <v>178.5</v>
      </c>
      <c r="X251">
        <v>180.7</v>
      </c>
      <c r="Y251">
        <v>177.9</v>
      </c>
      <c r="Z251">
        <v>178</v>
      </c>
      <c r="AA251" s="1">
        <f>SUM(Table1[[#This Row],[Cereals and products]:[Food and beverages]])/13</f>
        <v>174.28461538461536</v>
      </c>
      <c r="AB251" s="1">
        <f>SUM(Table1[[#This Row],[Fuel and light]])</f>
        <v>181.6</v>
      </c>
      <c r="AC251" s="1">
        <f>SUM(Table1[[#This Row],[Transport and communication]])</f>
        <v>169</v>
      </c>
      <c r="AD251" s="1">
        <f>SUM(Table1[[#This Row],[Housing]],Table1[[#This Row],[Household goods and services]])/2</f>
        <v>176.05</v>
      </c>
      <c r="AE251" s="1">
        <f>SUM(Table1[[#This Row],[Health]])</f>
        <v>186.6</v>
      </c>
      <c r="AF251" s="1">
        <f>SUM(Table1[[#This Row],[Recreation and amusement]],Table1[[#This Row],[Education]])/2</f>
        <v>175.65</v>
      </c>
      <c r="AG251" s="1">
        <f>SUM(Table1[[#This Row],[Miscellaneous]],Table1[[#This Row],[Personal care and effects]])/2</f>
        <v>179.3</v>
      </c>
    </row>
    <row r="252" spans="1:33" x14ac:dyDescent="0.3">
      <c r="A252" t="s">
        <v>35</v>
      </c>
      <c r="B252">
        <v>2023</v>
      </c>
      <c r="C252" t="s">
        <v>39</v>
      </c>
      <c r="D252">
        <v>174.4</v>
      </c>
      <c r="E252">
        <v>207.7</v>
      </c>
      <c r="F252">
        <v>175.2</v>
      </c>
      <c r="G252">
        <v>177.3</v>
      </c>
      <c r="H252">
        <v>179.3</v>
      </c>
      <c r="I252">
        <v>169.5</v>
      </c>
      <c r="J252">
        <v>152.69999999999999</v>
      </c>
      <c r="K252">
        <v>171</v>
      </c>
      <c r="L252">
        <v>120</v>
      </c>
      <c r="M252">
        <v>209.7</v>
      </c>
      <c r="N252">
        <v>172.3</v>
      </c>
      <c r="O252">
        <v>193</v>
      </c>
      <c r="P252">
        <v>177</v>
      </c>
      <c r="Q252">
        <v>173.5</v>
      </c>
      <c r="R252">
        <v>182.1</v>
      </c>
      <c r="S252">
        <v>174.2</v>
      </c>
      <c r="T252">
        <v>184.4</v>
      </c>
      <c r="U252">
        <v>164.2</v>
      </c>
      <c r="V252">
        <v>170.3</v>
      </c>
      <c r="W252">
        <v>175</v>
      </c>
      <c r="X252">
        <v>181</v>
      </c>
      <c r="Y252">
        <v>174.1</v>
      </c>
      <c r="Z252">
        <v>177.2</v>
      </c>
      <c r="AA252" s="1">
        <f>SUM(Table1[[#This Row],[Cereals and products]:[Food and beverages]])/13</f>
        <v>175.3153846153846</v>
      </c>
      <c r="AB252" s="1">
        <f>SUM(Table1[[#This Row],[Fuel and light]])</f>
        <v>182.1</v>
      </c>
      <c r="AC252" s="1">
        <f>SUM(Table1[[#This Row],[Transport and communication]])</f>
        <v>164.2</v>
      </c>
      <c r="AD252" s="1">
        <f>SUM(Table1[[#This Row],[Housing]],Table1[[#This Row],[Household goods and services]])/2</f>
        <v>173.85</v>
      </c>
      <c r="AE252" s="1">
        <f>SUM(Table1[[#This Row],[Health]])</f>
        <v>184.4</v>
      </c>
      <c r="AF252" s="1">
        <f>SUM(Table1[[#This Row],[Recreation and amusement]],Table1[[#This Row],[Education]])/2</f>
        <v>172.65</v>
      </c>
      <c r="AG252" s="1">
        <f>SUM(Table1[[#This Row],[Miscellaneous]],Table1[[#This Row],[Personal care and effects]])/2</f>
        <v>177.55</v>
      </c>
    </row>
    <row r="253" spans="1:33" hidden="1" x14ac:dyDescent="0.3">
      <c r="A253" t="s">
        <v>36</v>
      </c>
      <c r="B253">
        <v>2023</v>
      </c>
      <c r="C253" t="s">
        <v>39</v>
      </c>
      <c r="D253">
        <v>174.7</v>
      </c>
      <c r="E253">
        <v>212.2</v>
      </c>
      <c r="F253">
        <v>177.2</v>
      </c>
      <c r="G253">
        <v>177.9</v>
      </c>
      <c r="H253">
        <v>172.2</v>
      </c>
      <c r="I253">
        <v>172.1</v>
      </c>
      <c r="J253">
        <v>175.8</v>
      </c>
      <c r="K253">
        <v>172.2</v>
      </c>
      <c r="L253">
        <v>121.9</v>
      </c>
      <c r="M253">
        <v>204.8</v>
      </c>
      <c r="N253">
        <v>164.9</v>
      </c>
      <c r="O253">
        <v>196.6</v>
      </c>
      <c r="P253">
        <v>180.7</v>
      </c>
      <c r="Q253">
        <v>173.5</v>
      </c>
      <c r="R253">
        <v>182.8</v>
      </c>
      <c r="S253">
        <v>169.2</v>
      </c>
      <c r="T253">
        <v>180.8</v>
      </c>
      <c r="U253">
        <v>159.80000000000001</v>
      </c>
      <c r="V253">
        <v>168.4</v>
      </c>
      <c r="W253">
        <v>172.5</v>
      </c>
      <c r="X253">
        <v>181.4</v>
      </c>
      <c r="Y253">
        <v>170</v>
      </c>
      <c r="Z253">
        <v>176.3</v>
      </c>
      <c r="AA253" s="1">
        <f>SUM(Table1[[#This Row],[Cereals and products]:[Food and beverages]])/13</f>
        <v>177.16923076923075</v>
      </c>
      <c r="AB253" s="1">
        <f>SUM(Table1[[#This Row],[Fuel and light]])</f>
        <v>182.8</v>
      </c>
      <c r="AC253" s="1">
        <f>SUM(Table1[[#This Row],[Transport and communication]])</f>
        <v>159.80000000000001</v>
      </c>
      <c r="AD253" s="1">
        <f>SUM(Table1[[#This Row],[Housing]],Table1[[#This Row],[Household goods and services]])/2</f>
        <v>171.35</v>
      </c>
      <c r="AE253" s="1">
        <f>SUM(Table1[[#This Row],[Health]])</f>
        <v>180.8</v>
      </c>
      <c r="AF253" s="1">
        <f>SUM(Table1[[#This Row],[Recreation and amusement]],Table1[[#This Row],[Education]])/2</f>
        <v>170.45</v>
      </c>
      <c r="AG253" s="1">
        <f>SUM(Table1[[#This Row],[Miscellaneous]],Table1[[#This Row],[Personal care and effects]])/2</f>
        <v>175.7</v>
      </c>
    </row>
    <row r="254" spans="1:33" hidden="1" x14ac:dyDescent="0.3">
      <c r="A254" t="s">
        <v>33</v>
      </c>
      <c r="B254">
        <v>2022</v>
      </c>
      <c r="C254" t="s">
        <v>39</v>
      </c>
      <c r="D254">
        <v>148.80000000000001</v>
      </c>
      <c r="E254">
        <v>198.1</v>
      </c>
      <c r="F254">
        <v>175.5</v>
      </c>
      <c r="G254">
        <v>160.69999999999999</v>
      </c>
      <c r="H254">
        <v>192.6</v>
      </c>
      <c r="I254">
        <v>151.4</v>
      </c>
      <c r="J254">
        <v>155.19999999999999</v>
      </c>
      <c r="K254">
        <v>163.9</v>
      </c>
      <c r="L254">
        <v>118.1</v>
      </c>
      <c r="M254">
        <v>175.4</v>
      </c>
      <c r="N254">
        <v>170.5</v>
      </c>
      <c r="O254">
        <v>176.3</v>
      </c>
      <c r="P254">
        <v>163.9</v>
      </c>
      <c r="Q254">
        <f>AVERAGE(Q255:Q256)</f>
        <v>165.5</v>
      </c>
      <c r="R254">
        <v>167.4</v>
      </c>
      <c r="S254">
        <v>165.7</v>
      </c>
      <c r="T254">
        <v>175.3</v>
      </c>
      <c r="U254">
        <v>161.19999999999999</v>
      </c>
      <c r="V254">
        <v>165.5</v>
      </c>
      <c r="W254">
        <v>170.3</v>
      </c>
      <c r="X254">
        <v>164.5</v>
      </c>
      <c r="Y254">
        <v>167.3</v>
      </c>
      <c r="Z254">
        <v>166.7</v>
      </c>
      <c r="AA254" s="1">
        <f>SUM(Table1[[#This Row],[Cereals and products]:[Food and beverages]])/13</f>
        <v>165.41538461538462</v>
      </c>
      <c r="AB254" s="1">
        <f>SUM(Table1[[#This Row],[Fuel and light]])</f>
        <v>167.4</v>
      </c>
      <c r="AC254" s="1">
        <f>SUM(Table1[[#This Row],[Transport and communication]])</f>
        <v>161.19999999999999</v>
      </c>
      <c r="AD254" s="1">
        <f>SUM(Table1[[#This Row],[Housing]],Table1[[#This Row],[Household goods and services]])/2</f>
        <v>165.6</v>
      </c>
      <c r="AE254" s="1">
        <f>SUM(Table1[[#This Row],[Health]])</f>
        <v>175.3</v>
      </c>
      <c r="AF254" s="1">
        <f>SUM(Table1[[#This Row],[Recreation and amusement]],Table1[[#This Row],[Education]])/2</f>
        <v>167.9</v>
      </c>
      <c r="AG254" s="1">
        <f>SUM(Table1[[#This Row],[Miscellaneous]],Table1[[#This Row],[Personal care and effects]])/2</f>
        <v>165.9</v>
      </c>
    </row>
    <row r="255" spans="1:33" hidden="1" x14ac:dyDescent="0.3">
      <c r="A255" t="s">
        <v>35</v>
      </c>
      <c r="B255">
        <v>2022</v>
      </c>
      <c r="C255" t="s">
        <v>39</v>
      </c>
      <c r="D255">
        <v>150</v>
      </c>
      <c r="E255">
        <v>200.6</v>
      </c>
      <c r="F255">
        <v>175.8</v>
      </c>
      <c r="G255">
        <v>160.69999999999999</v>
      </c>
      <c r="H255">
        <v>184.9</v>
      </c>
      <c r="I255">
        <v>153.69999999999999</v>
      </c>
      <c r="J255">
        <v>169.7</v>
      </c>
      <c r="K255">
        <v>163.69999999999999</v>
      </c>
      <c r="L255">
        <v>118.9</v>
      </c>
      <c r="M255">
        <v>174.3</v>
      </c>
      <c r="N255">
        <v>164.7</v>
      </c>
      <c r="O255">
        <v>178</v>
      </c>
      <c r="P255">
        <v>166.2</v>
      </c>
      <c r="Q255">
        <v>165.5</v>
      </c>
      <c r="R255">
        <v>165.7</v>
      </c>
      <c r="S255">
        <v>161.80000000000001</v>
      </c>
      <c r="T255">
        <v>172.2</v>
      </c>
      <c r="U255">
        <v>156.9</v>
      </c>
      <c r="V255">
        <v>162.1</v>
      </c>
      <c r="W255">
        <v>165.4</v>
      </c>
      <c r="X255">
        <v>164.4</v>
      </c>
      <c r="Y255">
        <v>163.5</v>
      </c>
      <c r="Z255">
        <v>166.1</v>
      </c>
      <c r="AA255" s="1">
        <f>SUM(Table1[[#This Row],[Cereals and products]:[Food and beverages]])/13</f>
        <v>166.24615384615387</v>
      </c>
      <c r="AB255" s="1">
        <f>SUM(Table1[[#This Row],[Fuel and light]])</f>
        <v>165.7</v>
      </c>
      <c r="AC255" s="1">
        <f>SUM(Table1[[#This Row],[Transport and communication]])</f>
        <v>156.9</v>
      </c>
      <c r="AD255" s="1">
        <f>SUM(Table1[[#This Row],[Housing]],Table1[[#This Row],[Household goods and services]])/2</f>
        <v>163.65</v>
      </c>
      <c r="AE255" s="1">
        <f>SUM(Table1[[#This Row],[Health]])</f>
        <v>172.2</v>
      </c>
      <c r="AF255" s="1">
        <f>SUM(Table1[[#This Row],[Recreation and amusement]],Table1[[#This Row],[Education]])/2</f>
        <v>163.75</v>
      </c>
      <c r="AG255" s="1">
        <f>SUM(Table1[[#This Row],[Miscellaneous]],Table1[[#This Row],[Personal care and effects]])/2</f>
        <v>163.95</v>
      </c>
    </row>
    <row r="256" spans="1:33" hidden="1" x14ac:dyDescent="0.3">
      <c r="A256" t="s">
        <v>36</v>
      </c>
      <c r="B256">
        <v>2022</v>
      </c>
      <c r="C256" t="s">
        <v>39</v>
      </c>
      <c r="D256">
        <v>152.5</v>
      </c>
      <c r="E256">
        <v>205.2</v>
      </c>
      <c r="F256">
        <v>176.4</v>
      </c>
      <c r="G256">
        <v>160.6</v>
      </c>
      <c r="H256">
        <v>171.5</v>
      </c>
      <c r="I256">
        <v>156.4</v>
      </c>
      <c r="J256">
        <v>198</v>
      </c>
      <c r="K256">
        <v>163.19999999999999</v>
      </c>
      <c r="L256">
        <v>120.6</v>
      </c>
      <c r="M256">
        <v>172.2</v>
      </c>
      <c r="N256">
        <v>156.69999999999999</v>
      </c>
      <c r="O256">
        <v>180</v>
      </c>
      <c r="P256">
        <v>170.2</v>
      </c>
      <c r="Q256">
        <v>165.5</v>
      </c>
      <c r="R256">
        <v>163</v>
      </c>
      <c r="S256">
        <v>157.4</v>
      </c>
      <c r="T256">
        <v>167.2</v>
      </c>
      <c r="U256">
        <v>153.1</v>
      </c>
      <c r="V256">
        <v>159.5</v>
      </c>
      <c r="W256">
        <v>162</v>
      </c>
      <c r="X256">
        <v>164.2</v>
      </c>
      <c r="Y256">
        <v>159.4</v>
      </c>
      <c r="Z256">
        <v>165.5</v>
      </c>
      <c r="AA256" s="1">
        <f>SUM(Table1[[#This Row],[Cereals and products]:[Food and beverages]])/13</f>
        <v>167.96153846153845</v>
      </c>
      <c r="AB256" s="1">
        <f>SUM(Table1[[#This Row],[Fuel and light]])</f>
        <v>163</v>
      </c>
      <c r="AC256" s="1">
        <f>SUM(Table1[[#This Row],[Transport and communication]])</f>
        <v>153.1</v>
      </c>
      <c r="AD256" s="1">
        <f>SUM(Table1[[#This Row],[Housing]],Table1[[#This Row],[Household goods and services]])/2</f>
        <v>161.44999999999999</v>
      </c>
      <c r="AE256" s="1">
        <f>SUM(Table1[[#This Row],[Health]])</f>
        <v>167.2</v>
      </c>
      <c r="AF256" s="1">
        <f>SUM(Table1[[#This Row],[Recreation and amusement]],Table1[[#This Row],[Education]])/2</f>
        <v>160.75</v>
      </c>
      <c r="AG256" s="1">
        <f>SUM(Table1[[#This Row],[Miscellaneous]],Table1[[#This Row],[Personal care and effects]])/2</f>
        <v>161.80000000000001</v>
      </c>
    </row>
    <row r="257" spans="1:33" hidden="1" x14ac:dyDescent="0.3">
      <c r="A257" t="s">
        <v>33</v>
      </c>
      <c r="B257">
        <v>2021</v>
      </c>
      <c r="C257" t="s">
        <v>37</v>
      </c>
      <c r="D257">
        <v>144.9</v>
      </c>
      <c r="E257">
        <v>202.3</v>
      </c>
      <c r="F257">
        <v>176.5</v>
      </c>
      <c r="G257">
        <v>157.5</v>
      </c>
      <c r="H257">
        <v>190.9</v>
      </c>
      <c r="I257">
        <v>155.69999999999999</v>
      </c>
      <c r="J257">
        <v>153.9</v>
      </c>
      <c r="K257">
        <v>162.80000000000001</v>
      </c>
      <c r="L257">
        <v>115.2</v>
      </c>
      <c r="M257">
        <v>169.8</v>
      </c>
      <c r="N257">
        <v>167.6</v>
      </c>
      <c r="O257">
        <v>171.9</v>
      </c>
      <c r="P257">
        <v>161.80000000000001</v>
      </c>
      <c r="Q257">
        <f>AVERAGE(Q258:Q259)</f>
        <v>162.1</v>
      </c>
      <c r="R257">
        <v>163.1</v>
      </c>
      <c r="S257">
        <v>160.9</v>
      </c>
      <c r="T257">
        <v>171.1</v>
      </c>
      <c r="U257">
        <v>157.69999999999999</v>
      </c>
      <c r="V257">
        <v>161.1</v>
      </c>
      <c r="W257">
        <v>167.5</v>
      </c>
      <c r="X257">
        <v>160.30000000000001</v>
      </c>
      <c r="Y257">
        <v>163.30000000000001</v>
      </c>
      <c r="Z257">
        <v>163.6</v>
      </c>
      <c r="AA257" s="1">
        <f>SUM(Table1[[#This Row],[Cereals and products]:[Food and beverages]])/13</f>
        <v>163.90769230769232</v>
      </c>
      <c r="AB257" s="1">
        <f>SUM(Table1[[#This Row],[Fuel and light]])</f>
        <v>163.1</v>
      </c>
      <c r="AC257" s="1">
        <f>SUM(Table1[[#This Row],[Transport and communication]])</f>
        <v>157.69999999999999</v>
      </c>
      <c r="AD257" s="1">
        <f>SUM(Table1[[#This Row],[Housing]],Table1[[#This Row],[Household goods and services]])/2</f>
        <v>161.5</v>
      </c>
      <c r="AE257" s="1">
        <f>SUM(Table1[[#This Row],[Health]])</f>
        <v>171.1</v>
      </c>
      <c r="AF257" s="1">
        <f>SUM(Table1[[#This Row],[Recreation and amusement]],Table1[[#This Row],[Education]])/2</f>
        <v>164.3</v>
      </c>
      <c r="AG257" s="1">
        <f>SUM(Table1[[#This Row],[Miscellaneous]],Table1[[#This Row],[Personal care and effects]])/2</f>
        <v>161.80000000000001</v>
      </c>
    </row>
    <row r="258" spans="1:33" hidden="1" x14ac:dyDescent="0.3">
      <c r="A258" t="s">
        <v>35</v>
      </c>
      <c r="B258">
        <v>2021</v>
      </c>
      <c r="C258" t="s">
        <v>37</v>
      </c>
      <c r="D258">
        <v>146.6</v>
      </c>
      <c r="E258">
        <v>204</v>
      </c>
      <c r="F258">
        <v>172.8</v>
      </c>
      <c r="G258">
        <v>158.4</v>
      </c>
      <c r="H258">
        <v>188</v>
      </c>
      <c r="I258">
        <v>156.80000000000001</v>
      </c>
      <c r="J258">
        <v>162.19999999999999</v>
      </c>
      <c r="K258">
        <v>164.1</v>
      </c>
      <c r="L258">
        <v>119.7</v>
      </c>
      <c r="M258">
        <v>168.8</v>
      </c>
      <c r="N258">
        <v>162.69999999999999</v>
      </c>
      <c r="O258">
        <v>173.9</v>
      </c>
      <c r="P258">
        <v>164</v>
      </c>
      <c r="Q258">
        <v>162.1</v>
      </c>
      <c r="R258">
        <v>162.6</v>
      </c>
      <c r="S258">
        <v>157.5</v>
      </c>
      <c r="T258">
        <v>168.4</v>
      </c>
      <c r="U258">
        <v>154</v>
      </c>
      <c r="V258">
        <v>157.6</v>
      </c>
      <c r="W258">
        <v>163.80000000000001</v>
      </c>
      <c r="X258">
        <v>160</v>
      </c>
      <c r="Y258">
        <v>160</v>
      </c>
      <c r="Z258">
        <v>163.19999999999999</v>
      </c>
      <c r="AA258" s="1">
        <f>SUM(Table1[[#This Row],[Cereals and products]:[Food and beverages]])/13</f>
        <v>164.76923076923077</v>
      </c>
      <c r="AB258" s="1">
        <f>SUM(Table1[[#This Row],[Fuel and light]])</f>
        <v>162.6</v>
      </c>
      <c r="AC258" s="1">
        <f>SUM(Table1[[#This Row],[Transport and communication]])</f>
        <v>154</v>
      </c>
      <c r="AD258" s="1">
        <f>SUM(Table1[[#This Row],[Housing]],Table1[[#This Row],[Household goods and services]])/2</f>
        <v>159.80000000000001</v>
      </c>
      <c r="AE258" s="1">
        <f>SUM(Table1[[#This Row],[Health]])</f>
        <v>168.4</v>
      </c>
      <c r="AF258" s="1">
        <f>SUM(Table1[[#This Row],[Recreation and amusement]],Table1[[#This Row],[Education]])/2</f>
        <v>160.69999999999999</v>
      </c>
      <c r="AG258" s="1">
        <f>SUM(Table1[[#This Row],[Miscellaneous]],Table1[[#This Row],[Personal care and effects]])/2</f>
        <v>160</v>
      </c>
    </row>
    <row r="259" spans="1:33" hidden="1" x14ac:dyDescent="0.3">
      <c r="A259" t="s">
        <v>36</v>
      </c>
      <c r="B259">
        <v>2021</v>
      </c>
      <c r="C259" t="s">
        <v>37</v>
      </c>
      <c r="D259">
        <v>149.30000000000001</v>
      </c>
      <c r="E259">
        <v>207.4</v>
      </c>
      <c r="F259">
        <v>174.1</v>
      </c>
      <c r="G259">
        <v>159.19999999999999</v>
      </c>
      <c r="H259">
        <v>175</v>
      </c>
      <c r="I259">
        <v>161.30000000000001</v>
      </c>
      <c r="J259">
        <v>183.3</v>
      </c>
      <c r="K259">
        <v>164.5</v>
      </c>
      <c r="L259">
        <v>120.4</v>
      </c>
      <c r="M259">
        <v>166.2</v>
      </c>
      <c r="N259">
        <v>154.80000000000001</v>
      </c>
      <c r="O259">
        <v>175.1</v>
      </c>
      <c r="P259">
        <v>167.3</v>
      </c>
      <c r="Q259">
        <v>162.1</v>
      </c>
      <c r="R259">
        <v>160.69999999999999</v>
      </c>
      <c r="S259">
        <v>153.19999999999999</v>
      </c>
      <c r="T259">
        <v>162.80000000000001</v>
      </c>
      <c r="U259">
        <v>150.4</v>
      </c>
      <c r="V259">
        <v>153.69999999999999</v>
      </c>
      <c r="W259">
        <v>160.4</v>
      </c>
      <c r="X259">
        <v>159.6</v>
      </c>
      <c r="Y259">
        <v>156</v>
      </c>
      <c r="Z259">
        <v>162.30000000000001</v>
      </c>
      <c r="AA259" s="1">
        <f>SUM(Table1[[#This Row],[Cereals and products]:[Food and beverages]])/13</f>
        <v>165.99230769230769</v>
      </c>
      <c r="AB259" s="1">
        <f>SUM(Table1[[#This Row],[Fuel and light]])</f>
        <v>160.69999999999999</v>
      </c>
      <c r="AC259" s="1">
        <f>SUM(Table1[[#This Row],[Transport and communication]])</f>
        <v>150.4</v>
      </c>
      <c r="AD259" s="1">
        <f>SUM(Table1[[#This Row],[Housing]],Table1[[#This Row],[Household goods and services]])/2</f>
        <v>157.64999999999998</v>
      </c>
      <c r="AE259" s="1">
        <f>SUM(Table1[[#This Row],[Health]])</f>
        <v>162.80000000000001</v>
      </c>
      <c r="AF259" s="1">
        <f>SUM(Table1[[#This Row],[Recreation and amusement]],Table1[[#This Row],[Education]])/2</f>
        <v>157.05000000000001</v>
      </c>
      <c r="AG259" s="1">
        <f>SUM(Table1[[#This Row],[Miscellaneous]],Table1[[#This Row],[Personal care and effects]])/2</f>
        <v>157.80000000000001</v>
      </c>
    </row>
    <row r="260" spans="1:33" hidden="1" x14ac:dyDescent="0.3">
      <c r="A260" t="s">
        <v>33</v>
      </c>
      <c r="B260">
        <v>2021</v>
      </c>
      <c r="C260" t="s">
        <v>38</v>
      </c>
      <c r="D260">
        <v>147.4</v>
      </c>
      <c r="E260">
        <v>197</v>
      </c>
      <c r="F260">
        <v>176.5</v>
      </c>
      <c r="G260">
        <v>159.80000000000001</v>
      </c>
      <c r="H260">
        <v>195.8</v>
      </c>
      <c r="I260">
        <v>152</v>
      </c>
      <c r="J260">
        <v>172.3</v>
      </c>
      <c r="K260">
        <v>164.5</v>
      </c>
      <c r="L260">
        <v>120.6</v>
      </c>
      <c r="M260">
        <v>171.7</v>
      </c>
      <c r="N260">
        <v>169.7</v>
      </c>
      <c r="O260">
        <v>175.1</v>
      </c>
      <c r="P260">
        <v>165.8</v>
      </c>
      <c r="Q260">
        <f>AVERAGE(Q261:Q262)</f>
        <v>163.4</v>
      </c>
      <c r="R260">
        <v>165.6</v>
      </c>
      <c r="S260">
        <v>163.9</v>
      </c>
      <c r="T260">
        <v>174</v>
      </c>
      <c r="U260">
        <v>160.1</v>
      </c>
      <c r="V260">
        <v>164.5</v>
      </c>
      <c r="W260">
        <v>169.7</v>
      </c>
      <c r="X260">
        <v>162.80000000000001</v>
      </c>
      <c r="Y260">
        <v>166</v>
      </c>
      <c r="Z260">
        <v>167</v>
      </c>
      <c r="AA260" s="1">
        <f>SUM(Table1[[#This Row],[Cereals and products]:[Food and beverages]])/13</f>
        <v>166.78461538461536</v>
      </c>
      <c r="AB260" s="1">
        <f>SUM(Table1[[#This Row],[Fuel and light]])</f>
        <v>165.6</v>
      </c>
      <c r="AC260" s="1">
        <f>SUM(Table1[[#This Row],[Transport and communication]])</f>
        <v>160.1</v>
      </c>
      <c r="AD260" s="1">
        <f>SUM(Table1[[#This Row],[Housing]],Table1[[#This Row],[Household goods and services]])/2</f>
        <v>163.65</v>
      </c>
      <c r="AE260" s="1">
        <f>SUM(Table1[[#This Row],[Health]])</f>
        <v>174</v>
      </c>
      <c r="AF260" s="1">
        <f>SUM(Table1[[#This Row],[Recreation and amusement]],Table1[[#This Row],[Education]])/2</f>
        <v>167.1</v>
      </c>
      <c r="AG260" s="1">
        <f>SUM(Table1[[#This Row],[Miscellaneous]],Table1[[#This Row],[Personal care and effects]])/2</f>
        <v>164.4</v>
      </c>
    </row>
    <row r="261" spans="1:33" hidden="1" x14ac:dyDescent="0.3">
      <c r="A261" t="s">
        <v>35</v>
      </c>
      <c r="B261">
        <v>2021</v>
      </c>
      <c r="C261" t="s">
        <v>38</v>
      </c>
      <c r="D261">
        <v>148.69999999999999</v>
      </c>
      <c r="E261">
        <v>198.8</v>
      </c>
      <c r="F261">
        <v>177.9</v>
      </c>
      <c r="G261">
        <v>159.9</v>
      </c>
      <c r="H261">
        <v>187.6</v>
      </c>
      <c r="I261">
        <v>154.9</v>
      </c>
      <c r="J261">
        <v>188.3</v>
      </c>
      <c r="K261">
        <v>164.4</v>
      </c>
      <c r="L261">
        <v>121</v>
      </c>
      <c r="M261">
        <v>170.5</v>
      </c>
      <c r="N261">
        <v>164.2</v>
      </c>
      <c r="O261">
        <v>176.5</v>
      </c>
      <c r="P261">
        <v>168.2</v>
      </c>
      <c r="Q261">
        <v>163.4</v>
      </c>
      <c r="R261">
        <v>164.1</v>
      </c>
      <c r="S261">
        <v>160.19999999999999</v>
      </c>
      <c r="T261">
        <v>170.6</v>
      </c>
      <c r="U261">
        <v>155.69999999999999</v>
      </c>
      <c r="V261">
        <v>160.6</v>
      </c>
      <c r="W261">
        <v>164.4</v>
      </c>
      <c r="X261">
        <v>162.6</v>
      </c>
      <c r="Y261">
        <v>162</v>
      </c>
      <c r="Z261">
        <v>166.2</v>
      </c>
      <c r="AA261" s="1">
        <f>SUM(Table1[[#This Row],[Cereals and products]:[Food and beverages]])/13</f>
        <v>167.76153846153846</v>
      </c>
      <c r="AB261" s="1">
        <f>SUM(Table1[[#This Row],[Fuel and light]])</f>
        <v>164.1</v>
      </c>
      <c r="AC261" s="1">
        <f>SUM(Table1[[#This Row],[Transport and communication]])</f>
        <v>155.69999999999999</v>
      </c>
      <c r="AD261" s="1">
        <f>SUM(Table1[[#This Row],[Housing]],Table1[[#This Row],[Household goods and services]])/2</f>
        <v>161.80000000000001</v>
      </c>
      <c r="AE261" s="1">
        <f>SUM(Table1[[#This Row],[Health]])</f>
        <v>170.6</v>
      </c>
      <c r="AF261" s="1">
        <f>SUM(Table1[[#This Row],[Recreation and amusement]],Table1[[#This Row],[Education]])/2</f>
        <v>162.5</v>
      </c>
      <c r="AG261" s="1">
        <f>SUM(Table1[[#This Row],[Miscellaneous]],Table1[[#This Row],[Personal care and effects]])/2</f>
        <v>162.30000000000001</v>
      </c>
    </row>
    <row r="262" spans="1:33" hidden="1" x14ac:dyDescent="0.3">
      <c r="A262" t="s">
        <v>36</v>
      </c>
      <c r="B262">
        <v>2021</v>
      </c>
      <c r="C262" t="s">
        <v>38</v>
      </c>
      <c r="D262">
        <v>151.6</v>
      </c>
      <c r="E262">
        <v>202.2</v>
      </c>
      <c r="F262">
        <v>180</v>
      </c>
      <c r="G262">
        <v>160</v>
      </c>
      <c r="H262">
        <v>173.5</v>
      </c>
      <c r="I262">
        <v>158.30000000000001</v>
      </c>
      <c r="J262">
        <v>219.5</v>
      </c>
      <c r="K262">
        <v>164.2</v>
      </c>
      <c r="L262">
        <v>121.9</v>
      </c>
      <c r="M262">
        <v>168.2</v>
      </c>
      <c r="N262">
        <v>156.5</v>
      </c>
      <c r="O262">
        <v>178.2</v>
      </c>
      <c r="P262">
        <v>172.2</v>
      </c>
      <c r="Q262">
        <v>163.4</v>
      </c>
      <c r="R262">
        <v>161.69999999999999</v>
      </c>
      <c r="S262">
        <v>156</v>
      </c>
      <c r="T262">
        <v>165.1</v>
      </c>
      <c r="U262">
        <v>151.80000000000001</v>
      </c>
      <c r="V262">
        <v>157.6</v>
      </c>
      <c r="W262">
        <v>160.6</v>
      </c>
      <c r="X262">
        <v>162.4</v>
      </c>
      <c r="Y262">
        <v>157.80000000000001</v>
      </c>
      <c r="Z262">
        <v>165.2</v>
      </c>
      <c r="AA262" s="1">
        <f>SUM(Table1[[#This Row],[Cereals and products]:[Food and beverages]])/13</f>
        <v>169.71538461538464</v>
      </c>
      <c r="AB262" s="1">
        <f>SUM(Table1[[#This Row],[Fuel and light]])</f>
        <v>161.69999999999999</v>
      </c>
      <c r="AC262" s="1">
        <f>SUM(Table1[[#This Row],[Transport and communication]])</f>
        <v>151.80000000000001</v>
      </c>
      <c r="AD262" s="1">
        <f>SUM(Table1[[#This Row],[Housing]],Table1[[#This Row],[Household goods and services]])/2</f>
        <v>159.69999999999999</v>
      </c>
      <c r="AE262" s="1">
        <f>SUM(Table1[[#This Row],[Health]])</f>
        <v>165.1</v>
      </c>
      <c r="AF262" s="1">
        <f>SUM(Table1[[#This Row],[Recreation and amusement]],Table1[[#This Row],[Education]])/2</f>
        <v>159.1</v>
      </c>
      <c r="AG262" s="1">
        <f>SUM(Table1[[#This Row],[Miscellaneous]],Table1[[#This Row],[Personal care and effects]])/2</f>
        <v>160.10000000000002</v>
      </c>
    </row>
    <row r="263" spans="1:33" hidden="1" x14ac:dyDescent="0.3">
      <c r="A263" t="s">
        <v>33</v>
      </c>
      <c r="B263">
        <v>2021</v>
      </c>
      <c r="C263" t="s">
        <v>39</v>
      </c>
      <c r="D263">
        <v>142.80000000000001</v>
      </c>
      <c r="E263">
        <v>184</v>
      </c>
      <c r="F263">
        <v>168</v>
      </c>
      <c r="G263">
        <v>154.4</v>
      </c>
      <c r="H263">
        <v>163</v>
      </c>
      <c r="I263">
        <v>147.80000000000001</v>
      </c>
      <c r="J263">
        <v>149.69999999999999</v>
      </c>
      <c r="K263">
        <v>158.30000000000001</v>
      </c>
      <c r="L263">
        <v>111.8</v>
      </c>
      <c r="M263">
        <v>165</v>
      </c>
      <c r="N263">
        <v>160</v>
      </c>
      <c r="O263">
        <v>165.8</v>
      </c>
      <c r="P263">
        <v>154.69999999999999</v>
      </c>
      <c r="Q263">
        <f>AVERAGE(Q264:Q265)</f>
        <v>159.80000000000001</v>
      </c>
      <c r="R263">
        <v>154.4</v>
      </c>
      <c r="S263">
        <v>154.80000000000001</v>
      </c>
      <c r="T263">
        <v>164.3</v>
      </c>
      <c r="U263">
        <v>150.19999999999999</v>
      </c>
      <c r="V263">
        <v>157</v>
      </c>
      <c r="W263">
        <v>163.6</v>
      </c>
      <c r="X263">
        <v>155.19999999999999</v>
      </c>
      <c r="Y263">
        <v>157.19999999999999</v>
      </c>
      <c r="Z263">
        <v>156.69999999999999</v>
      </c>
      <c r="AA263" s="1">
        <f>SUM(Table1[[#This Row],[Cereals and products]:[Food and beverages]])/13</f>
        <v>155.7923076923077</v>
      </c>
      <c r="AB263" s="1">
        <f>SUM(Table1[[#This Row],[Fuel and light]])</f>
        <v>154.4</v>
      </c>
      <c r="AC263" s="1">
        <f>SUM(Table1[[#This Row],[Transport and communication]])</f>
        <v>150.19999999999999</v>
      </c>
      <c r="AD263" s="1">
        <f>SUM(Table1[[#This Row],[Housing]],Table1[[#This Row],[Household goods and services]])/2</f>
        <v>157.30000000000001</v>
      </c>
      <c r="AE263" s="1">
        <f>SUM(Table1[[#This Row],[Health]])</f>
        <v>164.3</v>
      </c>
      <c r="AF263" s="1">
        <f>SUM(Table1[[#This Row],[Recreation and amusement]],Table1[[#This Row],[Education]])/2</f>
        <v>160.30000000000001</v>
      </c>
      <c r="AG263" s="1">
        <f>SUM(Table1[[#This Row],[Miscellaneous]],Table1[[#This Row],[Personal care and effects]])/2</f>
        <v>156.19999999999999</v>
      </c>
    </row>
    <row r="264" spans="1:33" hidden="1" x14ac:dyDescent="0.3">
      <c r="A264" t="s">
        <v>35</v>
      </c>
      <c r="B264">
        <v>2021</v>
      </c>
      <c r="C264" t="s">
        <v>39</v>
      </c>
      <c r="D264">
        <v>144.30000000000001</v>
      </c>
      <c r="E264">
        <v>186.5</v>
      </c>
      <c r="F264">
        <v>168.7</v>
      </c>
      <c r="G264">
        <v>154.69999999999999</v>
      </c>
      <c r="H264">
        <v>158.69999999999999</v>
      </c>
      <c r="I264">
        <v>150.69999999999999</v>
      </c>
      <c r="J264">
        <v>160</v>
      </c>
      <c r="K264">
        <v>158.80000000000001</v>
      </c>
      <c r="L264">
        <v>112.8</v>
      </c>
      <c r="M264">
        <v>164.2</v>
      </c>
      <c r="N264">
        <v>155.5</v>
      </c>
      <c r="O264">
        <v>167.5</v>
      </c>
      <c r="P264">
        <v>156.9</v>
      </c>
      <c r="Q264">
        <v>159.80000000000001</v>
      </c>
      <c r="R264">
        <v>152.4</v>
      </c>
      <c r="S264">
        <v>150.9</v>
      </c>
      <c r="T264">
        <v>161.30000000000001</v>
      </c>
      <c r="U264">
        <v>145.1</v>
      </c>
      <c r="V264">
        <v>151.5</v>
      </c>
      <c r="W264">
        <v>159.5</v>
      </c>
      <c r="X264">
        <v>155.80000000000001</v>
      </c>
      <c r="Y264">
        <v>153.4</v>
      </c>
      <c r="Z264">
        <v>156.6</v>
      </c>
      <c r="AA264" s="1">
        <f>SUM(Table1[[#This Row],[Cereals and products]:[Food and beverages]])/13</f>
        <v>156.8692307692308</v>
      </c>
      <c r="AB264" s="1">
        <f>SUM(Table1[[#This Row],[Fuel and light]])</f>
        <v>152.4</v>
      </c>
      <c r="AC264" s="1">
        <f>SUM(Table1[[#This Row],[Transport and communication]])</f>
        <v>145.1</v>
      </c>
      <c r="AD264" s="1">
        <f>SUM(Table1[[#This Row],[Housing]],Table1[[#This Row],[Household goods and services]])/2</f>
        <v>155.35000000000002</v>
      </c>
      <c r="AE264" s="1">
        <f>SUM(Table1[[#This Row],[Health]])</f>
        <v>161.30000000000001</v>
      </c>
      <c r="AF264" s="1">
        <f>SUM(Table1[[#This Row],[Recreation and amusement]],Table1[[#This Row],[Education]])/2</f>
        <v>155.5</v>
      </c>
      <c r="AG264" s="1">
        <f>SUM(Table1[[#This Row],[Miscellaneous]],Table1[[#This Row],[Personal care and effects]])/2</f>
        <v>154.60000000000002</v>
      </c>
    </row>
    <row r="265" spans="1:33" hidden="1" x14ac:dyDescent="0.3">
      <c r="A265" t="s">
        <v>36</v>
      </c>
      <c r="B265">
        <v>2021</v>
      </c>
      <c r="C265" t="s">
        <v>39</v>
      </c>
      <c r="D265">
        <v>147.6</v>
      </c>
      <c r="E265">
        <v>191.2</v>
      </c>
      <c r="F265">
        <v>169.9</v>
      </c>
      <c r="G265">
        <v>155.1</v>
      </c>
      <c r="H265">
        <v>151.4</v>
      </c>
      <c r="I265">
        <v>154</v>
      </c>
      <c r="J265">
        <v>180.2</v>
      </c>
      <c r="K265">
        <v>159.80000000000001</v>
      </c>
      <c r="L265">
        <v>114.9</v>
      </c>
      <c r="M265">
        <v>162.5</v>
      </c>
      <c r="N265">
        <v>149.19999999999999</v>
      </c>
      <c r="O265">
        <v>169.4</v>
      </c>
      <c r="P265">
        <v>160.80000000000001</v>
      </c>
      <c r="Q265">
        <v>159.80000000000001</v>
      </c>
      <c r="R265">
        <v>149.1</v>
      </c>
      <c r="S265">
        <v>146.5</v>
      </c>
      <c r="T265">
        <v>156.30000000000001</v>
      </c>
      <c r="U265">
        <v>140.5</v>
      </c>
      <c r="V265">
        <v>147.30000000000001</v>
      </c>
      <c r="W265">
        <v>156.6</v>
      </c>
      <c r="X265">
        <v>156.69999999999999</v>
      </c>
      <c r="Y265">
        <v>149.30000000000001</v>
      </c>
      <c r="Z265">
        <v>156.5</v>
      </c>
      <c r="AA265" s="1">
        <f>SUM(Table1[[#This Row],[Cereals and products]:[Food and beverages]])/13</f>
        <v>158.92307692307693</v>
      </c>
      <c r="AB265" s="1">
        <f>SUM(Table1[[#This Row],[Fuel and light]])</f>
        <v>149.1</v>
      </c>
      <c r="AC265" s="1">
        <f>SUM(Table1[[#This Row],[Transport and communication]])</f>
        <v>140.5</v>
      </c>
      <c r="AD265" s="1">
        <f>SUM(Table1[[#This Row],[Housing]],Table1[[#This Row],[Household goods and services]])/2</f>
        <v>153.15</v>
      </c>
      <c r="AE265" s="1">
        <f>SUM(Table1[[#This Row],[Health]])</f>
        <v>156.30000000000001</v>
      </c>
      <c r="AF265" s="1">
        <f>SUM(Table1[[#This Row],[Recreation and amusement]],Table1[[#This Row],[Education]])/2</f>
        <v>151.94999999999999</v>
      </c>
      <c r="AG265" s="1">
        <f>SUM(Table1[[#This Row],[Miscellaneous]],Table1[[#This Row],[Personal care and effects]])/2</f>
        <v>153</v>
      </c>
    </row>
    <row r="266" spans="1:33" hidden="1" x14ac:dyDescent="0.3">
      <c r="A266" t="s">
        <v>36</v>
      </c>
      <c r="B266">
        <v>2018</v>
      </c>
      <c r="C266" t="s">
        <v>39</v>
      </c>
      <c r="D266">
        <v>134.80000000000001</v>
      </c>
      <c r="E266">
        <v>143</v>
      </c>
      <c r="F266">
        <v>139.9</v>
      </c>
      <c r="G266">
        <v>139.9</v>
      </c>
      <c r="H266">
        <v>116.2</v>
      </c>
      <c r="I266">
        <v>135.5</v>
      </c>
      <c r="J266">
        <v>136.9</v>
      </c>
      <c r="K266">
        <v>117</v>
      </c>
      <c r="L266">
        <v>115.4</v>
      </c>
      <c r="M266">
        <v>140.69999999999999</v>
      </c>
      <c r="N266">
        <v>125.9</v>
      </c>
      <c r="O266">
        <v>147.1</v>
      </c>
      <c r="P266">
        <v>135.6</v>
      </c>
      <c r="Q266">
        <v>141.30000000000001</v>
      </c>
      <c r="R266">
        <v>127.3</v>
      </c>
      <c r="S266">
        <v>129.9</v>
      </c>
      <c r="T266">
        <v>129.80000000000001</v>
      </c>
      <c r="U266">
        <v>117.4</v>
      </c>
      <c r="V266">
        <v>126.5</v>
      </c>
      <c r="W266">
        <v>137.19999999999999</v>
      </c>
      <c r="X266">
        <v>126.2</v>
      </c>
      <c r="Y266">
        <v>126.5</v>
      </c>
      <c r="Z266">
        <v>134</v>
      </c>
      <c r="AA266" s="1">
        <f>SUM(Table1[[#This Row],[Cereals and products]:[Food and beverages]])/13</f>
        <v>132.91538461538462</v>
      </c>
      <c r="AB266" s="1">
        <f>SUM(Table1[[#This Row],[Fuel and light]])</f>
        <v>127.3</v>
      </c>
      <c r="AC266" s="1">
        <f>SUM(Table1[[#This Row],[Transport and communication]])</f>
        <v>117.4</v>
      </c>
      <c r="AD266" s="1">
        <f>SUM(Table1[[#This Row],[Housing]],Table1[[#This Row],[Household goods and services]])/2</f>
        <v>135.60000000000002</v>
      </c>
      <c r="AE266" s="1">
        <f>SUM(Table1[[#This Row],[Health]])</f>
        <v>129.80000000000001</v>
      </c>
      <c r="AF266" s="1">
        <f>SUM(Table1[[#This Row],[Recreation and amusement]],Table1[[#This Row],[Education]])/2</f>
        <v>131.85</v>
      </c>
      <c r="AG266" s="1">
        <f>SUM(Table1[[#This Row],[Miscellaneous]],Table1[[#This Row],[Personal care and effects]])/2</f>
        <v>126.35</v>
      </c>
    </row>
    <row r="267" spans="1:33" hidden="1" x14ac:dyDescent="0.3">
      <c r="A267" t="s">
        <v>35</v>
      </c>
      <c r="B267">
        <v>2018</v>
      </c>
      <c r="C267" t="s">
        <v>39</v>
      </c>
      <c r="D267">
        <v>135.9</v>
      </c>
      <c r="E267">
        <v>143.5</v>
      </c>
      <c r="F267">
        <v>140.30000000000001</v>
      </c>
      <c r="G267">
        <v>140.9</v>
      </c>
      <c r="H267">
        <v>120.4</v>
      </c>
      <c r="I267">
        <v>142.9</v>
      </c>
      <c r="J267">
        <v>140.5</v>
      </c>
      <c r="K267">
        <v>125.8</v>
      </c>
      <c r="L267">
        <v>117.1</v>
      </c>
      <c r="M267">
        <v>137.30000000000001</v>
      </c>
      <c r="N267">
        <v>128.6</v>
      </c>
      <c r="O267">
        <v>149.6</v>
      </c>
      <c r="P267">
        <v>137.6</v>
      </c>
      <c r="Q267">
        <v>141.30000000000001</v>
      </c>
      <c r="R267">
        <v>136.69999999999999</v>
      </c>
      <c r="S267">
        <v>135.19999999999999</v>
      </c>
      <c r="T267">
        <v>133.80000000000001</v>
      </c>
      <c r="U267">
        <v>120.2</v>
      </c>
      <c r="V267">
        <v>129.9</v>
      </c>
      <c r="W267">
        <v>139</v>
      </c>
      <c r="X267">
        <v>127.7</v>
      </c>
      <c r="Y267">
        <v>129.6</v>
      </c>
      <c r="Z267">
        <v>136.4</v>
      </c>
      <c r="AA267" s="1">
        <f>SUM(Table1[[#This Row],[Cereals and products]:[Food and beverages]])/13</f>
        <v>135.4153846153846</v>
      </c>
      <c r="AB267" s="1">
        <f>SUM(Table1[[#This Row],[Fuel and light]])</f>
        <v>136.69999999999999</v>
      </c>
      <c r="AC267" s="1">
        <f>SUM(Table1[[#This Row],[Transport and communication]])</f>
        <v>120.2</v>
      </c>
      <c r="AD267" s="1">
        <f>SUM(Table1[[#This Row],[Housing]],Table1[[#This Row],[Household goods and services]])/2</f>
        <v>138.25</v>
      </c>
      <c r="AE267" s="1">
        <f>SUM(Table1[[#This Row],[Health]])</f>
        <v>133.80000000000001</v>
      </c>
      <c r="AF267" s="1">
        <f>SUM(Table1[[#This Row],[Recreation and amusement]],Table1[[#This Row],[Education]])/2</f>
        <v>134.44999999999999</v>
      </c>
      <c r="AG267" s="1">
        <f>SUM(Table1[[#This Row],[Miscellaneous]],Table1[[#This Row],[Personal care and effects]])/2</f>
        <v>128.65</v>
      </c>
    </row>
    <row r="268" spans="1:33" hidden="1" x14ac:dyDescent="0.3">
      <c r="A268" t="s">
        <v>33</v>
      </c>
      <c r="B268">
        <v>2018</v>
      </c>
      <c r="C268" t="s">
        <v>39</v>
      </c>
      <c r="D268">
        <v>136.4</v>
      </c>
      <c r="E268">
        <v>143.69999999999999</v>
      </c>
      <c r="F268">
        <v>140.6</v>
      </c>
      <c r="G268">
        <v>141.5</v>
      </c>
      <c r="H268">
        <v>122.9</v>
      </c>
      <c r="I268">
        <v>149.4</v>
      </c>
      <c r="J268">
        <v>142.4</v>
      </c>
      <c r="K268">
        <v>130.19999999999999</v>
      </c>
      <c r="L268">
        <v>117.9</v>
      </c>
      <c r="M268">
        <v>135.6</v>
      </c>
      <c r="N268">
        <v>130.5</v>
      </c>
      <c r="O268">
        <v>151.69999999999999</v>
      </c>
      <c r="P268">
        <v>138.69999999999999</v>
      </c>
      <c r="Q268">
        <f>AVERAGE(Q266:Q267)</f>
        <v>141.30000000000001</v>
      </c>
      <c r="R268">
        <v>142.4</v>
      </c>
      <c r="S268">
        <v>139.9</v>
      </c>
      <c r="T268">
        <v>136.19999999999999</v>
      </c>
      <c r="U268">
        <v>123.3</v>
      </c>
      <c r="V268">
        <v>134.30000000000001</v>
      </c>
      <c r="W268">
        <v>141.5</v>
      </c>
      <c r="X268">
        <v>128.80000000000001</v>
      </c>
      <c r="Y268">
        <v>132.5</v>
      </c>
      <c r="Z268">
        <v>138.5</v>
      </c>
      <c r="AA268" s="1">
        <f>SUM(Table1[[#This Row],[Cereals and products]:[Food and beverages]])/13</f>
        <v>137.03846153846155</v>
      </c>
      <c r="AB268" s="1">
        <f>SUM(Table1[[#This Row],[Fuel and light]])</f>
        <v>142.4</v>
      </c>
      <c r="AC268" s="1">
        <f>SUM(Table1[[#This Row],[Transport and communication]])</f>
        <v>123.3</v>
      </c>
      <c r="AD268" s="1">
        <f>SUM(Table1[[#This Row],[Housing]],Table1[[#This Row],[Household goods and services]])/2</f>
        <v>140.60000000000002</v>
      </c>
      <c r="AE268" s="1">
        <f>SUM(Table1[[#This Row],[Health]])</f>
        <v>136.19999999999999</v>
      </c>
      <c r="AF268" s="1">
        <f>SUM(Table1[[#This Row],[Recreation and amusement]],Table1[[#This Row],[Education]])/2</f>
        <v>137.9</v>
      </c>
      <c r="AG268" s="1">
        <f>SUM(Table1[[#This Row],[Miscellaneous]],Table1[[#This Row],[Personal care and effects]])/2</f>
        <v>130.65</v>
      </c>
    </row>
    <row r="269" spans="1:33" hidden="1" x14ac:dyDescent="0.3">
      <c r="A269" t="s">
        <v>36</v>
      </c>
      <c r="B269">
        <v>2017</v>
      </c>
      <c r="C269" t="s">
        <v>39</v>
      </c>
      <c r="D269">
        <v>132.80000000000001</v>
      </c>
      <c r="E269">
        <v>139.80000000000001</v>
      </c>
      <c r="F269">
        <v>129.30000000000001</v>
      </c>
      <c r="G269">
        <v>133.5</v>
      </c>
      <c r="H269">
        <v>114.3</v>
      </c>
      <c r="I269">
        <v>131.4</v>
      </c>
      <c r="J269">
        <v>120.2</v>
      </c>
      <c r="K269">
        <v>143.1</v>
      </c>
      <c r="L269">
        <v>119.5</v>
      </c>
      <c r="M269">
        <v>144</v>
      </c>
      <c r="N269">
        <v>123.4</v>
      </c>
      <c r="O269">
        <v>141.9</v>
      </c>
      <c r="P269">
        <v>132.1</v>
      </c>
      <c r="Q269">
        <v>130.5</v>
      </c>
      <c r="R269">
        <v>119.2</v>
      </c>
      <c r="S269">
        <v>125.3</v>
      </c>
      <c r="T269">
        <v>122.9</v>
      </c>
      <c r="U269">
        <v>115.5</v>
      </c>
      <c r="V269">
        <v>122.2</v>
      </c>
      <c r="W269">
        <v>132.4</v>
      </c>
      <c r="X269">
        <v>121.7</v>
      </c>
      <c r="Y269">
        <v>122.4</v>
      </c>
      <c r="Z269">
        <v>128.19999999999999</v>
      </c>
      <c r="AA269" s="1">
        <f>SUM(Table1[[#This Row],[Cereals and products]:[Food and beverages]])/13</f>
        <v>131.17692307692309</v>
      </c>
      <c r="AB269" s="1">
        <f>SUM(Table1[[#This Row],[Fuel and light]])</f>
        <v>119.2</v>
      </c>
      <c r="AC269" s="1">
        <f>SUM(Table1[[#This Row],[Transport and communication]])</f>
        <v>115.5</v>
      </c>
      <c r="AD269" s="1">
        <f>SUM(Table1[[#This Row],[Housing]],Table1[[#This Row],[Household goods and services]])/2</f>
        <v>127.9</v>
      </c>
      <c r="AE269" s="1">
        <f>SUM(Table1[[#This Row],[Health]])</f>
        <v>122.9</v>
      </c>
      <c r="AF269" s="1">
        <f>SUM(Table1[[#This Row],[Recreation and amusement]],Table1[[#This Row],[Education]])/2</f>
        <v>127.30000000000001</v>
      </c>
      <c r="AG269" s="1">
        <f>SUM(Table1[[#This Row],[Miscellaneous]],Table1[[#This Row],[Personal care and effects]])/2</f>
        <v>122.05000000000001</v>
      </c>
    </row>
    <row r="270" spans="1:33" hidden="1" x14ac:dyDescent="0.3">
      <c r="A270" t="s">
        <v>35</v>
      </c>
      <c r="B270">
        <v>2017</v>
      </c>
      <c r="C270" t="s">
        <v>39</v>
      </c>
      <c r="D270">
        <v>133.1</v>
      </c>
      <c r="E270">
        <v>138.80000000000001</v>
      </c>
      <c r="F270">
        <v>129.30000000000001</v>
      </c>
      <c r="G270">
        <v>135.80000000000001</v>
      </c>
      <c r="H270">
        <v>119.2</v>
      </c>
      <c r="I270">
        <v>135.30000000000001</v>
      </c>
      <c r="J270">
        <v>119.5</v>
      </c>
      <c r="K270">
        <v>152.19999999999999</v>
      </c>
      <c r="L270">
        <v>117.3</v>
      </c>
      <c r="M270">
        <v>138.69999999999999</v>
      </c>
      <c r="N270">
        <v>126.9</v>
      </c>
      <c r="O270">
        <v>143.19999999999999</v>
      </c>
      <c r="P270">
        <v>133</v>
      </c>
      <c r="Q270">
        <v>130.5</v>
      </c>
      <c r="R270">
        <v>127.9</v>
      </c>
      <c r="S270">
        <v>129.69999999999999</v>
      </c>
      <c r="T270">
        <v>127.4</v>
      </c>
      <c r="U270">
        <v>117.4</v>
      </c>
      <c r="V270">
        <v>124.6</v>
      </c>
      <c r="W270">
        <v>133.4</v>
      </c>
      <c r="X270">
        <v>122.6</v>
      </c>
      <c r="Y270">
        <v>124.8</v>
      </c>
      <c r="Z270">
        <v>130.6</v>
      </c>
      <c r="AA270" s="1">
        <f>SUM(Table1[[#This Row],[Cereals and products]:[Food and beverages]])/13</f>
        <v>132.48461538461541</v>
      </c>
      <c r="AB270" s="1">
        <f>SUM(Table1[[#This Row],[Fuel and light]])</f>
        <v>127.9</v>
      </c>
      <c r="AC270" s="1">
        <f>SUM(Table1[[#This Row],[Transport and communication]])</f>
        <v>117.4</v>
      </c>
      <c r="AD270" s="1">
        <f>SUM(Table1[[#This Row],[Housing]],Table1[[#This Row],[Household goods and services]])/2</f>
        <v>130.1</v>
      </c>
      <c r="AE270" s="1">
        <f>SUM(Table1[[#This Row],[Health]])</f>
        <v>127.4</v>
      </c>
      <c r="AF270" s="1">
        <f>SUM(Table1[[#This Row],[Recreation and amusement]],Table1[[#This Row],[Education]])/2</f>
        <v>129</v>
      </c>
      <c r="AG270" s="1">
        <f>SUM(Table1[[#This Row],[Miscellaneous]],Table1[[#This Row],[Personal care and effects]])/2</f>
        <v>123.69999999999999</v>
      </c>
    </row>
    <row r="271" spans="1:33" hidden="1" x14ac:dyDescent="0.3">
      <c r="A271" t="s">
        <v>33</v>
      </c>
      <c r="B271">
        <v>2017</v>
      </c>
      <c r="C271" t="s">
        <v>39</v>
      </c>
      <c r="D271">
        <v>133.30000000000001</v>
      </c>
      <c r="E271">
        <v>138.30000000000001</v>
      </c>
      <c r="F271">
        <v>129.30000000000001</v>
      </c>
      <c r="G271">
        <v>137.19999999999999</v>
      </c>
      <c r="H271">
        <v>122.1</v>
      </c>
      <c r="I271">
        <v>138.69999999999999</v>
      </c>
      <c r="J271">
        <v>119.1</v>
      </c>
      <c r="K271">
        <v>156.9</v>
      </c>
      <c r="L271">
        <v>116.2</v>
      </c>
      <c r="M271">
        <v>136</v>
      </c>
      <c r="N271">
        <v>129.4</v>
      </c>
      <c r="O271">
        <v>144.4</v>
      </c>
      <c r="P271">
        <v>133.6</v>
      </c>
      <c r="Q271">
        <f>AVERAGE(Q269:Q270)</f>
        <v>130.5</v>
      </c>
      <c r="R271">
        <v>133.19999999999999</v>
      </c>
      <c r="S271">
        <v>133.6</v>
      </c>
      <c r="T271">
        <v>130.1</v>
      </c>
      <c r="U271">
        <v>119.5</v>
      </c>
      <c r="V271">
        <v>127.7</v>
      </c>
      <c r="W271">
        <v>134.9</v>
      </c>
      <c r="X271">
        <v>123.2</v>
      </c>
      <c r="Y271">
        <v>127</v>
      </c>
      <c r="Z271">
        <v>132.6</v>
      </c>
      <c r="AA271" s="1">
        <f>SUM(Table1[[#This Row],[Cereals and products]:[Food and beverages]])/13</f>
        <v>133.42307692307693</v>
      </c>
      <c r="AB271" s="1">
        <f>SUM(Table1[[#This Row],[Fuel and light]])</f>
        <v>133.19999999999999</v>
      </c>
      <c r="AC271" s="1">
        <f>SUM(Table1[[#This Row],[Transport and communication]])</f>
        <v>119.5</v>
      </c>
      <c r="AD271" s="1">
        <f>SUM(Table1[[#This Row],[Housing]],Table1[[#This Row],[Household goods and services]])/2</f>
        <v>132.05000000000001</v>
      </c>
      <c r="AE271" s="1">
        <f>SUM(Table1[[#This Row],[Health]])</f>
        <v>130.1</v>
      </c>
      <c r="AF271" s="1">
        <f>SUM(Table1[[#This Row],[Recreation and amusement]],Table1[[#This Row],[Education]])/2</f>
        <v>131.30000000000001</v>
      </c>
      <c r="AG271" s="1">
        <f>SUM(Table1[[#This Row],[Miscellaneous]],Table1[[#This Row],[Personal care and effects]])/2</f>
        <v>125.1</v>
      </c>
    </row>
    <row r="272" spans="1:33" hidden="1" x14ac:dyDescent="0.3">
      <c r="A272" t="s">
        <v>36</v>
      </c>
      <c r="B272">
        <v>2016</v>
      </c>
      <c r="C272" t="s">
        <v>39</v>
      </c>
      <c r="D272">
        <v>124.8</v>
      </c>
      <c r="E272">
        <v>135.1</v>
      </c>
      <c r="F272">
        <v>130.30000000000001</v>
      </c>
      <c r="G272">
        <v>129.6</v>
      </c>
      <c r="H272">
        <v>108.4</v>
      </c>
      <c r="I272">
        <v>118.6</v>
      </c>
      <c r="J272">
        <v>129.19999999999999</v>
      </c>
      <c r="K272">
        <v>176.4</v>
      </c>
      <c r="L272">
        <v>99.1</v>
      </c>
      <c r="M272">
        <v>139.69999999999999</v>
      </c>
      <c r="N272">
        <v>120.6</v>
      </c>
      <c r="O272">
        <v>135.19999999999999</v>
      </c>
      <c r="P272">
        <v>129.1</v>
      </c>
      <c r="Q272">
        <v>124.4</v>
      </c>
      <c r="R272">
        <v>116</v>
      </c>
      <c r="S272">
        <v>121.8</v>
      </c>
      <c r="T272">
        <v>119.5</v>
      </c>
      <c r="U272">
        <v>109.1</v>
      </c>
      <c r="V272">
        <v>118.8</v>
      </c>
      <c r="W272">
        <v>126.3</v>
      </c>
      <c r="X272">
        <v>116.2</v>
      </c>
      <c r="Y272">
        <v>117.2</v>
      </c>
      <c r="Z272">
        <v>123.8</v>
      </c>
      <c r="AA272" s="1">
        <f>SUM(Table1[[#This Row],[Cereals and products]:[Food and beverages]])/13</f>
        <v>128.93076923076922</v>
      </c>
      <c r="AB272" s="1">
        <f>SUM(Table1[[#This Row],[Fuel and light]])</f>
        <v>116</v>
      </c>
      <c r="AC272" s="1">
        <f>SUM(Table1[[#This Row],[Transport and communication]])</f>
        <v>109.1</v>
      </c>
      <c r="AD272" s="1">
        <f>SUM(Table1[[#This Row],[Housing]],Table1[[#This Row],[Household goods and services]])/2</f>
        <v>123.1</v>
      </c>
      <c r="AE272" s="1">
        <f>SUM(Table1[[#This Row],[Health]])</f>
        <v>119.5</v>
      </c>
      <c r="AF272" s="1">
        <f>SUM(Table1[[#This Row],[Recreation and amusement]],Table1[[#This Row],[Education]])/2</f>
        <v>122.55</v>
      </c>
      <c r="AG272" s="1">
        <f>SUM(Table1[[#This Row],[Miscellaneous]],Table1[[#This Row],[Personal care and effects]])/2</f>
        <v>116.7</v>
      </c>
    </row>
    <row r="273" spans="1:33" hidden="1" x14ac:dyDescent="0.3">
      <c r="A273" t="s">
        <v>35</v>
      </c>
      <c r="B273">
        <v>2016</v>
      </c>
      <c r="C273" t="s">
        <v>39</v>
      </c>
      <c r="D273">
        <v>126.4</v>
      </c>
      <c r="E273">
        <v>134.19999999999999</v>
      </c>
      <c r="F273">
        <v>128.69999999999999</v>
      </c>
      <c r="G273">
        <v>130.30000000000001</v>
      </c>
      <c r="H273">
        <v>114.8</v>
      </c>
      <c r="I273">
        <v>124.9</v>
      </c>
      <c r="J273">
        <v>130.30000000000001</v>
      </c>
      <c r="K273">
        <v>167.4</v>
      </c>
      <c r="L273">
        <v>98.8</v>
      </c>
      <c r="M273">
        <v>133.6</v>
      </c>
      <c r="N273">
        <v>123</v>
      </c>
      <c r="O273">
        <v>135.80000000000001</v>
      </c>
      <c r="P273">
        <v>129.9</v>
      </c>
      <c r="Q273">
        <v>124.4</v>
      </c>
      <c r="R273">
        <v>123.1</v>
      </c>
      <c r="S273">
        <v>124.6</v>
      </c>
      <c r="T273">
        <v>122.5</v>
      </c>
      <c r="U273">
        <v>111.4</v>
      </c>
      <c r="V273">
        <v>120.3</v>
      </c>
      <c r="W273">
        <v>126.6</v>
      </c>
      <c r="X273">
        <v>116.6</v>
      </c>
      <c r="Y273">
        <v>119.1</v>
      </c>
      <c r="Z273">
        <v>126</v>
      </c>
      <c r="AA273" s="1">
        <f>SUM(Table1[[#This Row],[Cereals and products]:[Food and beverages]])/13</f>
        <v>129.08461538461538</v>
      </c>
      <c r="AB273" s="1">
        <f>SUM(Table1[[#This Row],[Fuel and light]])</f>
        <v>123.1</v>
      </c>
      <c r="AC273" s="1">
        <f>SUM(Table1[[#This Row],[Transport and communication]])</f>
        <v>111.4</v>
      </c>
      <c r="AD273" s="1">
        <f>SUM(Table1[[#This Row],[Housing]],Table1[[#This Row],[Household goods and services]])/2</f>
        <v>124.5</v>
      </c>
      <c r="AE273" s="1">
        <f>SUM(Table1[[#This Row],[Health]])</f>
        <v>122.5</v>
      </c>
      <c r="AF273" s="1">
        <f>SUM(Table1[[#This Row],[Recreation and amusement]],Table1[[#This Row],[Education]])/2</f>
        <v>123.44999999999999</v>
      </c>
      <c r="AG273" s="1">
        <f>SUM(Table1[[#This Row],[Miscellaneous]],Table1[[#This Row],[Personal care and effects]])/2</f>
        <v>117.85</v>
      </c>
    </row>
    <row r="274" spans="1:33" hidden="1" x14ac:dyDescent="0.3">
      <c r="A274" t="s">
        <v>33</v>
      </c>
      <c r="B274">
        <v>2016</v>
      </c>
      <c r="C274" t="s">
        <v>39</v>
      </c>
      <c r="D274">
        <v>127.1</v>
      </c>
      <c r="E274">
        <v>133.69999999999999</v>
      </c>
      <c r="F274">
        <v>127.7</v>
      </c>
      <c r="G274">
        <v>130.69999999999999</v>
      </c>
      <c r="H274">
        <v>118.5</v>
      </c>
      <c r="I274">
        <v>130.4</v>
      </c>
      <c r="J274">
        <v>130.9</v>
      </c>
      <c r="K274">
        <v>162.80000000000001</v>
      </c>
      <c r="L274">
        <v>98.7</v>
      </c>
      <c r="M274">
        <v>130.6</v>
      </c>
      <c r="N274">
        <v>124.8</v>
      </c>
      <c r="O274">
        <v>136.4</v>
      </c>
      <c r="P274">
        <v>130.30000000000001</v>
      </c>
      <c r="Q274">
        <f>AVERAGE(Q272:Q273)</f>
        <v>124.4</v>
      </c>
      <c r="R274">
        <v>127.5</v>
      </c>
      <c r="S274">
        <v>127.1</v>
      </c>
      <c r="T274">
        <v>124.3</v>
      </c>
      <c r="U274">
        <v>113.9</v>
      </c>
      <c r="V274">
        <v>122.3</v>
      </c>
      <c r="W274">
        <v>127.1</v>
      </c>
      <c r="X274">
        <v>116.8</v>
      </c>
      <c r="Y274">
        <v>120.9</v>
      </c>
      <c r="Z274">
        <v>127.9</v>
      </c>
      <c r="AA274" s="1">
        <f>SUM(Table1[[#This Row],[Cereals and products]:[Food and beverages]])/13</f>
        <v>129.43076923076922</v>
      </c>
      <c r="AB274" s="1">
        <f>SUM(Table1[[#This Row],[Fuel and light]])</f>
        <v>127.5</v>
      </c>
      <c r="AC274" s="1">
        <f>SUM(Table1[[#This Row],[Transport and communication]])</f>
        <v>113.9</v>
      </c>
      <c r="AD274" s="1">
        <f>SUM(Table1[[#This Row],[Housing]],Table1[[#This Row],[Household goods and services]])/2</f>
        <v>125.75</v>
      </c>
      <c r="AE274" s="1">
        <f>SUM(Table1[[#This Row],[Health]])</f>
        <v>124.3</v>
      </c>
      <c r="AF274" s="1">
        <f>SUM(Table1[[#This Row],[Recreation and amusement]],Table1[[#This Row],[Education]])/2</f>
        <v>124.69999999999999</v>
      </c>
      <c r="AG274" s="1">
        <f>SUM(Table1[[#This Row],[Miscellaneous]],Table1[[#This Row],[Personal care and effects]])/2</f>
        <v>118.85</v>
      </c>
    </row>
    <row r="275" spans="1:33" hidden="1" x14ac:dyDescent="0.3">
      <c r="A275" t="s">
        <v>33</v>
      </c>
      <c r="B275">
        <v>2015</v>
      </c>
      <c r="C275" t="s">
        <v>39</v>
      </c>
      <c r="D275">
        <v>123.4</v>
      </c>
      <c r="E275">
        <v>124.4</v>
      </c>
      <c r="F275">
        <v>122.1</v>
      </c>
      <c r="G275">
        <v>125.8</v>
      </c>
      <c r="H275">
        <v>111.5</v>
      </c>
      <c r="I275">
        <v>129.4</v>
      </c>
      <c r="J275">
        <v>128.19999999999999</v>
      </c>
      <c r="K275">
        <v>118.8</v>
      </c>
      <c r="L275">
        <v>100</v>
      </c>
      <c r="M275">
        <v>118.6</v>
      </c>
      <c r="N275">
        <v>118.8</v>
      </c>
      <c r="O275">
        <v>126.8</v>
      </c>
      <c r="P275">
        <v>122.8</v>
      </c>
      <c r="Q275">
        <f>AVERAGE(Q276:Q277)</f>
        <v>118.1</v>
      </c>
      <c r="R275">
        <v>120</v>
      </c>
      <c r="S275">
        <v>119.6</v>
      </c>
      <c r="T275">
        <v>117.7</v>
      </c>
      <c r="U275">
        <v>110.9</v>
      </c>
      <c r="V275">
        <v>114.8</v>
      </c>
      <c r="W275">
        <v>118.7</v>
      </c>
      <c r="X275">
        <v>110.8</v>
      </c>
      <c r="Y275">
        <v>115</v>
      </c>
      <c r="Z275">
        <v>120.6</v>
      </c>
      <c r="AA275" s="1">
        <f>SUM(Table1[[#This Row],[Cereals and products]:[Food and beverages]])/13</f>
        <v>120.81538461538459</v>
      </c>
      <c r="AB275" s="1">
        <f>SUM(Table1[[#This Row],[Fuel and light]])</f>
        <v>120</v>
      </c>
      <c r="AC275" s="1">
        <f>SUM(Table1[[#This Row],[Transport and communication]])</f>
        <v>110.9</v>
      </c>
      <c r="AD275" s="1">
        <f>SUM(Table1[[#This Row],[Housing]],Table1[[#This Row],[Household goods and services]])/2</f>
        <v>118.85</v>
      </c>
      <c r="AE275" s="1">
        <f>SUM(Table1[[#This Row],[Health]])</f>
        <v>117.7</v>
      </c>
      <c r="AF275" s="1">
        <f>SUM(Table1[[#This Row],[Recreation and amusement]],Table1[[#This Row],[Education]])/2</f>
        <v>116.75</v>
      </c>
      <c r="AG275" s="1">
        <f>SUM(Table1[[#This Row],[Miscellaneous]],Table1[[#This Row],[Personal care and effects]])/2</f>
        <v>112.9</v>
      </c>
    </row>
    <row r="276" spans="1:33" hidden="1" x14ac:dyDescent="0.3">
      <c r="A276" t="s">
        <v>35</v>
      </c>
      <c r="B276">
        <v>2015</v>
      </c>
      <c r="C276" t="s">
        <v>39</v>
      </c>
      <c r="D276">
        <v>123.7</v>
      </c>
      <c r="E276">
        <v>125.1</v>
      </c>
      <c r="F276">
        <v>121.1</v>
      </c>
      <c r="G276">
        <v>125.7</v>
      </c>
      <c r="H276">
        <v>109.1</v>
      </c>
      <c r="I276">
        <v>125.8</v>
      </c>
      <c r="J276">
        <v>129.4</v>
      </c>
      <c r="K276">
        <v>120.9</v>
      </c>
      <c r="L276">
        <v>98.3</v>
      </c>
      <c r="M276">
        <v>121.6</v>
      </c>
      <c r="N276">
        <v>118</v>
      </c>
      <c r="O276">
        <v>127.6</v>
      </c>
      <c r="P276">
        <v>123.1</v>
      </c>
      <c r="Q276">
        <v>118.1</v>
      </c>
      <c r="R276">
        <v>117.7</v>
      </c>
      <c r="S276">
        <v>118.7</v>
      </c>
      <c r="T276">
        <v>116.3</v>
      </c>
      <c r="U276">
        <v>108.7</v>
      </c>
      <c r="V276">
        <v>114.9</v>
      </c>
      <c r="W276">
        <v>119.7</v>
      </c>
      <c r="X276">
        <v>111.2</v>
      </c>
      <c r="Y276">
        <v>114.1</v>
      </c>
      <c r="Z276">
        <v>119.7</v>
      </c>
      <c r="AA276" s="1">
        <f>SUM(Table1[[#This Row],[Cereals and products]:[Food and beverages]])/13</f>
        <v>120.72307692307689</v>
      </c>
      <c r="AB276" s="1">
        <f>SUM(Table1[[#This Row],[Fuel and light]])</f>
        <v>117.7</v>
      </c>
      <c r="AC276" s="1">
        <f>SUM(Table1[[#This Row],[Transport and communication]])</f>
        <v>108.7</v>
      </c>
      <c r="AD276" s="1">
        <f>SUM(Table1[[#This Row],[Housing]],Table1[[#This Row],[Household goods and services]])/2</f>
        <v>118.4</v>
      </c>
      <c r="AE276" s="1">
        <f>SUM(Table1[[#This Row],[Health]])</f>
        <v>116.3</v>
      </c>
      <c r="AF276" s="1">
        <f>SUM(Table1[[#This Row],[Recreation and amusement]],Table1[[#This Row],[Education]])/2</f>
        <v>117.30000000000001</v>
      </c>
      <c r="AG276" s="1">
        <f>SUM(Table1[[#This Row],[Miscellaneous]],Table1[[#This Row],[Personal care and effects]])/2</f>
        <v>112.65</v>
      </c>
    </row>
    <row r="277" spans="1:33" hidden="1" x14ac:dyDescent="0.3">
      <c r="A277" t="s">
        <v>36</v>
      </c>
      <c r="B277">
        <v>2015</v>
      </c>
      <c r="C277" t="s">
        <v>39</v>
      </c>
      <c r="D277">
        <v>124.3</v>
      </c>
      <c r="E277">
        <v>126.5</v>
      </c>
      <c r="F277">
        <v>119.5</v>
      </c>
      <c r="G277">
        <v>125.6</v>
      </c>
      <c r="H277">
        <v>104.9</v>
      </c>
      <c r="I277">
        <v>121.6</v>
      </c>
      <c r="J277">
        <v>131.80000000000001</v>
      </c>
      <c r="K277">
        <v>125.1</v>
      </c>
      <c r="L277">
        <v>95</v>
      </c>
      <c r="M277">
        <v>127.7</v>
      </c>
      <c r="N277">
        <v>116.8</v>
      </c>
      <c r="O277">
        <v>128.6</v>
      </c>
      <c r="P277">
        <v>123.7</v>
      </c>
      <c r="Q277">
        <v>118.1</v>
      </c>
      <c r="R277">
        <v>114</v>
      </c>
      <c r="S277">
        <v>117.7</v>
      </c>
      <c r="T277">
        <v>114.1</v>
      </c>
      <c r="U277">
        <v>106.8</v>
      </c>
      <c r="V277">
        <v>114.9</v>
      </c>
      <c r="W277">
        <v>120.4</v>
      </c>
      <c r="X277">
        <v>111.7</v>
      </c>
      <c r="Y277">
        <v>113.2</v>
      </c>
      <c r="Z277">
        <v>118.7</v>
      </c>
      <c r="AA277" s="1">
        <f>SUM(Table1[[#This Row],[Cereals and products]:[Food and beverages]])/13</f>
        <v>120.85384615384616</v>
      </c>
      <c r="AB277" s="1">
        <f>SUM(Table1[[#This Row],[Fuel and light]])</f>
        <v>114</v>
      </c>
      <c r="AC277" s="1">
        <f>SUM(Table1[[#This Row],[Transport and communication]])</f>
        <v>106.8</v>
      </c>
      <c r="AD277" s="1">
        <f>SUM(Table1[[#This Row],[Housing]],Table1[[#This Row],[Household goods and services]])/2</f>
        <v>117.9</v>
      </c>
      <c r="AE277" s="1">
        <f>SUM(Table1[[#This Row],[Health]])</f>
        <v>114.1</v>
      </c>
      <c r="AF277" s="1">
        <f>SUM(Table1[[#This Row],[Recreation and amusement]],Table1[[#This Row],[Education]])/2</f>
        <v>117.65</v>
      </c>
      <c r="AG277" s="1">
        <f>SUM(Table1[[#This Row],[Miscellaneous]],Table1[[#This Row],[Personal care and effects]])/2</f>
        <v>112.45</v>
      </c>
    </row>
    <row r="278" spans="1:33" hidden="1" x14ac:dyDescent="0.3">
      <c r="A278" t="s">
        <v>33</v>
      </c>
      <c r="B278">
        <v>2014</v>
      </c>
      <c r="C278" t="s">
        <v>39</v>
      </c>
      <c r="D278">
        <v>119.4</v>
      </c>
      <c r="E278">
        <v>117.7</v>
      </c>
      <c r="F278">
        <v>121.2</v>
      </c>
      <c r="G278">
        <v>115</v>
      </c>
      <c r="H278">
        <v>109</v>
      </c>
      <c r="I278">
        <v>116.6</v>
      </c>
      <c r="J278">
        <v>116</v>
      </c>
      <c r="K278">
        <v>109.8</v>
      </c>
      <c r="L278">
        <v>101.1</v>
      </c>
      <c r="M278">
        <v>110.4</v>
      </c>
      <c r="N278">
        <v>112.9</v>
      </c>
      <c r="O278">
        <v>117.8</v>
      </c>
      <c r="P278">
        <v>115.3</v>
      </c>
      <c r="Q278">
        <f>AVERAGE(Q279:Q280)</f>
        <v>112.5</v>
      </c>
      <c r="R278">
        <v>113.2</v>
      </c>
      <c r="S278">
        <v>112.9</v>
      </c>
      <c r="T278">
        <v>110.9</v>
      </c>
      <c r="U278">
        <v>110.8</v>
      </c>
      <c r="V278">
        <v>109.9</v>
      </c>
      <c r="W278">
        <v>112</v>
      </c>
      <c r="X278">
        <v>108.7</v>
      </c>
      <c r="Y278">
        <v>110.9</v>
      </c>
      <c r="Z278">
        <v>114</v>
      </c>
      <c r="AA278" s="1">
        <f>SUM(Table1[[#This Row],[Cereals and products]:[Food and beverages]])/13</f>
        <v>114.01538461538462</v>
      </c>
      <c r="AB278" s="1">
        <f>SUM(Table1[[#This Row],[Fuel and light]])</f>
        <v>113.2</v>
      </c>
      <c r="AC278" s="1">
        <f>SUM(Table1[[#This Row],[Transport and communication]])</f>
        <v>110.8</v>
      </c>
      <c r="AD278" s="1">
        <f>SUM(Table1[[#This Row],[Housing]],Table1[[#This Row],[Household goods and services]])/2</f>
        <v>112.7</v>
      </c>
      <c r="AE278" s="1">
        <f>SUM(Table1[[#This Row],[Health]])</f>
        <v>110.9</v>
      </c>
      <c r="AF278" s="1">
        <f>SUM(Table1[[#This Row],[Recreation and amusement]],Table1[[#This Row],[Education]])/2</f>
        <v>110.95</v>
      </c>
      <c r="AG278" s="1">
        <f>SUM(Table1[[#This Row],[Miscellaneous]],Table1[[#This Row],[Personal care and effects]])/2</f>
        <v>109.80000000000001</v>
      </c>
    </row>
    <row r="279" spans="1:33" hidden="1" x14ac:dyDescent="0.3">
      <c r="A279" t="s">
        <v>35</v>
      </c>
      <c r="B279">
        <v>2014</v>
      </c>
      <c r="C279" t="s">
        <v>39</v>
      </c>
      <c r="D279">
        <v>120.2</v>
      </c>
      <c r="E279">
        <v>119.2</v>
      </c>
      <c r="F279">
        <v>122.5</v>
      </c>
      <c r="G279">
        <v>115.1</v>
      </c>
      <c r="H279">
        <v>106.6</v>
      </c>
      <c r="I279">
        <v>115.4</v>
      </c>
      <c r="J279">
        <v>114.5</v>
      </c>
      <c r="K279">
        <v>109.3</v>
      </c>
      <c r="L279">
        <v>99.2</v>
      </c>
      <c r="M279">
        <v>111.4</v>
      </c>
      <c r="N279">
        <v>112.6</v>
      </c>
      <c r="O279">
        <v>118.8</v>
      </c>
      <c r="P279">
        <v>115.3</v>
      </c>
      <c r="Q279">
        <v>112.5</v>
      </c>
      <c r="R279">
        <v>112.4</v>
      </c>
      <c r="S279">
        <v>112.8</v>
      </c>
      <c r="T279">
        <v>110.7</v>
      </c>
      <c r="U279">
        <v>111.1</v>
      </c>
      <c r="V279">
        <v>110.1</v>
      </c>
      <c r="W279">
        <v>111.8</v>
      </c>
      <c r="X279">
        <v>108.7</v>
      </c>
      <c r="Y279">
        <v>110.9</v>
      </c>
      <c r="Z279">
        <v>113.6</v>
      </c>
      <c r="AA279" s="1">
        <f>SUM(Table1[[#This Row],[Cereals and products]:[Food and beverages]])/13</f>
        <v>113.85384615384615</v>
      </c>
      <c r="AB279" s="1">
        <f>SUM(Table1[[#This Row],[Fuel and light]])</f>
        <v>112.4</v>
      </c>
      <c r="AC279" s="1">
        <f>SUM(Table1[[#This Row],[Transport and communication]])</f>
        <v>111.1</v>
      </c>
      <c r="AD279" s="1">
        <f>SUM(Table1[[#This Row],[Housing]],Table1[[#This Row],[Household goods and services]])/2</f>
        <v>112.65</v>
      </c>
      <c r="AE279" s="1">
        <f>SUM(Table1[[#This Row],[Health]])</f>
        <v>110.7</v>
      </c>
      <c r="AF279" s="1">
        <f>SUM(Table1[[#This Row],[Recreation and amusement]],Table1[[#This Row],[Education]])/2</f>
        <v>110.94999999999999</v>
      </c>
      <c r="AG279" s="1">
        <f>SUM(Table1[[#This Row],[Miscellaneous]],Table1[[#This Row],[Personal care and effects]])/2</f>
        <v>109.80000000000001</v>
      </c>
    </row>
    <row r="280" spans="1:33" hidden="1" x14ac:dyDescent="0.3">
      <c r="A280" t="s">
        <v>36</v>
      </c>
      <c r="B280">
        <v>2014</v>
      </c>
      <c r="C280" t="s">
        <v>39</v>
      </c>
      <c r="D280">
        <v>121.9</v>
      </c>
      <c r="E280">
        <v>122</v>
      </c>
      <c r="F280">
        <v>124.5</v>
      </c>
      <c r="G280">
        <v>115.2</v>
      </c>
      <c r="H280">
        <v>102.5</v>
      </c>
      <c r="I280">
        <v>114.1</v>
      </c>
      <c r="J280">
        <v>111.5</v>
      </c>
      <c r="K280">
        <v>108.2</v>
      </c>
      <c r="L280">
        <v>95.4</v>
      </c>
      <c r="M280">
        <v>113.5</v>
      </c>
      <c r="N280">
        <v>112.1</v>
      </c>
      <c r="O280">
        <v>119.9</v>
      </c>
      <c r="P280">
        <v>115.2</v>
      </c>
      <c r="Q280">
        <v>112.5</v>
      </c>
      <c r="R280">
        <v>111.1</v>
      </c>
      <c r="S280">
        <v>112.6</v>
      </c>
      <c r="T280">
        <v>110.4</v>
      </c>
      <c r="U280">
        <v>111.3</v>
      </c>
      <c r="V280">
        <v>110.3</v>
      </c>
      <c r="W280">
        <v>111.6</v>
      </c>
      <c r="X280">
        <v>108.7</v>
      </c>
      <c r="Y280">
        <v>111</v>
      </c>
      <c r="Z280">
        <v>113.1</v>
      </c>
      <c r="AA280" s="1">
        <f>SUM(Table1[[#This Row],[Cereals and products]:[Food and beverages]])/13</f>
        <v>113.53846153846153</v>
      </c>
      <c r="AB280" s="1">
        <f>SUM(Table1[[#This Row],[Fuel and light]])</f>
        <v>111.1</v>
      </c>
      <c r="AC280" s="1">
        <f>SUM(Table1[[#This Row],[Transport and communication]])</f>
        <v>111.3</v>
      </c>
      <c r="AD280" s="1">
        <f>SUM(Table1[[#This Row],[Housing]],Table1[[#This Row],[Household goods and services]])/2</f>
        <v>112.55</v>
      </c>
      <c r="AE280" s="1">
        <f>SUM(Table1[[#This Row],[Health]])</f>
        <v>110.4</v>
      </c>
      <c r="AF280" s="1">
        <f>SUM(Table1[[#This Row],[Recreation and amusement]],Table1[[#This Row],[Education]])/2</f>
        <v>110.94999999999999</v>
      </c>
      <c r="AG280" s="1">
        <f>SUM(Table1[[#This Row],[Miscellaneous]],Table1[[#This Row],[Personal care and effects]])/2</f>
        <v>109.85</v>
      </c>
    </row>
    <row r="281" spans="1:33" hidden="1" x14ac:dyDescent="0.3">
      <c r="A281" t="s">
        <v>33</v>
      </c>
      <c r="B281">
        <v>2013</v>
      </c>
      <c r="C281" t="s">
        <v>39</v>
      </c>
      <c r="D281">
        <v>109.2</v>
      </c>
      <c r="E281">
        <v>108.7</v>
      </c>
      <c r="F281">
        <v>110.2</v>
      </c>
      <c r="G281">
        <v>105.4</v>
      </c>
      <c r="H281">
        <v>106.7</v>
      </c>
      <c r="I281">
        <v>104</v>
      </c>
      <c r="J281">
        <v>102.4</v>
      </c>
      <c r="K281">
        <v>105.9</v>
      </c>
      <c r="L281">
        <v>105.7</v>
      </c>
      <c r="M281">
        <v>103.1</v>
      </c>
      <c r="N281">
        <v>105.1</v>
      </c>
      <c r="O281">
        <v>107.7</v>
      </c>
      <c r="P281">
        <v>106.3</v>
      </c>
      <c r="Q281">
        <f>AVERAGE(Q282:Q283)</f>
        <v>100.4</v>
      </c>
      <c r="R281">
        <v>106.2</v>
      </c>
      <c r="S281">
        <v>105.2</v>
      </c>
      <c r="T281">
        <v>104.4</v>
      </c>
      <c r="U281">
        <v>103.9</v>
      </c>
      <c r="V281">
        <v>104</v>
      </c>
      <c r="W281">
        <v>104.1</v>
      </c>
      <c r="X281">
        <v>104.6</v>
      </c>
      <c r="Y281">
        <v>104.4</v>
      </c>
      <c r="Z281">
        <v>105.8</v>
      </c>
      <c r="AA281" s="1">
        <f>SUM(Table1[[#This Row],[Cereals and products]:[Food and beverages]])/13</f>
        <v>106.18461538461537</v>
      </c>
      <c r="AB281" s="1">
        <f>SUM(Table1[[#This Row],[Fuel and light]])</f>
        <v>106.2</v>
      </c>
      <c r="AC281" s="1">
        <f>SUM(Table1[[#This Row],[Transport and communication]])</f>
        <v>103.9</v>
      </c>
      <c r="AD281" s="1">
        <f>SUM(Table1[[#This Row],[Housing]],Table1[[#This Row],[Household goods and services]])/2</f>
        <v>102.80000000000001</v>
      </c>
      <c r="AE281" s="1">
        <f>SUM(Table1[[#This Row],[Health]])</f>
        <v>104.4</v>
      </c>
      <c r="AF281" s="1">
        <f>SUM(Table1[[#This Row],[Recreation and amusement]],Table1[[#This Row],[Education]])/2</f>
        <v>104.05</v>
      </c>
      <c r="AG281" s="1">
        <f>SUM(Table1[[#This Row],[Miscellaneous]],Table1[[#This Row],[Personal care and effects]])/2</f>
        <v>104.5</v>
      </c>
    </row>
    <row r="282" spans="1:33" hidden="1" x14ac:dyDescent="0.3">
      <c r="A282" t="s">
        <v>35</v>
      </c>
      <c r="B282">
        <v>2013</v>
      </c>
      <c r="C282" t="s">
        <v>39</v>
      </c>
      <c r="D282">
        <v>110.4</v>
      </c>
      <c r="E282">
        <v>110.2</v>
      </c>
      <c r="F282">
        <v>112.8</v>
      </c>
      <c r="G282">
        <v>104.9</v>
      </c>
      <c r="H282">
        <v>105.5</v>
      </c>
      <c r="I282">
        <v>103.6</v>
      </c>
      <c r="J282">
        <v>103.2</v>
      </c>
      <c r="K282">
        <v>105.3</v>
      </c>
      <c r="L282">
        <v>105.1</v>
      </c>
      <c r="M282">
        <v>102.8</v>
      </c>
      <c r="N282">
        <v>105.5</v>
      </c>
      <c r="O282">
        <v>108.3</v>
      </c>
      <c r="P282">
        <v>106.6</v>
      </c>
      <c r="Q282">
        <v>100.4</v>
      </c>
      <c r="R282">
        <v>106</v>
      </c>
      <c r="S282">
        <v>105.2</v>
      </c>
      <c r="T282">
        <v>104.5</v>
      </c>
      <c r="U282">
        <v>104.2</v>
      </c>
      <c r="V282">
        <v>103.6</v>
      </c>
      <c r="W282">
        <v>103.9</v>
      </c>
      <c r="X282">
        <v>104.5</v>
      </c>
      <c r="Y282">
        <v>104.4</v>
      </c>
      <c r="Z282">
        <v>105.3</v>
      </c>
      <c r="AA282" s="1">
        <f>SUM(Table1[[#This Row],[Cereals and products]:[Food and beverages]])/13</f>
        <v>106.47692307692309</v>
      </c>
      <c r="AB282" s="1">
        <f>SUM(Table1[[#This Row],[Fuel and light]])</f>
        <v>106</v>
      </c>
      <c r="AC282" s="1">
        <f>SUM(Table1[[#This Row],[Transport and communication]])</f>
        <v>104.2</v>
      </c>
      <c r="AD282" s="1">
        <f>SUM(Table1[[#This Row],[Housing]],Table1[[#This Row],[Household goods and services]])/2</f>
        <v>102.80000000000001</v>
      </c>
      <c r="AE282" s="1">
        <f>SUM(Table1[[#This Row],[Health]])</f>
        <v>104.5</v>
      </c>
      <c r="AF282" s="1">
        <f>SUM(Table1[[#This Row],[Recreation and amusement]],Table1[[#This Row],[Education]])/2</f>
        <v>103.75</v>
      </c>
      <c r="AG282" s="1">
        <f>SUM(Table1[[#This Row],[Miscellaneous]],Table1[[#This Row],[Personal care and effects]])/2</f>
        <v>104.45</v>
      </c>
    </row>
    <row r="283" spans="1:33" hidden="1" x14ac:dyDescent="0.3">
      <c r="A283" t="s">
        <v>36</v>
      </c>
      <c r="B283">
        <v>2013</v>
      </c>
      <c r="C283" t="s">
        <v>39</v>
      </c>
      <c r="D283">
        <v>112.9</v>
      </c>
      <c r="E283">
        <v>112.9</v>
      </c>
      <c r="F283">
        <v>116.9</v>
      </c>
      <c r="G283">
        <v>104</v>
      </c>
      <c r="H283">
        <v>103.5</v>
      </c>
      <c r="I283">
        <v>103.1</v>
      </c>
      <c r="J283">
        <v>104.9</v>
      </c>
      <c r="K283">
        <v>104.1</v>
      </c>
      <c r="L283">
        <v>103.8</v>
      </c>
      <c r="M283">
        <v>102.3</v>
      </c>
      <c r="N283">
        <v>106</v>
      </c>
      <c r="O283">
        <v>109</v>
      </c>
      <c r="P283">
        <v>107.2</v>
      </c>
      <c r="Q283">
        <v>100.4</v>
      </c>
      <c r="R283">
        <v>105.7</v>
      </c>
      <c r="S283">
        <v>105.2</v>
      </c>
      <c r="T283">
        <v>104.7</v>
      </c>
      <c r="U283">
        <v>104.4</v>
      </c>
      <c r="V283">
        <v>103.3</v>
      </c>
      <c r="W283">
        <v>103.7</v>
      </c>
      <c r="X283">
        <v>104.3</v>
      </c>
      <c r="Y283">
        <v>104.3</v>
      </c>
      <c r="Z283">
        <v>104.7</v>
      </c>
      <c r="AA283" s="1">
        <f>SUM(Table1[[#This Row],[Cereals and products]:[Food and beverages]])/13</f>
        <v>106.96923076923078</v>
      </c>
      <c r="AB283" s="1">
        <f>SUM(Table1[[#This Row],[Fuel and light]])</f>
        <v>105.7</v>
      </c>
      <c r="AC283" s="1">
        <f>SUM(Table1[[#This Row],[Transport and communication]])</f>
        <v>104.4</v>
      </c>
      <c r="AD283" s="1">
        <f>SUM(Table1[[#This Row],[Housing]],Table1[[#This Row],[Household goods and services]])/2</f>
        <v>102.80000000000001</v>
      </c>
      <c r="AE283" s="1">
        <f>SUM(Table1[[#This Row],[Health]])</f>
        <v>104.7</v>
      </c>
      <c r="AF283" s="1">
        <f>SUM(Table1[[#This Row],[Recreation and amusement]],Table1[[#This Row],[Education]])/2</f>
        <v>103.5</v>
      </c>
      <c r="AG283" s="1">
        <f>SUM(Table1[[#This Row],[Miscellaneous]],Table1[[#This Row],[Personal care and effects]])/2</f>
        <v>104.3</v>
      </c>
    </row>
    <row r="284" spans="1:33" hidden="1" x14ac:dyDescent="0.3">
      <c r="A284" t="s">
        <v>33</v>
      </c>
      <c r="B284">
        <v>2022</v>
      </c>
      <c r="C284" t="s">
        <v>38</v>
      </c>
      <c r="D284">
        <v>168.8</v>
      </c>
      <c r="E284">
        <v>206.9</v>
      </c>
      <c r="F284">
        <v>189.1</v>
      </c>
      <c r="G284">
        <v>173.4</v>
      </c>
      <c r="H284">
        <v>193.9</v>
      </c>
      <c r="I284">
        <v>156.69999999999999</v>
      </c>
      <c r="J284">
        <v>150.19999999999999</v>
      </c>
      <c r="K284">
        <v>170.5</v>
      </c>
      <c r="L284">
        <v>121.2</v>
      </c>
      <c r="M284">
        <v>207.5</v>
      </c>
      <c r="N284">
        <v>176.8</v>
      </c>
      <c r="O284">
        <v>187.7</v>
      </c>
      <c r="P284">
        <v>174.4</v>
      </c>
      <c r="Q284">
        <f>AVERAGE(Q285:Q286)</f>
        <v>170.7</v>
      </c>
      <c r="R284">
        <v>182.8</v>
      </c>
      <c r="S284">
        <v>176.4</v>
      </c>
      <c r="T284">
        <v>183.5</v>
      </c>
      <c r="U284">
        <v>167.8</v>
      </c>
      <c r="V284">
        <v>171.2</v>
      </c>
      <c r="W284">
        <v>177.3</v>
      </c>
      <c r="X284">
        <v>175.7</v>
      </c>
      <c r="Y284">
        <v>175.5</v>
      </c>
      <c r="Z284">
        <v>177.1</v>
      </c>
      <c r="AA284" s="1">
        <f>SUM(Table1[[#This Row],[Cereals and products]:[Food and beverages]])/13</f>
        <v>175.16153846153844</v>
      </c>
      <c r="AB284" s="1">
        <f>SUM(Table1[[#This Row],[Fuel and light]])</f>
        <v>182.8</v>
      </c>
      <c r="AC284" s="1">
        <f>SUM(Table1[[#This Row],[Transport and communication]])</f>
        <v>167.8</v>
      </c>
      <c r="AD284" s="1">
        <f>SUM(Table1[[#This Row],[Housing]],Table1[[#This Row],[Household goods and services]])/2</f>
        <v>173.55</v>
      </c>
      <c r="AE284" s="1">
        <f>SUM(Table1[[#This Row],[Health]])</f>
        <v>183.5</v>
      </c>
      <c r="AF284" s="1">
        <f>SUM(Table1[[#This Row],[Recreation and amusement]],Table1[[#This Row],[Education]])/2</f>
        <v>174.25</v>
      </c>
      <c r="AG284" s="1">
        <f>SUM(Table1[[#This Row],[Miscellaneous]],Table1[[#This Row],[Personal care and effects]])/2</f>
        <v>175.6</v>
      </c>
    </row>
    <row r="285" spans="1:33" hidden="1" x14ac:dyDescent="0.3">
      <c r="A285" t="s">
        <v>35</v>
      </c>
      <c r="B285">
        <v>2022</v>
      </c>
      <c r="C285" t="s">
        <v>38</v>
      </c>
      <c r="D285">
        <v>169.2</v>
      </c>
      <c r="E285">
        <v>209</v>
      </c>
      <c r="F285">
        <v>190.2</v>
      </c>
      <c r="G285">
        <v>173.6</v>
      </c>
      <c r="H285">
        <v>188.5</v>
      </c>
      <c r="I285">
        <v>158</v>
      </c>
      <c r="J285">
        <v>159.9</v>
      </c>
      <c r="K285">
        <v>170.8</v>
      </c>
      <c r="L285">
        <v>121.8</v>
      </c>
      <c r="M285">
        <v>205.2</v>
      </c>
      <c r="N285">
        <v>171</v>
      </c>
      <c r="O285">
        <v>190.3</v>
      </c>
      <c r="P285">
        <v>175.9</v>
      </c>
      <c r="Q285">
        <v>170.7</v>
      </c>
      <c r="R285">
        <v>182</v>
      </c>
      <c r="S285">
        <v>172.1</v>
      </c>
      <c r="T285">
        <v>181.1</v>
      </c>
      <c r="U285">
        <v>163.4</v>
      </c>
      <c r="V285">
        <v>168.9</v>
      </c>
      <c r="W285">
        <v>174.1</v>
      </c>
      <c r="X285">
        <v>175.8</v>
      </c>
      <c r="Y285">
        <v>172</v>
      </c>
      <c r="Z285">
        <v>175.7</v>
      </c>
      <c r="AA285" s="1">
        <f>SUM(Table1[[#This Row],[Cereals and products]:[Food and beverages]])/13</f>
        <v>175.64615384615385</v>
      </c>
      <c r="AB285" s="1">
        <f>SUM(Table1[[#This Row],[Fuel and light]])</f>
        <v>182</v>
      </c>
      <c r="AC285" s="1">
        <f>SUM(Table1[[#This Row],[Transport and communication]])</f>
        <v>163.4</v>
      </c>
      <c r="AD285" s="1">
        <f>SUM(Table1[[#This Row],[Housing]],Table1[[#This Row],[Household goods and services]])/2</f>
        <v>171.39999999999998</v>
      </c>
      <c r="AE285" s="1">
        <f>SUM(Table1[[#This Row],[Health]])</f>
        <v>181.1</v>
      </c>
      <c r="AF285" s="1">
        <f>SUM(Table1[[#This Row],[Recreation and amusement]],Table1[[#This Row],[Education]])/2</f>
        <v>171.5</v>
      </c>
      <c r="AG285" s="1">
        <f>SUM(Table1[[#This Row],[Miscellaneous]],Table1[[#This Row],[Personal care and effects]])/2</f>
        <v>173.9</v>
      </c>
    </row>
    <row r="286" spans="1:33" hidden="1" x14ac:dyDescent="0.3">
      <c r="A286" t="s">
        <v>36</v>
      </c>
      <c r="B286">
        <v>2022</v>
      </c>
      <c r="C286" t="s">
        <v>38</v>
      </c>
      <c r="D286">
        <v>170.2</v>
      </c>
      <c r="E286">
        <v>212.9</v>
      </c>
      <c r="F286">
        <v>191.9</v>
      </c>
      <c r="G286">
        <v>173.9</v>
      </c>
      <c r="H286">
        <v>179.1</v>
      </c>
      <c r="I286">
        <v>159.5</v>
      </c>
      <c r="J286">
        <v>178.7</v>
      </c>
      <c r="K286">
        <v>171.3</v>
      </c>
      <c r="L286">
        <v>123.1</v>
      </c>
      <c r="M286">
        <v>200.5</v>
      </c>
      <c r="N286">
        <v>162.80000000000001</v>
      </c>
      <c r="O286">
        <v>193.3</v>
      </c>
      <c r="P286">
        <v>178.6</v>
      </c>
      <c r="Q286">
        <v>170.7</v>
      </c>
      <c r="R286">
        <v>180.6</v>
      </c>
      <c r="S286">
        <v>167.3</v>
      </c>
      <c r="T286">
        <v>177.2</v>
      </c>
      <c r="U286">
        <v>159.4</v>
      </c>
      <c r="V286">
        <v>167.1</v>
      </c>
      <c r="W286">
        <v>171.8</v>
      </c>
      <c r="X286">
        <v>176</v>
      </c>
      <c r="Y286">
        <v>168.2</v>
      </c>
      <c r="Z286">
        <v>174.1</v>
      </c>
      <c r="AA286" s="1">
        <f>SUM(Table1[[#This Row],[Cereals and products]:[Food and beverages]])/13</f>
        <v>176.59999999999997</v>
      </c>
      <c r="AB286" s="1">
        <f>SUM(Table1[[#This Row],[Fuel and light]])</f>
        <v>180.6</v>
      </c>
      <c r="AC286" s="1">
        <f>SUM(Table1[[#This Row],[Transport and communication]])</f>
        <v>159.4</v>
      </c>
      <c r="AD286" s="1">
        <f>SUM(Table1[[#This Row],[Housing]],Table1[[#This Row],[Household goods and services]])/2</f>
        <v>169</v>
      </c>
      <c r="AE286" s="1">
        <f>SUM(Table1[[#This Row],[Health]])</f>
        <v>177.2</v>
      </c>
      <c r="AF286" s="1">
        <f>SUM(Table1[[#This Row],[Recreation and amusement]],Table1[[#This Row],[Education]])/2</f>
        <v>169.45</v>
      </c>
      <c r="AG286" s="1">
        <f>SUM(Table1[[#This Row],[Miscellaneous]],Table1[[#This Row],[Personal care and effects]])/2</f>
        <v>172.1</v>
      </c>
    </row>
    <row r="287" spans="1:33" hidden="1" x14ac:dyDescent="0.3">
      <c r="A287" t="s">
        <v>33</v>
      </c>
      <c r="B287">
        <v>2021</v>
      </c>
      <c r="C287" t="s">
        <v>41</v>
      </c>
      <c r="D287">
        <v>143.4</v>
      </c>
      <c r="E287">
        <v>187.5</v>
      </c>
      <c r="F287">
        <v>173.4</v>
      </c>
      <c r="G287">
        <v>154</v>
      </c>
      <c r="H287">
        <v>154.80000000000001</v>
      </c>
      <c r="I287">
        <v>147</v>
      </c>
      <c r="J287">
        <v>187.8</v>
      </c>
      <c r="K287">
        <v>159.5</v>
      </c>
      <c r="L287">
        <v>113.8</v>
      </c>
      <c r="M287">
        <v>164.5</v>
      </c>
      <c r="N287">
        <v>156.1</v>
      </c>
      <c r="O287">
        <v>164.3</v>
      </c>
      <c r="P287">
        <v>159.6</v>
      </c>
      <c r="Q287">
        <f>AVERAGE(Q288:Q289)</f>
        <v>157.69999999999999</v>
      </c>
      <c r="R287">
        <v>150.9</v>
      </c>
      <c r="S287">
        <v>153.9</v>
      </c>
      <c r="T287">
        <v>162.5</v>
      </c>
      <c r="U287">
        <v>147.5</v>
      </c>
      <c r="V287">
        <v>155.1</v>
      </c>
      <c r="W287">
        <v>163.5</v>
      </c>
      <c r="X287">
        <v>156.19999999999999</v>
      </c>
      <c r="Y287">
        <v>155.9</v>
      </c>
      <c r="Z287">
        <v>158.5</v>
      </c>
      <c r="AA287" s="1">
        <f>SUM(Table1[[#This Row],[Cereals and products]:[Food and beverages]])/13</f>
        <v>158.89999999999998</v>
      </c>
      <c r="AB287" s="1">
        <f>SUM(Table1[[#This Row],[Fuel and light]])</f>
        <v>150.9</v>
      </c>
      <c r="AC287" s="1">
        <f>SUM(Table1[[#This Row],[Transport and communication]])</f>
        <v>147.5</v>
      </c>
      <c r="AD287" s="1">
        <f>SUM(Table1[[#This Row],[Housing]],Table1[[#This Row],[Household goods and services]])/2</f>
        <v>155.80000000000001</v>
      </c>
      <c r="AE287" s="1">
        <f>SUM(Table1[[#This Row],[Health]])</f>
        <v>162.5</v>
      </c>
      <c r="AF287" s="1">
        <f>SUM(Table1[[#This Row],[Recreation and amusement]],Table1[[#This Row],[Education]])/2</f>
        <v>159.30000000000001</v>
      </c>
      <c r="AG287" s="1">
        <f>SUM(Table1[[#This Row],[Miscellaneous]],Table1[[#This Row],[Personal care and effects]])/2</f>
        <v>156.05000000000001</v>
      </c>
    </row>
    <row r="288" spans="1:33" hidden="1" x14ac:dyDescent="0.3">
      <c r="A288" t="s">
        <v>35</v>
      </c>
      <c r="B288">
        <v>2021</v>
      </c>
      <c r="C288" t="s">
        <v>41</v>
      </c>
      <c r="D288">
        <v>144.9</v>
      </c>
      <c r="E288">
        <v>190.1</v>
      </c>
      <c r="F288">
        <v>175.3</v>
      </c>
      <c r="G288">
        <v>154.1</v>
      </c>
      <c r="H288">
        <v>150.9</v>
      </c>
      <c r="I288">
        <v>149.6</v>
      </c>
      <c r="J288">
        <v>194.2</v>
      </c>
      <c r="K288">
        <v>160.4</v>
      </c>
      <c r="L288">
        <v>114.6</v>
      </c>
      <c r="M288">
        <v>164</v>
      </c>
      <c r="N288">
        <v>151.80000000000001</v>
      </c>
      <c r="O288">
        <v>165.6</v>
      </c>
      <c r="P288">
        <v>161</v>
      </c>
      <c r="Q288">
        <v>157.69999999999999</v>
      </c>
      <c r="R288">
        <v>147.9</v>
      </c>
      <c r="S288">
        <v>150</v>
      </c>
      <c r="T288">
        <v>159.30000000000001</v>
      </c>
      <c r="U288">
        <v>141.9</v>
      </c>
      <c r="V288">
        <v>149.6</v>
      </c>
      <c r="W288">
        <v>159.19999999999999</v>
      </c>
      <c r="X288">
        <v>156.80000000000001</v>
      </c>
      <c r="Y288">
        <v>151.9</v>
      </c>
      <c r="Z288">
        <v>157.30000000000001</v>
      </c>
      <c r="AA288" s="1">
        <f>SUM(Table1[[#This Row],[Cereals and products]:[Food and beverages]])/13</f>
        <v>159.73076923076923</v>
      </c>
      <c r="AB288" s="1">
        <f>SUM(Table1[[#This Row],[Fuel and light]])</f>
        <v>147.9</v>
      </c>
      <c r="AC288" s="1">
        <f>SUM(Table1[[#This Row],[Transport and communication]])</f>
        <v>141.9</v>
      </c>
      <c r="AD288" s="1">
        <f>SUM(Table1[[#This Row],[Housing]],Table1[[#This Row],[Household goods and services]])/2</f>
        <v>153.85</v>
      </c>
      <c r="AE288" s="1">
        <f>SUM(Table1[[#This Row],[Health]])</f>
        <v>159.30000000000001</v>
      </c>
      <c r="AF288" s="1">
        <f>SUM(Table1[[#This Row],[Recreation and amusement]],Table1[[#This Row],[Education]])/2</f>
        <v>154.39999999999998</v>
      </c>
      <c r="AG288" s="1">
        <f>SUM(Table1[[#This Row],[Miscellaneous]],Table1[[#This Row],[Personal care and effects]])/2</f>
        <v>154.35000000000002</v>
      </c>
    </row>
    <row r="289" spans="1:33" hidden="1" x14ac:dyDescent="0.3">
      <c r="A289" t="s">
        <v>36</v>
      </c>
      <c r="B289">
        <v>2021</v>
      </c>
      <c r="C289" t="s">
        <v>41</v>
      </c>
      <c r="D289">
        <v>148</v>
      </c>
      <c r="E289">
        <v>194.8</v>
      </c>
      <c r="F289">
        <v>178.4</v>
      </c>
      <c r="G289">
        <v>154.4</v>
      </c>
      <c r="H289">
        <v>144.1</v>
      </c>
      <c r="I289">
        <v>152.6</v>
      </c>
      <c r="J289">
        <v>206.8</v>
      </c>
      <c r="K289">
        <v>162.1</v>
      </c>
      <c r="L289">
        <v>116.3</v>
      </c>
      <c r="M289">
        <v>163</v>
      </c>
      <c r="N289">
        <v>145.9</v>
      </c>
      <c r="O289">
        <v>167.2</v>
      </c>
      <c r="P289">
        <v>163.4</v>
      </c>
      <c r="Q289">
        <v>157.69999999999999</v>
      </c>
      <c r="R289">
        <v>142.9</v>
      </c>
      <c r="S289">
        <v>145.69999999999999</v>
      </c>
      <c r="T289">
        <v>154.1</v>
      </c>
      <c r="U289">
        <v>136.9</v>
      </c>
      <c r="V289">
        <v>145.4</v>
      </c>
      <c r="W289">
        <v>156.1</v>
      </c>
      <c r="X289">
        <v>157.69999999999999</v>
      </c>
      <c r="Y289">
        <v>147.6</v>
      </c>
      <c r="Z289">
        <v>156</v>
      </c>
      <c r="AA289" s="1">
        <f>SUM(Table1[[#This Row],[Cereals and products]:[Food and beverages]])/13</f>
        <v>161.30769230769232</v>
      </c>
      <c r="AB289" s="1">
        <f>SUM(Table1[[#This Row],[Fuel and light]])</f>
        <v>142.9</v>
      </c>
      <c r="AC289" s="1">
        <f>SUM(Table1[[#This Row],[Transport and communication]])</f>
        <v>136.9</v>
      </c>
      <c r="AD289" s="1">
        <f>SUM(Table1[[#This Row],[Housing]],Table1[[#This Row],[Household goods and services]])/2</f>
        <v>151.69999999999999</v>
      </c>
      <c r="AE289" s="1">
        <f>SUM(Table1[[#This Row],[Health]])</f>
        <v>154.1</v>
      </c>
      <c r="AF289" s="1">
        <f>SUM(Table1[[#This Row],[Recreation and amusement]],Table1[[#This Row],[Education]])/2</f>
        <v>150.75</v>
      </c>
      <c r="AG289" s="1">
        <f>SUM(Table1[[#This Row],[Miscellaneous]],Table1[[#This Row],[Personal care and effects]])/2</f>
        <v>152.64999999999998</v>
      </c>
    </row>
    <row r="290" spans="1:33" hidden="1" x14ac:dyDescent="0.3">
      <c r="A290" t="s">
        <v>33</v>
      </c>
      <c r="B290">
        <v>2021</v>
      </c>
      <c r="C290" t="s">
        <v>42</v>
      </c>
      <c r="D290">
        <v>145.1</v>
      </c>
      <c r="E290">
        <v>204.5</v>
      </c>
      <c r="F290">
        <v>180.4</v>
      </c>
      <c r="G290">
        <v>157.1</v>
      </c>
      <c r="H290">
        <v>188.7</v>
      </c>
      <c r="I290">
        <v>157.69999999999999</v>
      </c>
      <c r="J290">
        <v>152.80000000000001</v>
      </c>
      <c r="K290">
        <v>163.6</v>
      </c>
      <c r="L290">
        <v>113.9</v>
      </c>
      <c r="M290">
        <v>169.7</v>
      </c>
      <c r="N290">
        <v>166.2</v>
      </c>
      <c r="O290">
        <v>171</v>
      </c>
      <c r="P290">
        <v>161.69999999999999</v>
      </c>
      <c r="Q290">
        <f>AVERAGE(Q291:Q292)</f>
        <v>161.5</v>
      </c>
      <c r="R290">
        <v>162.5</v>
      </c>
      <c r="S290">
        <v>160.30000000000001</v>
      </c>
      <c r="T290">
        <v>170.4</v>
      </c>
      <c r="U290">
        <v>157.1</v>
      </c>
      <c r="V290">
        <v>160.69999999999999</v>
      </c>
      <c r="W290">
        <v>167.2</v>
      </c>
      <c r="X290">
        <v>160.4</v>
      </c>
      <c r="Y290">
        <v>162.80000000000001</v>
      </c>
      <c r="Z290">
        <v>163.19999999999999</v>
      </c>
      <c r="AA290" s="1">
        <f>SUM(Table1[[#This Row],[Cereals and products]:[Food and beverages]])/13</f>
        <v>164.03076923076924</v>
      </c>
      <c r="AB290" s="1">
        <f>SUM(Table1[[#This Row],[Fuel and light]])</f>
        <v>162.5</v>
      </c>
      <c r="AC290" s="1">
        <f>SUM(Table1[[#This Row],[Transport and communication]])</f>
        <v>157.1</v>
      </c>
      <c r="AD290" s="1">
        <f>SUM(Table1[[#This Row],[Housing]],Table1[[#This Row],[Household goods and services]])/2</f>
        <v>160.9</v>
      </c>
      <c r="AE290" s="1">
        <f>SUM(Table1[[#This Row],[Health]])</f>
        <v>170.4</v>
      </c>
      <c r="AF290" s="1">
        <f>SUM(Table1[[#This Row],[Recreation and amusement]],Table1[[#This Row],[Education]])/2</f>
        <v>163.95</v>
      </c>
      <c r="AG290" s="1">
        <f>SUM(Table1[[#This Row],[Miscellaneous]],Table1[[#This Row],[Personal care and effects]])/2</f>
        <v>161.60000000000002</v>
      </c>
    </row>
    <row r="291" spans="1:33" hidden="1" x14ac:dyDescent="0.3">
      <c r="A291" t="s">
        <v>35</v>
      </c>
      <c r="B291">
        <v>2021</v>
      </c>
      <c r="C291" t="s">
        <v>42</v>
      </c>
      <c r="D291">
        <v>146.4</v>
      </c>
      <c r="E291">
        <v>206.8</v>
      </c>
      <c r="F291">
        <v>182.2</v>
      </c>
      <c r="G291">
        <v>157.5</v>
      </c>
      <c r="H291">
        <v>182.1</v>
      </c>
      <c r="I291">
        <v>163.9</v>
      </c>
      <c r="J291">
        <v>164.2</v>
      </c>
      <c r="K291">
        <v>164</v>
      </c>
      <c r="L291">
        <v>114.5</v>
      </c>
      <c r="M291">
        <v>168.3</v>
      </c>
      <c r="N291">
        <v>160.9</v>
      </c>
      <c r="O291">
        <v>172.2</v>
      </c>
      <c r="P291">
        <v>164</v>
      </c>
      <c r="Q291">
        <v>161.5</v>
      </c>
      <c r="R291">
        <v>160.69999999999999</v>
      </c>
      <c r="S291">
        <v>155.80000000000001</v>
      </c>
      <c r="T291">
        <v>167</v>
      </c>
      <c r="U291">
        <v>153.1</v>
      </c>
      <c r="V291">
        <v>155.30000000000001</v>
      </c>
      <c r="W291">
        <v>163.19999999999999</v>
      </c>
      <c r="X291">
        <v>160.1</v>
      </c>
      <c r="Y291">
        <v>159</v>
      </c>
      <c r="Z291">
        <v>162.5</v>
      </c>
      <c r="AA291" s="1">
        <f>SUM(Table1[[#This Row],[Cereals and products]:[Food and beverages]])/13</f>
        <v>165.15384615384616</v>
      </c>
      <c r="AB291" s="1">
        <f>SUM(Table1[[#This Row],[Fuel and light]])</f>
        <v>160.69999999999999</v>
      </c>
      <c r="AC291" s="1">
        <f>SUM(Table1[[#This Row],[Transport and communication]])</f>
        <v>153.1</v>
      </c>
      <c r="AD291" s="1">
        <f>SUM(Table1[[#This Row],[Housing]],Table1[[#This Row],[Household goods and services]])/2</f>
        <v>158.65</v>
      </c>
      <c r="AE291" s="1">
        <f>SUM(Table1[[#This Row],[Health]])</f>
        <v>167</v>
      </c>
      <c r="AF291" s="1">
        <f>SUM(Table1[[#This Row],[Recreation and amusement]],Table1[[#This Row],[Education]])/2</f>
        <v>159.25</v>
      </c>
      <c r="AG291" s="1">
        <f>SUM(Table1[[#This Row],[Miscellaneous]],Table1[[#This Row],[Personal care and effects]])/2</f>
        <v>159.55000000000001</v>
      </c>
    </row>
    <row r="292" spans="1:33" hidden="1" x14ac:dyDescent="0.3">
      <c r="A292" t="s">
        <v>36</v>
      </c>
      <c r="B292">
        <v>2021</v>
      </c>
      <c r="C292" t="s">
        <v>42</v>
      </c>
      <c r="D292">
        <v>149.1</v>
      </c>
      <c r="E292">
        <v>210.9</v>
      </c>
      <c r="F292">
        <v>185</v>
      </c>
      <c r="G292">
        <v>158.19999999999999</v>
      </c>
      <c r="H292">
        <v>170.6</v>
      </c>
      <c r="I292">
        <v>170.9</v>
      </c>
      <c r="J292">
        <v>186.4</v>
      </c>
      <c r="K292">
        <v>164.7</v>
      </c>
      <c r="L292">
        <v>115.7</v>
      </c>
      <c r="M292">
        <v>165.5</v>
      </c>
      <c r="N292">
        <v>153.4</v>
      </c>
      <c r="O292">
        <v>173.5</v>
      </c>
      <c r="P292">
        <v>167.9</v>
      </c>
      <c r="Q292">
        <v>161.5</v>
      </c>
      <c r="R292">
        <v>157.69999999999999</v>
      </c>
      <c r="S292">
        <v>150.69999999999999</v>
      </c>
      <c r="T292">
        <v>161.5</v>
      </c>
      <c r="U292">
        <v>149.5</v>
      </c>
      <c r="V292">
        <v>151.19999999999999</v>
      </c>
      <c r="W292">
        <v>160.30000000000001</v>
      </c>
      <c r="X292">
        <v>159.6</v>
      </c>
      <c r="Y292">
        <v>155</v>
      </c>
      <c r="Z292">
        <v>161.80000000000001</v>
      </c>
      <c r="AA292" s="1">
        <f>SUM(Table1[[#This Row],[Cereals and products]:[Food and beverages]])/13</f>
        <v>167.06153846153848</v>
      </c>
      <c r="AB292" s="1">
        <f>SUM(Table1[[#This Row],[Fuel and light]])</f>
        <v>157.69999999999999</v>
      </c>
      <c r="AC292" s="1">
        <f>SUM(Table1[[#This Row],[Transport and communication]])</f>
        <v>149.5</v>
      </c>
      <c r="AD292" s="1">
        <f>SUM(Table1[[#This Row],[Housing]],Table1[[#This Row],[Household goods and services]])/2</f>
        <v>156.1</v>
      </c>
      <c r="AE292" s="1">
        <f>SUM(Table1[[#This Row],[Health]])</f>
        <v>161.5</v>
      </c>
      <c r="AF292" s="1">
        <f>SUM(Table1[[#This Row],[Recreation and amusement]],Table1[[#This Row],[Education]])/2</f>
        <v>155.75</v>
      </c>
      <c r="AG292" s="1">
        <f>SUM(Table1[[#This Row],[Miscellaneous]],Table1[[#This Row],[Personal care and effects]])/2</f>
        <v>157.30000000000001</v>
      </c>
    </row>
    <row r="293" spans="1:33" hidden="1" x14ac:dyDescent="0.3">
      <c r="A293" t="s">
        <v>33</v>
      </c>
      <c r="B293">
        <v>2021</v>
      </c>
      <c r="C293" t="s">
        <v>43</v>
      </c>
      <c r="D293">
        <v>145.6</v>
      </c>
      <c r="E293">
        <v>200.1</v>
      </c>
      <c r="F293">
        <v>179.3</v>
      </c>
      <c r="G293">
        <v>156.1</v>
      </c>
      <c r="H293">
        <v>190.4</v>
      </c>
      <c r="I293">
        <v>158.6</v>
      </c>
      <c r="J293">
        <v>144.69999999999999</v>
      </c>
      <c r="K293">
        <v>165.5</v>
      </c>
      <c r="L293">
        <v>114.6</v>
      </c>
      <c r="M293">
        <v>170</v>
      </c>
      <c r="N293">
        <v>165.5</v>
      </c>
      <c r="O293">
        <v>171.7</v>
      </c>
      <c r="P293">
        <v>160.5</v>
      </c>
      <c r="Q293">
        <f>AVERAGE(Q294:Q295)</f>
        <v>160.5</v>
      </c>
      <c r="R293">
        <v>162.1</v>
      </c>
      <c r="S293">
        <v>159.19999999999999</v>
      </c>
      <c r="T293">
        <v>169.7</v>
      </c>
      <c r="U293">
        <v>154.19999999999999</v>
      </c>
      <c r="V293">
        <v>160.4</v>
      </c>
      <c r="W293">
        <v>166.8</v>
      </c>
      <c r="X293">
        <v>159.4</v>
      </c>
      <c r="Y293">
        <v>161.5</v>
      </c>
      <c r="Z293">
        <v>162.1</v>
      </c>
      <c r="AA293" s="1">
        <f>SUM(Table1[[#This Row],[Cereals and products]:[Food and beverages]])/13</f>
        <v>163.27692307692308</v>
      </c>
      <c r="AB293" s="1">
        <f>SUM(Table1[[#This Row],[Fuel and light]])</f>
        <v>162.1</v>
      </c>
      <c r="AC293" s="1">
        <f>SUM(Table1[[#This Row],[Transport and communication]])</f>
        <v>154.19999999999999</v>
      </c>
      <c r="AD293" s="1">
        <f>SUM(Table1[[#This Row],[Housing]],Table1[[#This Row],[Household goods and services]])/2</f>
        <v>159.85</v>
      </c>
      <c r="AE293" s="1">
        <f>SUM(Table1[[#This Row],[Health]])</f>
        <v>169.7</v>
      </c>
      <c r="AF293" s="1">
        <f>SUM(Table1[[#This Row],[Recreation and amusement]],Table1[[#This Row],[Education]])/2</f>
        <v>163.60000000000002</v>
      </c>
      <c r="AG293" s="1">
        <f>SUM(Table1[[#This Row],[Miscellaneous]],Table1[[#This Row],[Personal care and effects]])/2</f>
        <v>160.44999999999999</v>
      </c>
    </row>
    <row r="294" spans="1:33" hidden="1" x14ac:dyDescent="0.3">
      <c r="A294" t="s">
        <v>35</v>
      </c>
      <c r="B294">
        <v>2021</v>
      </c>
      <c r="C294" t="s">
        <v>43</v>
      </c>
      <c r="D294">
        <v>146.69999999999999</v>
      </c>
      <c r="E294">
        <v>202</v>
      </c>
      <c r="F294">
        <v>180.7</v>
      </c>
      <c r="G294">
        <v>156.19999999999999</v>
      </c>
      <c r="H294">
        <v>183.7</v>
      </c>
      <c r="I294">
        <v>164.6</v>
      </c>
      <c r="J294">
        <v>155.4</v>
      </c>
      <c r="K294">
        <v>166</v>
      </c>
      <c r="L294">
        <v>115.1</v>
      </c>
      <c r="M294">
        <v>168.5</v>
      </c>
      <c r="N294">
        <v>160</v>
      </c>
      <c r="O294">
        <v>172.4</v>
      </c>
      <c r="P294">
        <v>162.6</v>
      </c>
      <c r="Q294">
        <v>160.5</v>
      </c>
      <c r="R294">
        <v>159.80000000000001</v>
      </c>
      <c r="S294">
        <v>154.80000000000001</v>
      </c>
      <c r="T294">
        <v>166.3</v>
      </c>
      <c r="U294">
        <v>150.69999999999999</v>
      </c>
      <c r="V294">
        <v>154.9</v>
      </c>
      <c r="W294">
        <v>161.69999999999999</v>
      </c>
      <c r="X294">
        <v>158.80000000000001</v>
      </c>
      <c r="Y294">
        <v>157.6</v>
      </c>
      <c r="Z294">
        <v>161.30000000000001</v>
      </c>
      <c r="AA294" s="1">
        <f>SUM(Table1[[#This Row],[Cereals and products]:[Food and beverages]])/13</f>
        <v>164.14615384615385</v>
      </c>
      <c r="AB294" s="1">
        <f>SUM(Table1[[#This Row],[Fuel and light]])</f>
        <v>159.80000000000001</v>
      </c>
      <c r="AC294" s="1">
        <f>SUM(Table1[[#This Row],[Transport and communication]])</f>
        <v>150.69999999999999</v>
      </c>
      <c r="AD294" s="1">
        <f>SUM(Table1[[#This Row],[Housing]],Table1[[#This Row],[Household goods and services]])/2</f>
        <v>157.65</v>
      </c>
      <c r="AE294" s="1">
        <f>SUM(Table1[[#This Row],[Health]])</f>
        <v>166.3</v>
      </c>
      <c r="AF294" s="1">
        <f>SUM(Table1[[#This Row],[Recreation and amusement]],Table1[[#This Row],[Education]])/2</f>
        <v>158.30000000000001</v>
      </c>
      <c r="AG294" s="1">
        <f>SUM(Table1[[#This Row],[Miscellaneous]],Table1[[#This Row],[Personal care and effects]])/2</f>
        <v>158.19999999999999</v>
      </c>
    </row>
    <row r="295" spans="1:33" hidden="1" x14ac:dyDescent="0.3">
      <c r="A295" t="s">
        <v>36</v>
      </c>
      <c r="B295">
        <v>2021</v>
      </c>
      <c r="C295" t="s">
        <v>43</v>
      </c>
      <c r="D295">
        <v>149.19999999999999</v>
      </c>
      <c r="E295">
        <v>205.5</v>
      </c>
      <c r="F295">
        <v>182.8</v>
      </c>
      <c r="G295">
        <v>156.5</v>
      </c>
      <c r="H295">
        <v>172.2</v>
      </c>
      <c r="I295">
        <v>171.5</v>
      </c>
      <c r="J295">
        <v>176.2</v>
      </c>
      <c r="K295">
        <v>166.9</v>
      </c>
      <c r="L295">
        <v>116.1</v>
      </c>
      <c r="M295">
        <v>165.5</v>
      </c>
      <c r="N295">
        <v>152.30000000000001</v>
      </c>
      <c r="O295">
        <v>173.3</v>
      </c>
      <c r="P295">
        <v>166.2</v>
      </c>
      <c r="Q295">
        <v>160.5</v>
      </c>
      <c r="R295">
        <v>156.1</v>
      </c>
      <c r="S295">
        <v>149.80000000000001</v>
      </c>
      <c r="T295">
        <v>160.80000000000001</v>
      </c>
      <c r="U295">
        <v>147.5</v>
      </c>
      <c r="V295">
        <v>150.69999999999999</v>
      </c>
      <c r="W295">
        <v>158.1</v>
      </c>
      <c r="X295">
        <v>158</v>
      </c>
      <c r="Y295">
        <v>153.4</v>
      </c>
      <c r="Z295">
        <v>160.4</v>
      </c>
      <c r="AA295" s="1">
        <f>SUM(Table1[[#This Row],[Cereals and products]:[Food and beverages]])/13</f>
        <v>165.7076923076923</v>
      </c>
      <c r="AB295" s="1">
        <f>SUM(Table1[[#This Row],[Fuel and light]])</f>
        <v>156.1</v>
      </c>
      <c r="AC295" s="1">
        <f>SUM(Table1[[#This Row],[Transport and communication]])</f>
        <v>147.5</v>
      </c>
      <c r="AD295" s="1">
        <f>SUM(Table1[[#This Row],[Housing]],Table1[[#This Row],[Household goods and services]])/2</f>
        <v>155.15</v>
      </c>
      <c r="AE295" s="1">
        <f>SUM(Table1[[#This Row],[Health]])</f>
        <v>160.80000000000001</v>
      </c>
      <c r="AF295" s="1">
        <f>SUM(Table1[[#This Row],[Recreation and amusement]],Table1[[#This Row],[Education]])/2</f>
        <v>154.39999999999998</v>
      </c>
      <c r="AG295" s="1">
        <f>SUM(Table1[[#This Row],[Miscellaneous]],Table1[[#This Row],[Personal care and effects]])/2</f>
        <v>155.69999999999999</v>
      </c>
    </row>
    <row r="296" spans="1:33" hidden="1" x14ac:dyDescent="0.3">
      <c r="A296" t="s">
        <v>33</v>
      </c>
      <c r="B296">
        <v>2018</v>
      </c>
      <c r="C296" t="s">
        <v>38</v>
      </c>
      <c r="D296">
        <v>137.1</v>
      </c>
      <c r="E296">
        <v>151.9</v>
      </c>
      <c r="F296">
        <v>137.4</v>
      </c>
      <c r="G296">
        <v>142.4</v>
      </c>
      <c r="H296">
        <v>124.2</v>
      </c>
      <c r="I296">
        <v>140.19999999999999</v>
      </c>
      <c r="J296">
        <v>136.6</v>
      </c>
      <c r="K296">
        <v>120.9</v>
      </c>
      <c r="L296">
        <v>109.9</v>
      </c>
      <c r="M296">
        <v>140.19999999999999</v>
      </c>
      <c r="N296">
        <v>137.80000000000001</v>
      </c>
      <c r="O296">
        <v>156</v>
      </c>
      <c r="P296">
        <v>138.5</v>
      </c>
      <c r="Q296">
        <f>AVERAGE(Q297:Q298)</f>
        <v>146.5</v>
      </c>
      <c r="R296">
        <v>149</v>
      </c>
      <c r="S296">
        <v>149.5</v>
      </c>
      <c r="T296">
        <v>149.6</v>
      </c>
      <c r="U296">
        <v>128.9</v>
      </c>
      <c r="V296">
        <v>143.30000000000001</v>
      </c>
      <c r="W296">
        <v>155.1</v>
      </c>
      <c r="X296">
        <v>133.19999999999999</v>
      </c>
      <c r="Y296">
        <v>141.6</v>
      </c>
      <c r="Z296">
        <v>141.9</v>
      </c>
      <c r="AA296" s="1">
        <f>SUM(Table1[[#This Row],[Cereals and products]:[Food and beverages]])/13</f>
        <v>136.3923076923077</v>
      </c>
      <c r="AB296" s="1">
        <f>SUM(Table1[[#This Row],[Fuel and light]])</f>
        <v>149</v>
      </c>
      <c r="AC296" s="1">
        <f>SUM(Table1[[#This Row],[Transport and communication]])</f>
        <v>128.9</v>
      </c>
      <c r="AD296" s="1">
        <f>SUM(Table1[[#This Row],[Housing]],Table1[[#This Row],[Household goods and services]])/2</f>
        <v>148</v>
      </c>
      <c r="AE296" s="1">
        <f>SUM(Table1[[#This Row],[Health]])</f>
        <v>149.6</v>
      </c>
      <c r="AF296" s="1">
        <f>SUM(Table1[[#This Row],[Recreation and amusement]],Table1[[#This Row],[Education]])/2</f>
        <v>149.19999999999999</v>
      </c>
      <c r="AG296" s="1">
        <f>SUM(Table1[[#This Row],[Miscellaneous]],Table1[[#This Row],[Personal care and effects]])/2</f>
        <v>137.39999999999998</v>
      </c>
    </row>
    <row r="297" spans="1:33" hidden="1" x14ac:dyDescent="0.3">
      <c r="A297" t="s">
        <v>35</v>
      </c>
      <c r="B297">
        <v>2018</v>
      </c>
      <c r="C297" t="s">
        <v>38</v>
      </c>
      <c r="D297">
        <v>137.5</v>
      </c>
      <c r="E297">
        <v>150.5</v>
      </c>
      <c r="F297">
        <v>138.80000000000001</v>
      </c>
      <c r="G297">
        <v>142.1</v>
      </c>
      <c r="H297">
        <v>122</v>
      </c>
      <c r="I297">
        <v>139.4</v>
      </c>
      <c r="J297">
        <v>135.19999999999999</v>
      </c>
      <c r="K297">
        <v>119.8</v>
      </c>
      <c r="L297">
        <v>110.3</v>
      </c>
      <c r="M297">
        <v>140.6</v>
      </c>
      <c r="N297">
        <v>133.80000000000001</v>
      </c>
      <c r="O297">
        <v>154.6</v>
      </c>
      <c r="P297">
        <v>138.19999999999999</v>
      </c>
      <c r="Q297">
        <v>146.5</v>
      </c>
      <c r="R297">
        <v>142.69999999999999</v>
      </c>
      <c r="S297">
        <v>143.19999999999999</v>
      </c>
      <c r="T297">
        <v>144.9</v>
      </c>
      <c r="U297">
        <v>123.6</v>
      </c>
      <c r="V297">
        <v>136.80000000000001</v>
      </c>
      <c r="W297">
        <v>150.1</v>
      </c>
      <c r="X297">
        <v>132.19999999999999</v>
      </c>
      <c r="Y297">
        <v>136.80000000000001</v>
      </c>
      <c r="Z297">
        <v>140.1</v>
      </c>
      <c r="AA297" s="1">
        <f>SUM(Table1[[#This Row],[Cereals and products]:[Food and beverages]])/13</f>
        <v>135.59999999999997</v>
      </c>
      <c r="AB297" s="1">
        <f>SUM(Table1[[#This Row],[Fuel and light]])</f>
        <v>142.69999999999999</v>
      </c>
      <c r="AC297" s="1">
        <f>SUM(Table1[[#This Row],[Transport and communication]])</f>
        <v>123.6</v>
      </c>
      <c r="AD297" s="1">
        <f>SUM(Table1[[#This Row],[Housing]],Table1[[#This Row],[Household goods and services]])/2</f>
        <v>144.85</v>
      </c>
      <c r="AE297" s="1">
        <f>SUM(Table1[[#This Row],[Health]])</f>
        <v>144.9</v>
      </c>
      <c r="AF297" s="1">
        <f>SUM(Table1[[#This Row],[Recreation and amusement]],Table1[[#This Row],[Education]])/2</f>
        <v>143.44999999999999</v>
      </c>
      <c r="AG297" s="1">
        <f>SUM(Table1[[#This Row],[Miscellaneous]],Table1[[#This Row],[Personal care and effects]])/2</f>
        <v>134.5</v>
      </c>
    </row>
    <row r="298" spans="1:33" hidden="1" x14ac:dyDescent="0.3">
      <c r="A298" t="s">
        <v>36</v>
      </c>
      <c r="B298">
        <v>2018</v>
      </c>
      <c r="C298" t="s">
        <v>38</v>
      </c>
      <c r="D298">
        <v>138.5</v>
      </c>
      <c r="E298">
        <v>147.80000000000001</v>
      </c>
      <c r="F298">
        <v>141.1</v>
      </c>
      <c r="G298">
        <v>141.6</v>
      </c>
      <c r="H298">
        <v>118.1</v>
      </c>
      <c r="I298">
        <v>138.5</v>
      </c>
      <c r="J298">
        <v>132.4</v>
      </c>
      <c r="K298">
        <v>117.5</v>
      </c>
      <c r="L298">
        <v>111</v>
      </c>
      <c r="M298">
        <v>141.5</v>
      </c>
      <c r="N298">
        <v>128.1</v>
      </c>
      <c r="O298">
        <v>152.9</v>
      </c>
      <c r="P298">
        <v>137.6</v>
      </c>
      <c r="Q298">
        <v>146.5</v>
      </c>
      <c r="R298">
        <v>132.4</v>
      </c>
      <c r="S298">
        <v>136.19999999999999</v>
      </c>
      <c r="T298">
        <v>137.30000000000001</v>
      </c>
      <c r="U298">
        <v>118.8</v>
      </c>
      <c r="V298">
        <v>131.69999999999999</v>
      </c>
      <c r="W298">
        <v>146.5</v>
      </c>
      <c r="X298">
        <v>130.80000000000001</v>
      </c>
      <c r="Y298">
        <v>131.69999999999999</v>
      </c>
      <c r="Z298">
        <v>138</v>
      </c>
      <c r="AA298" s="1">
        <f>SUM(Table1[[#This Row],[Cereals and products]:[Food and beverages]])/13</f>
        <v>134.35384615384615</v>
      </c>
      <c r="AB298" s="1">
        <f>SUM(Table1[[#This Row],[Fuel and light]])</f>
        <v>132.4</v>
      </c>
      <c r="AC298" s="1">
        <f>SUM(Table1[[#This Row],[Transport and communication]])</f>
        <v>118.8</v>
      </c>
      <c r="AD298" s="1">
        <f>SUM(Table1[[#This Row],[Housing]],Table1[[#This Row],[Household goods and services]])/2</f>
        <v>141.35</v>
      </c>
      <c r="AE298" s="1">
        <f>SUM(Table1[[#This Row],[Health]])</f>
        <v>137.30000000000001</v>
      </c>
      <c r="AF298" s="1">
        <f>SUM(Table1[[#This Row],[Recreation and amusement]],Table1[[#This Row],[Education]])/2</f>
        <v>139.1</v>
      </c>
      <c r="AG298" s="1">
        <f>SUM(Table1[[#This Row],[Miscellaneous]],Table1[[#This Row],[Personal care and effects]])/2</f>
        <v>131.25</v>
      </c>
    </row>
    <row r="299" spans="1:33" hidden="1" x14ac:dyDescent="0.3">
      <c r="A299" t="s">
        <v>36</v>
      </c>
      <c r="B299">
        <v>2017</v>
      </c>
      <c r="C299" t="s">
        <v>38</v>
      </c>
      <c r="D299">
        <v>134.4</v>
      </c>
      <c r="E299">
        <v>142.6</v>
      </c>
      <c r="F299">
        <v>145.9</v>
      </c>
      <c r="G299">
        <v>139.5</v>
      </c>
      <c r="H299">
        <v>115.9</v>
      </c>
      <c r="I299">
        <v>135</v>
      </c>
      <c r="J299">
        <v>163.19999999999999</v>
      </c>
      <c r="K299">
        <v>119.8</v>
      </c>
      <c r="L299">
        <v>120.7</v>
      </c>
      <c r="M299">
        <v>139.69999999999999</v>
      </c>
      <c r="N299">
        <v>125.7</v>
      </c>
      <c r="O299">
        <v>146.30000000000001</v>
      </c>
      <c r="P299">
        <v>138.80000000000001</v>
      </c>
      <c r="Q299">
        <v>139.1</v>
      </c>
      <c r="R299">
        <v>126.8</v>
      </c>
      <c r="S299">
        <v>129.30000000000001</v>
      </c>
      <c r="T299">
        <v>128.19999999999999</v>
      </c>
      <c r="U299">
        <v>115.3</v>
      </c>
      <c r="V299">
        <v>125.6</v>
      </c>
      <c r="W299">
        <v>136.69999999999999</v>
      </c>
      <c r="X299">
        <v>124.6</v>
      </c>
      <c r="Y299">
        <v>125.1</v>
      </c>
      <c r="Z299">
        <v>134.1</v>
      </c>
      <c r="AA299" s="1">
        <f>SUM(Table1[[#This Row],[Cereals and products]:[Food and beverages]])/13</f>
        <v>135.96153846153845</v>
      </c>
      <c r="AB299" s="1">
        <f>SUM(Table1[[#This Row],[Fuel and light]])</f>
        <v>126.8</v>
      </c>
      <c r="AC299" s="1">
        <f>SUM(Table1[[#This Row],[Transport and communication]])</f>
        <v>115.3</v>
      </c>
      <c r="AD299" s="1">
        <f>SUM(Table1[[#This Row],[Housing]],Table1[[#This Row],[Household goods and services]])/2</f>
        <v>134.19999999999999</v>
      </c>
      <c r="AE299" s="1">
        <f>SUM(Table1[[#This Row],[Health]])</f>
        <v>128.19999999999999</v>
      </c>
      <c r="AF299" s="1">
        <f>SUM(Table1[[#This Row],[Recreation and amusement]],Table1[[#This Row],[Education]])/2</f>
        <v>131.14999999999998</v>
      </c>
      <c r="AG299" s="1">
        <f>SUM(Table1[[#This Row],[Miscellaneous]],Table1[[#This Row],[Personal care and effects]])/2</f>
        <v>124.85</v>
      </c>
    </row>
    <row r="300" spans="1:33" hidden="1" x14ac:dyDescent="0.3">
      <c r="A300" t="s">
        <v>35</v>
      </c>
      <c r="B300">
        <v>2017</v>
      </c>
      <c r="C300" t="s">
        <v>38</v>
      </c>
      <c r="D300">
        <v>135.80000000000001</v>
      </c>
      <c r="E300">
        <v>143.30000000000001</v>
      </c>
      <c r="F300">
        <v>145.19999999999999</v>
      </c>
      <c r="G300">
        <v>141</v>
      </c>
      <c r="H300">
        <v>120.5</v>
      </c>
      <c r="I300">
        <v>141.5</v>
      </c>
      <c r="J300">
        <v>161.69999999999999</v>
      </c>
      <c r="K300">
        <v>129.1</v>
      </c>
      <c r="L300">
        <v>121.5</v>
      </c>
      <c r="M300">
        <v>137.1</v>
      </c>
      <c r="N300">
        <v>128.80000000000001</v>
      </c>
      <c r="O300">
        <v>149</v>
      </c>
      <c r="P300">
        <v>140.5</v>
      </c>
      <c r="Q300">
        <v>139.1</v>
      </c>
      <c r="R300">
        <v>136.6</v>
      </c>
      <c r="S300">
        <v>134.69999999999999</v>
      </c>
      <c r="T300">
        <v>133.1</v>
      </c>
      <c r="U300">
        <v>118.5</v>
      </c>
      <c r="V300">
        <v>129</v>
      </c>
      <c r="W300">
        <v>138.5</v>
      </c>
      <c r="X300">
        <v>126.5</v>
      </c>
      <c r="Y300">
        <v>128.6</v>
      </c>
      <c r="Z300">
        <v>137.19999999999999</v>
      </c>
      <c r="AA300" s="1">
        <f>SUM(Table1[[#This Row],[Cereals and products]:[Food and beverages]])/13</f>
        <v>138.07692307692307</v>
      </c>
      <c r="AB300" s="1">
        <f>SUM(Table1[[#This Row],[Fuel and light]])</f>
        <v>136.6</v>
      </c>
      <c r="AC300" s="1">
        <f>SUM(Table1[[#This Row],[Transport and communication]])</f>
        <v>118.5</v>
      </c>
      <c r="AD300" s="1">
        <f>SUM(Table1[[#This Row],[Housing]],Table1[[#This Row],[Household goods and services]])/2</f>
        <v>136.89999999999998</v>
      </c>
      <c r="AE300" s="1">
        <f>SUM(Table1[[#This Row],[Health]])</f>
        <v>133.1</v>
      </c>
      <c r="AF300" s="1">
        <f>SUM(Table1[[#This Row],[Recreation and amusement]],Table1[[#This Row],[Education]])/2</f>
        <v>133.75</v>
      </c>
      <c r="AG300" s="1">
        <f>SUM(Table1[[#This Row],[Miscellaneous]],Table1[[#This Row],[Personal care and effects]])/2</f>
        <v>127.55</v>
      </c>
    </row>
    <row r="301" spans="1:33" hidden="1" x14ac:dyDescent="0.3">
      <c r="A301" t="s">
        <v>33</v>
      </c>
      <c r="B301">
        <v>2017</v>
      </c>
      <c r="C301" t="s">
        <v>38</v>
      </c>
      <c r="D301">
        <v>136.4</v>
      </c>
      <c r="E301">
        <v>143.69999999999999</v>
      </c>
      <c r="F301">
        <v>144.80000000000001</v>
      </c>
      <c r="G301">
        <v>141.9</v>
      </c>
      <c r="H301">
        <v>123.1</v>
      </c>
      <c r="I301">
        <v>147.19999999999999</v>
      </c>
      <c r="J301">
        <v>161</v>
      </c>
      <c r="K301">
        <v>133.80000000000001</v>
      </c>
      <c r="L301">
        <v>121.9</v>
      </c>
      <c r="M301">
        <v>135.80000000000001</v>
      </c>
      <c r="N301">
        <v>131.1</v>
      </c>
      <c r="O301">
        <v>151.4</v>
      </c>
      <c r="P301">
        <v>141.5</v>
      </c>
      <c r="Q301">
        <f>AVERAGE(Q299:Q300)</f>
        <v>139.1</v>
      </c>
      <c r="R301">
        <v>142.6</v>
      </c>
      <c r="S301">
        <v>139.5</v>
      </c>
      <c r="T301">
        <v>136.1</v>
      </c>
      <c r="U301">
        <v>122</v>
      </c>
      <c r="V301">
        <v>133.4</v>
      </c>
      <c r="W301">
        <v>141.1</v>
      </c>
      <c r="X301">
        <v>127.8</v>
      </c>
      <c r="Y301">
        <v>131.9</v>
      </c>
      <c r="Z301">
        <v>139.80000000000001</v>
      </c>
      <c r="AA301" s="1">
        <f>SUM(Table1[[#This Row],[Cereals and products]:[Food and beverages]])/13</f>
        <v>139.50769230769231</v>
      </c>
      <c r="AB301" s="1">
        <f>SUM(Table1[[#This Row],[Fuel and light]])</f>
        <v>142.6</v>
      </c>
      <c r="AC301" s="1">
        <f>SUM(Table1[[#This Row],[Transport and communication]])</f>
        <v>122</v>
      </c>
      <c r="AD301" s="1">
        <f>SUM(Table1[[#This Row],[Housing]],Table1[[#This Row],[Household goods and services]])/2</f>
        <v>139.30000000000001</v>
      </c>
      <c r="AE301" s="1">
        <f>SUM(Table1[[#This Row],[Health]])</f>
        <v>136.1</v>
      </c>
      <c r="AF301" s="1">
        <f>SUM(Table1[[#This Row],[Recreation and amusement]],Table1[[#This Row],[Education]])/2</f>
        <v>137.25</v>
      </c>
      <c r="AG301" s="1">
        <f>SUM(Table1[[#This Row],[Miscellaneous]],Table1[[#This Row],[Personal care and effects]])/2</f>
        <v>129.85</v>
      </c>
    </row>
    <row r="302" spans="1:33" hidden="1" x14ac:dyDescent="0.3">
      <c r="A302" t="s">
        <v>36</v>
      </c>
      <c r="B302">
        <v>2016</v>
      </c>
      <c r="C302" t="s">
        <v>38</v>
      </c>
      <c r="D302">
        <v>131.6</v>
      </c>
      <c r="E302">
        <v>138.19999999999999</v>
      </c>
      <c r="F302">
        <v>134.9</v>
      </c>
      <c r="G302">
        <v>133.1</v>
      </c>
      <c r="H302">
        <v>113.5</v>
      </c>
      <c r="I302">
        <v>129.30000000000001</v>
      </c>
      <c r="J302">
        <v>121.1</v>
      </c>
      <c r="K302">
        <v>170.3</v>
      </c>
      <c r="L302">
        <v>115.5</v>
      </c>
      <c r="M302">
        <v>145.5</v>
      </c>
      <c r="N302">
        <v>123.1</v>
      </c>
      <c r="O302">
        <v>140.9</v>
      </c>
      <c r="P302">
        <v>132.80000000000001</v>
      </c>
      <c r="Q302">
        <v>128.5</v>
      </c>
      <c r="R302">
        <v>117.8</v>
      </c>
      <c r="S302">
        <v>125</v>
      </c>
      <c r="T302">
        <v>122.3</v>
      </c>
      <c r="U302">
        <v>113.7</v>
      </c>
      <c r="V302">
        <v>121.8</v>
      </c>
      <c r="W302">
        <v>132.30000000000001</v>
      </c>
      <c r="X302">
        <v>119.9</v>
      </c>
      <c r="Y302">
        <v>121.4</v>
      </c>
      <c r="Z302">
        <v>127.6</v>
      </c>
      <c r="AA302" s="1">
        <f>SUM(Table1[[#This Row],[Cereals and products]:[Food and beverages]])/13</f>
        <v>133.06153846153845</v>
      </c>
      <c r="AB302" s="1">
        <f>SUM(Table1[[#This Row],[Fuel and light]])</f>
        <v>117.8</v>
      </c>
      <c r="AC302" s="1">
        <f>SUM(Table1[[#This Row],[Transport and communication]])</f>
        <v>113.7</v>
      </c>
      <c r="AD302" s="1">
        <f>SUM(Table1[[#This Row],[Housing]],Table1[[#This Row],[Household goods and services]])/2</f>
        <v>126.75</v>
      </c>
      <c r="AE302" s="1">
        <f>SUM(Table1[[#This Row],[Health]])</f>
        <v>122.3</v>
      </c>
      <c r="AF302" s="1">
        <f>SUM(Table1[[#This Row],[Recreation and amusement]],Table1[[#This Row],[Education]])/2</f>
        <v>127.05000000000001</v>
      </c>
      <c r="AG302" s="1">
        <f>SUM(Table1[[#This Row],[Miscellaneous]],Table1[[#This Row],[Personal care and effects]])/2</f>
        <v>120.65</v>
      </c>
    </row>
    <row r="303" spans="1:33" hidden="1" x14ac:dyDescent="0.3">
      <c r="A303" t="s">
        <v>35</v>
      </c>
      <c r="B303">
        <v>2016</v>
      </c>
      <c r="C303" t="s">
        <v>38</v>
      </c>
      <c r="D303">
        <v>132.30000000000001</v>
      </c>
      <c r="E303">
        <v>137.6</v>
      </c>
      <c r="F303">
        <v>132.9</v>
      </c>
      <c r="G303">
        <v>135.1</v>
      </c>
      <c r="H303">
        <v>118.6</v>
      </c>
      <c r="I303">
        <v>132.69999999999999</v>
      </c>
      <c r="J303">
        <v>125.3</v>
      </c>
      <c r="K303">
        <v>168.7</v>
      </c>
      <c r="L303">
        <v>114.4</v>
      </c>
      <c r="M303">
        <v>140.19999999999999</v>
      </c>
      <c r="N303">
        <v>126.6</v>
      </c>
      <c r="O303">
        <v>142.30000000000001</v>
      </c>
      <c r="P303">
        <v>134</v>
      </c>
      <c r="Q303">
        <v>128.5</v>
      </c>
      <c r="R303">
        <v>126.6</v>
      </c>
      <c r="S303">
        <v>129.19999999999999</v>
      </c>
      <c r="T303">
        <v>126.9</v>
      </c>
      <c r="U303">
        <v>116</v>
      </c>
      <c r="V303">
        <v>124.2</v>
      </c>
      <c r="W303">
        <v>133.1</v>
      </c>
      <c r="X303">
        <v>121.1</v>
      </c>
      <c r="Y303">
        <v>123.9</v>
      </c>
      <c r="Z303">
        <v>130.4</v>
      </c>
      <c r="AA303" s="1">
        <f>SUM(Table1[[#This Row],[Cereals and products]:[Food and beverages]])/13</f>
        <v>133.9</v>
      </c>
      <c r="AB303" s="1">
        <f>SUM(Table1[[#This Row],[Fuel and light]])</f>
        <v>126.6</v>
      </c>
      <c r="AC303" s="1">
        <f>SUM(Table1[[#This Row],[Transport and communication]])</f>
        <v>116</v>
      </c>
      <c r="AD303" s="1">
        <f>SUM(Table1[[#This Row],[Housing]],Table1[[#This Row],[Household goods and services]])/2</f>
        <v>128.85</v>
      </c>
      <c r="AE303" s="1">
        <f>SUM(Table1[[#This Row],[Health]])</f>
        <v>126.9</v>
      </c>
      <c r="AF303" s="1">
        <f>SUM(Table1[[#This Row],[Recreation and amusement]],Table1[[#This Row],[Education]])/2</f>
        <v>128.65</v>
      </c>
      <c r="AG303" s="1">
        <f>SUM(Table1[[#This Row],[Miscellaneous]],Table1[[#This Row],[Personal care and effects]])/2</f>
        <v>122.5</v>
      </c>
    </row>
    <row r="304" spans="1:33" hidden="1" x14ac:dyDescent="0.3">
      <c r="A304" t="s">
        <v>33</v>
      </c>
      <c r="B304">
        <v>2016</v>
      </c>
      <c r="C304" t="s">
        <v>38</v>
      </c>
      <c r="D304">
        <v>132.6</v>
      </c>
      <c r="E304">
        <v>137.30000000000001</v>
      </c>
      <c r="F304">
        <v>131.6</v>
      </c>
      <c r="G304">
        <v>136.30000000000001</v>
      </c>
      <c r="H304">
        <v>121.6</v>
      </c>
      <c r="I304">
        <v>135.6</v>
      </c>
      <c r="J304">
        <v>127.5</v>
      </c>
      <c r="K304">
        <v>167.9</v>
      </c>
      <c r="L304">
        <v>113.8</v>
      </c>
      <c r="M304">
        <v>137.5</v>
      </c>
      <c r="N304">
        <v>129.1</v>
      </c>
      <c r="O304">
        <v>143.6</v>
      </c>
      <c r="P304">
        <v>134.69999999999999</v>
      </c>
      <c r="Q304">
        <f>AVERAGE(Q302:Q303)</f>
        <v>128.5</v>
      </c>
      <c r="R304">
        <v>132</v>
      </c>
      <c r="S304">
        <v>132.9</v>
      </c>
      <c r="T304">
        <v>129.69999999999999</v>
      </c>
      <c r="U304">
        <v>118.6</v>
      </c>
      <c r="V304">
        <v>127.3</v>
      </c>
      <c r="W304">
        <v>134.19999999999999</v>
      </c>
      <c r="X304">
        <v>121.9</v>
      </c>
      <c r="Y304">
        <v>126.3</v>
      </c>
      <c r="Z304">
        <v>132.80000000000001</v>
      </c>
      <c r="AA304" s="1">
        <f>SUM(Table1[[#This Row],[Cereals and products]:[Food and beverages]])/13</f>
        <v>134.54615384615383</v>
      </c>
      <c r="AB304" s="1">
        <f>SUM(Table1[[#This Row],[Fuel and light]])</f>
        <v>132</v>
      </c>
      <c r="AC304" s="1">
        <f>SUM(Table1[[#This Row],[Transport and communication]])</f>
        <v>118.6</v>
      </c>
      <c r="AD304" s="1">
        <f>SUM(Table1[[#This Row],[Housing]],Table1[[#This Row],[Household goods and services]])/2</f>
        <v>130.69999999999999</v>
      </c>
      <c r="AE304" s="1">
        <f>SUM(Table1[[#This Row],[Health]])</f>
        <v>129.69999999999999</v>
      </c>
      <c r="AF304" s="1">
        <f>SUM(Table1[[#This Row],[Recreation and amusement]],Table1[[#This Row],[Education]])/2</f>
        <v>130.75</v>
      </c>
      <c r="AG304" s="1">
        <f>SUM(Table1[[#This Row],[Miscellaneous]],Table1[[#This Row],[Personal care and effects]])/2</f>
        <v>124.1</v>
      </c>
    </row>
    <row r="305" spans="1:33" hidden="1" x14ac:dyDescent="0.3">
      <c r="A305" t="s">
        <v>36</v>
      </c>
      <c r="B305">
        <v>2015</v>
      </c>
      <c r="C305" t="s">
        <v>38</v>
      </c>
      <c r="D305">
        <v>124.3</v>
      </c>
      <c r="E305">
        <v>131.69999999999999</v>
      </c>
      <c r="F305">
        <v>127.1</v>
      </c>
      <c r="G305">
        <v>128.6</v>
      </c>
      <c r="H305">
        <v>110</v>
      </c>
      <c r="I305">
        <v>120.8</v>
      </c>
      <c r="J305">
        <v>149</v>
      </c>
      <c r="K305">
        <v>190.1</v>
      </c>
      <c r="L305">
        <v>92.7</v>
      </c>
      <c r="M305">
        <v>138.6</v>
      </c>
      <c r="N305">
        <v>120.2</v>
      </c>
      <c r="O305">
        <v>134.19999999999999</v>
      </c>
      <c r="P305">
        <v>131.5</v>
      </c>
      <c r="Q305">
        <v>122.4</v>
      </c>
      <c r="R305">
        <v>116</v>
      </c>
      <c r="S305">
        <v>121</v>
      </c>
      <c r="T305">
        <v>118.6</v>
      </c>
      <c r="U305">
        <v>109.3</v>
      </c>
      <c r="V305">
        <v>118.1</v>
      </c>
      <c r="W305">
        <v>126.6</v>
      </c>
      <c r="X305">
        <v>113.2</v>
      </c>
      <c r="Y305">
        <v>116.7</v>
      </c>
      <c r="Z305">
        <v>124</v>
      </c>
      <c r="AA305" s="1">
        <f>SUM(Table1[[#This Row],[Cereals and products]:[Food and beverages]])/13</f>
        <v>130.67692307692306</v>
      </c>
      <c r="AB305" s="1">
        <f>SUM(Table1[[#This Row],[Fuel and light]])</f>
        <v>116</v>
      </c>
      <c r="AC305" s="1">
        <f>SUM(Table1[[#This Row],[Transport and communication]])</f>
        <v>109.3</v>
      </c>
      <c r="AD305" s="1">
        <f>SUM(Table1[[#This Row],[Housing]],Table1[[#This Row],[Household goods and services]])/2</f>
        <v>121.7</v>
      </c>
      <c r="AE305" s="1">
        <f>SUM(Table1[[#This Row],[Health]])</f>
        <v>118.6</v>
      </c>
      <c r="AF305" s="1">
        <f>SUM(Table1[[#This Row],[Recreation and amusement]],Table1[[#This Row],[Education]])/2</f>
        <v>122.35</v>
      </c>
      <c r="AG305" s="1">
        <f>SUM(Table1[[#This Row],[Miscellaneous]],Table1[[#This Row],[Personal care and effects]])/2</f>
        <v>114.95</v>
      </c>
    </row>
    <row r="306" spans="1:33" hidden="1" x14ac:dyDescent="0.3">
      <c r="A306" t="s">
        <v>35</v>
      </c>
      <c r="B306">
        <v>2015</v>
      </c>
      <c r="C306" t="s">
        <v>38</v>
      </c>
      <c r="D306">
        <v>125.7</v>
      </c>
      <c r="E306">
        <v>131.4</v>
      </c>
      <c r="F306">
        <v>124.8</v>
      </c>
      <c r="G306">
        <v>129.4</v>
      </c>
      <c r="H306">
        <v>115.3</v>
      </c>
      <c r="I306">
        <v>126.6</v>
      </c>
      <c r="J306">
        <v>146.69999999999999</v>
      </c>
      <c r="K306">
        <v>171.5</v>
      </c>
      <c r="L306">
        <v>94.5</v>
      </c>
      <c r="M306">
        <v>132.1</v>
      </c>
      <c r="N306">
        <v>122</v>
      </c>
      <c r="O306">
        <v>134.69999999999999</v>
      </c>
      <c r="P306">
        <v>131.4</v>
      </c>
      <c r="Q306">
        <v>122.4</v>
      </c>
      <c r="R306">
        <v>122</v>
      </c>
      <c r="S306">
        <v>123.6</v>
      </c>
      <c r="T306">
        <v>121.4</v>
      </c>
      <c r="U306">
        <v>111.5</v>
      </c>
      <c r="V306">
        <v>119.6</v>
      </c>
      <c r="W306">
        <v>126.2</v>
      </c>
      <c r="X306">
        <v>113.7</v>
      </c>
      <c r="Y306">
        <v>118.3</v>
      </c>
      <c r="Z306">
        <v>126.1</v>
      </c>
      <c r="AA306" s="1">
        <f>SUM(Table1[[#This Row],[Cereals and products]:[Food and beverages]])/13</f>
        <v>129.70000000000002</v>
      </c>
      <c r="AB306" s="1">
        <f>SUM(Table1[[#This Row],[Fuel and light]])</f>
        <v>122</v>
      </c>
      <c r="AC306" s="1">
        <f>SUM(Table1[[#This Row],[Transport and communication]])</f>
        <v>111.5</v>
      </c>
      <c r="AD306" s="1">
        <f>SUM(Table1[[#This Row],[Housing]],Table1[[#This Row],[Household goods and services]])/2</f>
        <v>123</v>
      </c>
      <c r="AE306" s="1">
        <f>SUM(Table1[[#This Row],[Health]])</f>
        <v>121.4</v>
      </c>
      <c r="AF306" s="1">
        <f>SUM(Table1[[#This Row],[Recreation and amusement]],Table1[[#This Row],[Education]])/2</f>
        <v>122.9</v>
      </c>
      <c r="AG306" s="1">
        <f>SUM(Table1[[#This Row],[Miscellaneous]],Table1[[#This Row],[Personal care and effects]])/2</f>
        <v>116</v>
      </c>
    </row>
    <row r="307" spans="1:33" hidden="1" x14ac:dyDescent="0.3">
      <c r="A307" t="s">
        <v>33</v>
      </c>
      <c r="B307">
        <v>2015</v>
      </c>
      <c r="C307" t="s">
        <v>38</v>
      </c>
      <c r="D307">
        <v>126.3</v>
      </c>
      <c r="E307">
        <v>131.30000000000001</v>
      </c>
      <c r="F307">
        <v>123.3</v>
      </c>
      <c r="G307">
        <v>129.80000000000001</v>
      </c>
      <c r="H307">
        <v>118.3</v>
      </c>
      <c r="I307">
        <v>131.6</v>
      </c>
      <c r="J307">
        <v>145.5</v>
      </c>
      <c r="K307">
        <v>162.1</v>
      </c>
      <c r="L307">
        <v>95.4</v>
      </c>
      <c r="M307">
        <v>128.9</v>
      </c>
      <c r="N307">
        <v>123.3</v>
      </c>
      <c r="O307">
        <v>135.1</v>
      </c>
      <c r="P307">
        <v>131.4</v>
      </c>
      <c r="Q307">
        <f>AVERAGE(Q305:Q306)</f>
        <v>122.4</v>
      </c>
      <c r="R307">
        <v>125.7</v>
      </c>
      <c r="S307">
        <v>126</v>
      </c>
      <c r="T307">
        <v>123.1</v>
      </c>
      <c r="U307">
        <v>114</v>
      </c>
      <c r="V307">
        <v>121.6</v>
      </c>
      <c r="W307">
        <v>125.6</v>
      </c>
      <c r="X307">
        <v>114.1</v>
      </c>
      <c r="Y307">
        <v>119.8</v>
      </c>
      <c r="Z307">
        <v>127.9</v>
      </c>
      <c r="AA307" s="1">
        <f>SUM(Table1[[#This Row],[Cereals and products]:[Food and beverages]])/13</f>
        <v>129.40769230769232</v>
      </c>
      <c r="AB307" s="1">
        <f>SUM(Table1[[#This Row],[Fuel and light]])</f>
        <v>125.7</v>
      </c>
      <c r="AC307" s="1">
        <f>SUM(Table1[[#This Row],[Transport and communication]])</f>
        <v>114</v>
      </c>
      <c r="AD307" s="1">
        <f>SUM(Table1[[#This Row],[Housing]],Table1[[#This Row],[Household goods and services]])/2</f>
        <v>124.2</v>
      </c>
      <c r="AE307" s="1">
        <f>SUM(Table1[[#This Row],[Health]])</f>
        <v>123.1</v>
      </c>
      <c r="AF307" s="1">
        <f>SUM(Table1[[#This Row],[Recreation and amusement]],Table1[[#This Row],[Education]])/2</f>
        <v>123.6</v>
      </c>
      <c r="AG307" s="1">
        <f>SUM(Table1[[#This Row],[Miscellaneous]],Table1[[#This Row],[Personal care and effects]])/2</f>
        <v>116.94999999999999</v>
      </c>
    </row>
    <row r="308" spans="1:33" hidden="1" x14ac:dyDescent="0.3">
      <c r="A308" t="s">
        <v>33</v>
      </c>
      <c r="B308">
        <v>2014</v>
      </c>
      <c r="C308" t="s">
        <v>38</v>
      </c>
      <c r="D308">
        <v>122.4</v>
      </c>
      <c r="E308">
        <v>122.4</v>
      </c>
      <c r="F308">
        <v>121.8</v>
      </c>
      <c r="G308">
        <v>124.2</v>
      </c>
      <c r="H308">
        <v>110.2</v>
      </c>
      <c r="I308">
        <v>128.6</v>
      </c>
      <c r="J308">
        <v>140.30000000000001</v>
      </c>
      <c r="K308">
        <v>116.3</v>
      </c>
      <c r="L308">
        <v>102</v>
      </c>
      <c r="M308">
        <v>116</v>
      </c>
      <c r="N308">
        <v>117.3</v>
      </c>
      <c r="O308">
        <v>124.8</v>
      </c>
      <c r="P308">
        <v>123.3</v>
      </c>
      <c r="Q308">
        <f>AVERAGE(Q309:Q310)</f>
        <v>116.5</v>
      </c>
      <c r="R308">
        <v>117.4</v>
      </c>
      <c r="S308">
        <v>118.2</v>
      </c>
      <c r="T308">
        <v>116.2</v>
      </c>
      <c r="U308">
        <v>111.5</v>
      </c>
      <c r="V308">
        <v>113.3</v>
      </c>
      <c r="W308">
        <v>117.7</v>
      </c>
      <c r="X308">
        <v>109.4</v>
      </c>
      <c r="Y308">
        <v>114.2</v>
      </c>
      <c r="Z308">
        <v>120.3</v>
      </c>
      <c r="AA308" s="1">
        <f>SUM(Table1[[#This Row],[Cereals and products]:[Food and beverages]])/13</f>
        <v>120.73846153846154</v>
      </c>
      <c r="AB308" s="1">
        <f>SUM(Table1[[#This Row],[Fuel and light]])</f>
        <v>117.4</v>
      </c>
      <c r="AC308" s="1">
        <f>SUM(Table1[[#This Row],[Transport and communication]])</f>
        <v>111.5</v>
      </c>
      <c r="AD308" s="1">
        <f>SUM(Table1[[#This Row],[Housing]],Table1[[#This Row],[Household goods and services]])/2</f>
        <v>117.35</v>
      </c>
      <c r="AE308" s="1">
        <f>SUM(Table1[[#This Row],[Health]])</f>
        <v>116.2</v>
      </c>
      <c r="AF308" s="1">
        <f>SUM(Table1[[#This Row],[Recreation and amusement]],Table1[[#This Row],[Education]])/2</f>
        <v>115.5</v>
      </c>
      <c r="AG308" s="1">
        <f>SUM(Table1[[#This Row],[Miscellaneous]],Table1[[#This Row],[Personal care and effects]])/2</f>
        <v>111.80000000000001</v>
      </c>
    </row>
    <row r="309" spans="1:33" hidden="1" x14ac:dyDescent="0.3">
      <c r="A309" t="s">
        <v>35</v>
      </c>
      <c r="B309">
        <v>2014</v>
      </c>
      <c r="C309" t="s">
        <v>38</v>
      </c>
      <c r="D309">
        <v>122.9</v>
      </c>
      <c r="E309">
        <v>123.2</v>
      </c>
      <c r="F309">
        <v>123.5</v>
      </c>
      <c r="G309">
        <v>124.5</v>
      </c>
      <c r="H309">
        <v>107.6</v>
      </c>
      <c r="I309">
        <v>125.7</v>
      </c>
      <c r="J309">
        <v>140.5</v>
      </c>
      <c r="K309">
        <v>117.6</v>
      </c>
      <c r="L309">
        <v>100.6</v>
      </c>
      <c r="M309">
        <v>119.1</v>
      </c>
      <c r="N309">
        <v>116.8</v>
      </c>
      <c r="O309">
        <v>126.1</v>
      </c>
      <c r="P309">
        <v>123.6</v>
      </c>
      <c r="Q309">
        <v>116.5</v>
      </c>
      <c r="R309">
        <v>115.7</v>
      </c>
      <c r="S309">
        <v>117.5</v>
      </c>
      <c r="T309">
        <v>115.1</v>
      </c>
      <c r="U309">
        <v>110.1</v>
      </c>
      <c r="V309">
        <v>113.9</v>
      </c>
      <c r="W309">
        <v>119.5</v>
      </c>
      <c r="X309">
        <v>109.8</v>
      </c>
      <c r="Y309">
        <v>113.8</v>
      </c>
      <c r="Z309">
        <v>119.4</v>
      </c>
      <c r="AA309" s="1">
        <f>SUM(Table1[[#This Row],[Cereals and products]:[Food and beverages]])/13</f>
        <v>120.89999999999999</v>
      </c>
      <c r="AB309" s="1">
        <f>SUM(Table1[[#This Row],[Fuel and light]])</f>
        <v>115.7</v>
      </c>
      <c r="AC309" s="1">
        <f>SUM(Table1[[#This Row],[Transport and communication]])</f>
        <v>110.1</v>
      </c>
      <c r="AD309" s="1">
        <f>SUM(Table1[[#This Row],[Housing]],Table1[[#This Row],[Household goods and services]])/2</f>
        <v>117</v>
      </c>
      <c r="AE309" s="1">
        <f>SUM(Table1[[#This Row],[Health]])</f>
        <v>115.1</v>
      </c>
      <c r="AF309" s="1">
        <f>SUM(Table1[[#This Row],[Recreation and amusement]],Table1[[#This Row],[Education]])/2</f>
        <v>116.7</v>
      </c>
      <c r="AG309" s="1">
        <f>SUM(Table1[[#This Row],[Miscellaneous]],Table1[[#This Row],[Personal care and effects]])/2</f>
        <v>111.8</v>
      </c>
    </row>
    <row r="310" spans="1:33" hidden="1" x14ac:dyDescent="0.3">
      <c r="A310" t="s">
        <v>36</v>
      </c>
      <c r="B310">
        <v>2014</v>
      </c>
      <c r="C310" t="s">
        <v>38</v>
      </c>
      <c r="D310">
        <v>124</v>
      </c>
      <c r="E310">
        <v>124.7</v>
      </c>
      <c r="F310">
        <v>126.3</v>
      </c>
      <c r="G310">
        <v>124.9</v>
      </c>
      <c r="H310">
        <v>103</v>
      </c>
      <c r="I310">
        <v>122.3</v>
      </c>
      <c r="J310">
        <v>141</v>
      </c>
      <c r="K310">
        <v>120.1</v>
      </c>
      <c r="L310">
        <v>97.8</v>
      </c>
      <c r="M310">
        <v>125.4</v>
      </c>
      <c r="N310">
        <v>116.1</v>
      </c>
      <c r="O310">
        <v>127.6</v>
      </c>
      <c r="P310">
        <v>124</v>
      </c>
      <c r="Q310">
        <v>116.5</v>
      </c>
      <c r="R310">
        <v>113</v>
      </c>
      <c r="S310">
        <v>116.8</v>
      </c>
      <c r="T310">
        <v>113.2</v>
      </c>
      <c r="U310">
        <v>108.8</v>
      </c>
      <c r="V310">
        <v>114.3</v>
      </c>
      <c r="W310">
        <v>120.7</v>
      </c>
      <c r="X310">
        <v>110.4</v>
      </c>
      <c r="Y310">
        <v>113.4</v>
      </c>
      <c r="Z310">
        <v>118.4</v>
      </c>
      <c r="AA310" s="1">
        <f>SUM(Table1[[#This Row],[Cereals and products]:[Food and beverages]])/13</f>
        <v>121.32307692307691</v>
      </c>
      <c r="AB310" s="1">
        <f>SUM(Table1[[#This Row],[Fuel and light]])</f>
        <v>113</v>
      </c>
      <c r="AC310" s="1">
        <f>SUM(Table1[[#This Row],[Transport and communication]])</f>
        <v>108.8</v>
      </c>
      <c r="AD310" s="1">
        <f>SUM(Table1[[#This Row],[Housing]],Table1[[#This Row],[Household goods and services]])/2</f>
        <v>116.65</v>
      </c>
      <c r="AE310" s="1">
        <f>SUM(Table1[[#This Row],[Health]])</f>
        <v>113.2</v>
      </c>
      <c r="AF310" s="1">
        <f>SUM(Table1[[#This Row],[Recreation and amusement]],Table1[[#This Row],[Education]])/2</f>
        <v>117.5</v>
      </c>
      <c r="AG310" s="1">
        <f>SUM(Table1[[#This Row],[Miscellaneous]],Table1[[#This Row],[Personal care and effects]])/2</f>
        <v>111.9</v>
      </c>
    </row>
    <row r="311" spans="1:33" hidden="1" x14ac:dyDescent="0.3">
      <c r="A311" t="s">
        <v>33</v>
      </c>
      <c r="B311">
        <v>2013</v>
      </c>
      <c r="C311" t="s">
        <v>38</v>
      </c>
      <c r="D311">
        <v>118.4</v>
      </c>
      <c r="E311">
        <v>115.9</v>
      </c>
      <c r="F311">
        <v>120.4</v>
      </c>
      <c r="G311">
        <v>113.8</v>
      </c>
      <c r="H311">
        <v>109.5</v>
      </c>
      <c r="I311">
        <v>115.5</v>
      </c>
      <c r="J311">
        <v>145.69999999999999</v>
      </c>
      <c r="K311">
        <v>109.5</v>
      </c>
      <c r="L311">
        <v>102.9</v>
      </c>
      <c r="M311">
        <v>109.8</v>
      </c>
      <c r="N311">
        <v>112.1</v>
      </c>
      <c r="O311">
        <v>116.8</v>
      </c>
      <c r="P311">
        <v>118.7</v>
      </c>
      <c r="Q311">
        <f>AVERAGE(Q312:Q313)</f>
        <v>110.7</v>
      </c>
      <c r="R311">
        <v>112.8</v>
      </c>
      <c r="S311">
        <v>112.1</v>
      </c>
      <c r="T311">
        <v>110.1</v>
      </c>
      <c r="U311">
        <v>109.9</v>
      </c>
      <c r="V311">
        <v>109.2</v>
      </c>
      <c r="W311">
        <v>111.6</v>
      </c>
      <c r="X311">
        <v>108.1</v>
      </c>
      <c r="Y311">
        <v>110.1</v>
      </c>
      <c r="Z311">
        <v>115.5</v>
      </c>
      <c r="AA311" s="1">
        <f>SUM(Table1[[#This Row],[Cereals and products]:[Food and beverages]])/13</f>
        <v>116.07692307692308</v>
      </c>
      <c r="AB311" s="1">
        <f>SUM(Table1[[#This Row],[Fuel and light]])</f>
        <v>112.8</v>
      </c>
      <c r="AC311" s="1">
        <f>SUM(Table1[[#This Row],[Transport and communication]])</f>
        <v>109.9</v>
      </c>
      <c r="AD311" s="1">
        <f>SUM(Table1[[#This Row],[Housing]],Table1[[#This Row],[Household goods and services]])/2</f>
        <v>111.4</v>
      </c>
      <c r="AE311" s="1">
        <f>SUM(Table1[[#This Row],[Health]])</f>
        <v>110.1</v>
      </c>
      <c r="AF311" s="1">
        <f>SUM(Table1[[#This Row],[Recreation and amusement]],Table1[[#This Row],[Education]])/2</f>
        <v>110.4</v>
      </c>
      <c r="AG311" s="1">
        <f>SUM(Table1[[#This Row],[Miscellaneous]],Table1[[#This Row],[Personal care and effects]])/2</f>
        <v>109.1</v>
      </c>
    </row>
    <row r="312" spans="1:33" hidden="1" x14ac:dyDescent="0.3">
      <c r="A312" t="s">
        <v>35</v>
      </c>
      <c r="B312">
        <v>2013</v>
      </c>
      <c r="C312" t="s">
        <v>38</v>
      </c>
      <c r="D312">
        <v>119.1</v>
      </c>
      <c r="E312">
        <v>116.7</v>
      </c>
      <c r="F312">
        <v>123.5</v>
      </c>
      <c r="G312">
        <v>113.4</v>
      </c>
      <c r="H312">
        <v>107.3</v>
      </c>
      <c r="I312">
        <v>113.3</v>
      </c>
      <c r="J312">
        <v>145.4</v>
      </c>
      <c r="K312">
        <v>108.7</v>
      </c>
      <c r="L312">
        <v>101.5</v>
      </c>
      <c r="M312">
        <v>110.5</v>
      </c>
      <c r="N312">
        <v>112.1</v>
      </c>
      <c r="O312">
        <v>117.4</v>
      </c>
      <c r="P312">
        <v>118.4</v>
      </c>
      <c r="Q312">
        <v>110.7</v>
      </c>
      <c r="R312">
        <v>111.9</v>
      </c>
      <c r="S312">
        <v>111.7</v>
      </c>
      <c r="T312">
        <v>109.7</v>
      </c>
      <c r="U312">
        <v>109.8</v>
      </c>
      <c r="V312">
        <v>109</v>
      </c>
      <c r="W312">
        <v>111.5</v>
      </c>
      <c r="X312">
        <v>107.9</v>
      </c>
      <c r="Y312">
        <v>110</v>
      </c>
      <c r="Z312">
        <v>114.5</v>
      </c>
      <c r="AA312" s="1">
        <f>SUM(Table1[[#This Row],[Cereals and products]:[Food and beverages]])/13</f>
        <v>115.94615384615386</v>
      </c>
      <c r="AB312" s="1">
        <f>SUM(Table1[[#This Row],[Fuel and light]])</f>
        <v>111.9</v>
      </c>
      <c r="AC312" s="1">
        <f>SUM(Table1[[#This Row],[Transport and communication]])</f>
        <v>109.8</v>
      </c>
      <c r="AD312" s="1">
        <f>SUM(Table1[[#This Row],[Housing]],Table1[[#This Row],[Household goods and services]])/2</f>
        <v>111.2</v>
      </c>
      <c r="AE312" s="1">
        <f>SUM(Table1[[#This Row],[Health]])</f>
        <v>109.7</v>
      </c>
      <c r="AF312" s="1">
        <f>SUM(Table1[[#This Row],[Recreation and amusement]],Table1[[#This Row],[Education]])/2</f>
        <v>110.25</v>
      </c>
      <c r="AG312" s="1">
        <f>SUM(Table1[[#This Row],[Miscellaneous]],Table1[[#This Row],[Personal care and effects]])/2</f>
        <v>108.95</v>
      </c>
    </row>
    <row r="313" spans="1:33" hidden="1" x14ac:dyDescent="0.3">
      <c r="A313" t="s">
        <v>36</v>
      </c>
      <c r="B313">
        <v>2013</v>
      </c>
      <c r="C313" t="s">
        <v>38</v>
      </c>
      <c r="D313">
        <v>120.5</v>
      </c>
      <c r="E313">
        <v>118.1</v>
      </c>
      <c r="F313">
        <v>128.5</v>
      </c>
      <c r="G313">
        <v>112.8</v>
      </c>
      <c r="H313">
        <v>103.4</v>
      </c>
      <c r="I313">
        <v>110.7</v>
      </c>
      <c r="J313">
        <v>144.80000000000001</v>
      </c>
      <c r="K313">
        <v>107.1</v>
      </c>
      <c r="L313">
        <v>98.6</v>
      </c>
      <c r="M313">
        <v>111.9</v>
      </c>
      <c r="N313">
        <v>112.1</v>
      </c>
      <c r="O313">
        <v>118.1</v>
      </c>
      <c r="P313">
        <v>117.8</v>
      </c>
      <c r="Q313">
        <v>110.7</v>
      </c>
      <c r="R313">
        <v>110.4</v>
      </c>
      <c r="S313">
        <v>111.3</v>
      </c>
      <c r="T313">
        <v>109</v>
      </c>
      <c r="U313">
        <v>109.7</v>
      </c>
      <c r="V313">
        <v>108.9</v>
      </c>
      <c r="W313">
        <v>111.4</v>
      </c>
      <c r="X313">
        <v>107.7</v>
      </c>
      <c r="Y313">
        <v>109.8</v>
      </c>
      <c r="Z313">
        <v>113.3</v>
      </c>
      <c r="AA313" s="1">
        <f>SUM(Table1[[#This Row],[Cereals and products]:[Food and beverages]])/13</f>
        <v>115.72307692307693</v>
      </c>
      <c r="AB313" s="1">
        <f>SUM(Table1[[#This Row],[Fuel and light]])</f>
        <v>110.4</v>
      </c>
      <c r="AC313" s="1">
        <f>SUM(Table1[[#This Row],[Transport and communication]])</f>
        <v>109.7</v>
      </c>
      <c r="AD313" s="1">
        <f>SUM(Table1[[#This Row],[Housing]],Table1[[#This Row],[Household goods and services]])/2</f>
        <v>111</v>
      </c>
      <c r="AE313" s="1">
        <f>SUM(Table1[[#This Row],[Health]])</f>
        <v>109</v>
      </c>
      <c r="AF313" s="1">
        <f>SUM(Table1[[#This Row],[Recreation and amusement]],Table1[[#This Row],[Education]])/2</f>
        <v>110.15</v>
      </c>
      <c r="AG313" s="1">
        <f>SUM(Table1[[#This Row],[Miscellaneous]],Table1[[#This Row],[Personal care and effects]])/2</f>
        <v>108.75</v>
      </c>
    </row>
    <row r="314" spans="1:33" hidden="1" x14ac:dyDescent="0.3">
      <c r="A314" t="s">
        <v>33</v>
      </c>
      <c r="B314">
        <v>2022</v>
      </c>
      <c r="C314" t="s">
        <v>37</v>
      </c>
      <c r="D314">
        <v>159.5</v>
      </c>
      <c r="E314">
        <v>204.1</v>
      </c>
      <c r="F314">
        <v>168.3</v>
      </c>
      <c r="G314">
        <v>167.9</v>
      </c>
      <c r="H314">
        <v>198.1</v>
      </c>
      <c r="I314">
        <v>169.2</v>
      </c>
      <c r="J314">
        <v>173.1</v>
      </c>
      <c r="K314">
        <v>167.1</v>
      </c>
      <c r="L314">
        <v>120.2</v>
      </c>
      <c r="M314">
        <v>195.6</v>
      </c>
      <c r="N314">
        <v>174.8</v>
      </c>
      <c r="O314">
        <v>184</v>
      </c>
      <c r="P314">
        <v>173.9</v>
      </c>
      <c r="Q314">
        <f>AVERAGE(Q315:Q316)</f>
        <v>169</v>
      </c>
      <c r="R314">
        <v>179.1</v>
      </c>
      <c r="S314">
        <v>172.3</v>
      </c>
      <c r="T314">
        <v>179.4</v>
      </c>
      <c r="U314">
        <v>166.6</v>
      </c>
      <c r="V314">
        <v>169.3</v>
      </c>
      <c r="W314">
        <v>175.7</v>
      </c>
      <c r="X314">
        <v>171.1</v>
      </c>
      <c r="Y314">
        <v>172.6</v>
      </c>
      <c r="Z314">
        <v>175.3</v>
      </c>
      <c r="AA314" s="1">
        <f>SUM(Table1[[#This Row],[Cereals and products]:[Food and beverages]])/13</f>
        <v>173.5230769230769</v>
      </c>
      <c r="AB314" s="1">
        <f>SUM(Table1[[#This Row],[Fuel and light]])</f>
        <v>179.1</v>
      </c>
      <c r="AC314" s="1">
        <f>SUM(Table1[[#This Row],[Transport and communication]])</f>
        <v>166.6</v>
      </c>
      <c r="AD314" s="1">
        <f>SUM(Table1[[#This Row],[Housing]],Table1[[#This Row],[Household goods and services]])/2</f>
        <v>170.65</v>
      </c>
      <c r="AE314" s="1">
        <f>SUM(Table1[[#This Row],[Health]])</f>
        <v>179.4</v>
      </c>
      <c r="AF314" s="1">
        <f>SUM(Table1[[#This Row],[Recreation and amusement]],Table1[[#This Row],[Education]])/2</f>
        <v>172.5</v>
      </c>
      <c r="AG314" s="1">
        <f>SUM(Table1[[#This Row],[Miscellaneous]],Table1[[#This Row],[Personal care and effects]])/2</f>
        <v>171.85</v>
      </c>
    </row>
    <row r="315" spans="1:33" hidden="1" x14ac:dyDescent="0.3">
      <c r="A315" t="s">
        <v>35</v>
      </c>
      <c r="B315">
        <v>2022</v>
      </c>
      <c r="C315" t="s">
        <v>37</v>
      </c>
      <c r="D315">
        <v>160.30000000000001</v>
      </c>
      <c r="E315">
        <v>206.5</v>
      </c>
      <c r="F315">
        <v>169.2</v>
      </c>
      <c r="G315">
        <v>168.1</v>
      </c>
      <c r="H315">
        <v>192.4</v>
      </c>
      <c r="I315">
        <v>172.9</v>
      </c>
      <c r="J315">
        <v>186.7</v>
      </c>
      <c r="K315">
        <v>167.2</v>
      </c>
      <c r="L315">
        <v>120.9</v>
      </c>
      <c r="M315">
        <v>193.6</v>
      </c>
      <c r="N315">
        <v>168.8</v>
      </c>
      <c r="O315">
        <v>186.3</v>
      </c>
      <c r="P315">
        <v>176.3</v>
      </c>
      <c r="Q315">
        <v>169</v>
      </c>
      <c r="R315">
        <v>178.8</v>
      </c>
      <c r="S315">
        <v>168.5</v>
      </c>
      <c r="T315">
        <v>176.8</v>
      </c>
      <c r="U315">
        <v>161.9</v>
      </c>
      <c r="V315">
        <v>166.9</v>
      </c>
      <c r="W315">
        <v>172.3</v>
      </c>
      <c r="X315">
        <v>171.2</v>
      </c>
      <c r="Y315">
        <v>169.1</v>
      </c>
      <c r="Z315">
        <v>174.3</v>
      </c>
      <c r="AA315" s="1">
        <f>SUM(Table1[[#This Row],[Cereals and products]:[Food and beverages]])/13</f>
        <v>174.55384615384617</v>
      </c>
      <c r="AB315" s="1">
        <f>SUM(Table1[[#This Row],[Fuel and light]])</f>
        <v>178.8</v>
      </c>
      <c r="AC315" s="1">
        <f>SUM(Table1[[#This Row],[Transport and communication]])</f>
        <v>161.9</v>
      </c>
      <c r="AD315" s="1">
        <f>SUM(Table1[[#This Row],[Housing]],Table1[[#This Row],[Household goods and services]])/2</f>
        <v>168.75</v>
      </c>
      <c r="AE315" s="1">
        <f>SUM(Table1[[#This Row],[Health]])</f>
        <v>176.8</v>
      </c>
      <c r="AF315" s="1">
        <f>SUM(Table1[[#This Row],[Recreation and amusement]],Table1[[#This Row],[Education]])/2</f>
        <v>169.60000000000002</v>
      </c>
      <c r="AG315" s="1">
        <f>SUM(Table1[[#This Row],[Miscellaneous]],Table1[[#This Row],[Personal care and effects]])/2</f>
        <v>170.14999999999998</v>
      </c>
    </row>
    <row r="316" spans="1:33" hidden="1" x14ac:dyDescent="0.3">
      <c r="A316" t="s">
        <v>36</v>
      </c>
      <c r="B316">
        <v>2022</v>
      </c>
      <c r="C316" t="s">
        <v>37</v>
      </c>
      <c r="D316">
        <v>162.1</v>
      </c>
      <c r="E316">
        <v>210.9</v>
      </c>
      <c r="F316">
        <v>170.6</v>
      </c>
      <c r="G316">
        <v>168.4</v>
      </c>
      <c r="H316">
        <v>182.5</v>
      </c>
      <c r="I316">
        <v>177.1</v>
      </c>
      <c r="J316">
        <v>213.1</v>
      </c>
      <c r="K316">
        <v>167.3</v>
      </c>
      <c r="L316">
        <v>122.2</v>
      </c>
      <c r="M316">
        <v>189.7</v>
      </c>
      <c r="N316">
        <v>160.5</v>
      </c>
      <c r="O316">
        <v>188.9</v>
      </c>
      <c r="P316">
        <v>180.4</v>
      </c>
      <c r="Q316">
        <v>169</v>
      </c>
      <c r="R316">
        <v>178.4</v>
      </c>
      <c r="S316">
        <v>164.2</v>
      </c>
      <c r="T316">
        <v>172.6</v>
      </c>
      <c r="U316">
        <v>157.69999999999999</v>
      </c>
      <c r="V316">
        <v>165.1</v>
      </c>
      <c r="W316">
        <v>169.9</v>
      </c>
      <c r="X316">
        <v>171.4</v>
      </c>
      <c r="Y316">
        <v>165.4</v>
      </c>
      <c r="Z316">
        <v>173.1</v>
      </c>
      <c r="AA316" s="1">
        <f>SUM(Table1[[#This Row],[Cereals and products]:[Food and beverages]])/13</f>
        <v>176.43846153846152</v>
      </c>
      <c r="AB316" s="1">
        <f>SUM(Table1[[#This Row],[Fuel and light]])</f>
        <v>178.4</v>
      </c>
      <c r="AC316" s="1">
        <f>SUM(Table1[[#This Row],[Transport and communication]])</f>
        <v>157.69999999999999</v>
      </c>
      <c r="AD316" s="1">
        <f>SUM(Table1[[#This Row],[Housing]],Table1[[#This Row],[Household goods and services]])/2</f>
        <v>166.6</v>
      </c>
      <c r="AE316" s="1">
        <f>SUM(Table1[[#This Row],[Health]])</f>
        <v>172.6</v>
      </c>
      <c r="AF316" s="1">
        <f>SUM(Table1[[#This Row],[Recreation and amusement]],Table1[[#This Row],[Education]])/2</f>
        <v>167.5</v>
      </c>
      <c r="AG316" s="1">
        <f>SUM(Table1[[#This Row],[Miscellaneous]],Table1[[#This Row],[Personal care and effects]])/2</f>
        <v>168.4</v>
      </c>
    </row>
    <row r="317" spans="1:33" hidden="1" x14ac:dyDescent="0.3">
      <c r="A317" t="s">
        <v>33</v>
      </c>
      <c r="B317">
        <v>2021</v>
      </c>
      <c r="C317" t="s">
        <v>46</v>
      </c>
      <c r="D317">
        <v>142.5</v>
      </c>
      <c r="E317">
        <v>189.4</v>
      </c>
      <c r="F317">
        <v>163.19999999999999</v>
      </c>
      <c r="G317">
        <v>154.5</v>
      </c>
      <c r="H317">
        <v>168.2</v>
      </c>
      <c r="I317">
        <v>150.5</v>
      </c>
      <c r="J317">
        <v>141</v>
      </c>
      <c r="K317">
        <v>159.19999999999999</v>
      </c>
      <c r="L317">
        <v>111.7</v>
      </c>
      <c r="M317">
        <v>164</v>
      </c>
      <c r="N317">
        <v>160.6</v>
      </c>
      <c r="O317">
        <v>166.4</v>
      </c>
      <c r="P317">
        <v>154.5</v>
      </c>
      <c r="Q317">
        <f>AVERAGE(Q318:Q319)</f>
        <v>159.9</v>
      </c>
      <c r="R317">
        <v>156</v>
      </c>
      <c r="S317">
        <v>154.80000000000001</v>
      </c>
      <c r="T317">
        <v>164.6</v>
      </c>
      <c r="U317">
        <v>151.30000000000001</v>
      </c>
      <c r="V317">
        <v>157.80000000000001</v>
      </c>
      <c r="W317">
        <v>163.80000000000001</v>
      </c>
      <c r="X317">
        <v>153.1</v>
      </c>
      <c r="Y317">
        <v>157.30000000000001</v>
      </c>
      <c r="Z317">
        <v>156.69999999999999</v>
      </c>
      <c r="AA317" s="1">
        <f>SUM(Table1[[#This Row],[Cereals and products]:[Food and beverages]])/13</f>
        <v>155.82307692307694</v>
      </c>
      <c r="AB317" s="1">
        <f>SUM(Table1[[#This Row],[Fuel and light]])</f>
        <v>156</v>
      </c>
      <c r="AC317" s="1">
        <f>SUM(Table1[[#This Row],[Transport and communication]])</f>
        <v>151.30000000000001</v>
      </c>
      <c r="AD317" s="1">
        <f>SUM(Table1[[#This Row],[Housing]],Table1[[#This Row],[Household goods and services]])/2</f>
        <v>157.35000000000002</v>
      </c>
      <c r="AE317" s="1">
        <f>SUM(Table1[[#This Row],[Health]])</f>
        <v>164.6</v>
      </c>
      <c r="AF317" s="1">
        <f>SUM(Table1[[#This Row],[Recreation and amusement]],Table1[[#This Row],[Education]])/2</f>
        <v>160.80000000000001</v>
      </c>
      <c r="AG317" s="1">
        <f>SUM(Table1[[#This Row],[Miscellaneous]],Table1[[#This Row],[Personal care and effects]])/2</f>
        <v>155.19999999999999</v>
      </c>
    </row>
    <row r="318" spans="1:33" hidden="1" x14ac:dyDescent="0.3">
      <c r="A318" t="s">
        <v>35</v>
      </c>
      <c r="B318">
        <v>2021</v>
      </c>
      <c r="C318" t="s">
        <v>46</v>
      </c>
      <c r="D318">
        <v>144.1</v>
      </c>
      <c r="E318">
        <v>192.2</v>
      </c>
      <c r="F318">
        <v>163.80000000000001</v>
      </c>
      <c r="G318">
        <v>154.9</v>
      </c>
      <c r="H318">
        <v>163.9</v>
      </c>
      <c r="I318">
        <v>153.69999999999999</v>
      </c>
      <c r="J318">
        <v>149.5</v>
      </c>
      <c r="K318">
        <v>159.80000000000001</v>
      </c>
      <c r="L318">
        <v>112.6</v>
      </c>
      <c r="M318">
        <v>163.5</v>
      </c>
      <c r="N318">
        <v>156.5</v>
      </c>
      <c r="O318">
        <v>168.2</v>
      </c>
      <c r="P318">
        <v>156.69999999999999</v>
      </c>
      <c r="Q318">
        <v>159.9</v>
      </c>
      <c r="R318">
        <v>155.5</v>
      </c>
      <c r="S318">
        <v>151.19999999999999</v>
      </c>
      <c r="T318">
        <v>161.69999999999999</v>
      </c>
      <c r="U318">
        <v>146.19999999999999</v>
      </c>
      <c r="V318">
        <v>152.6</v>
      </c>
      <c r="W318">
        <v>160.19999999999999</v>
      </c>
      <c r="X318">
        <v>153.80000000000001</v>
      </c>
      <c r="Y318">
        <v>153.80000000000001</v>
      </c>
      <c r="Z318">
        <v>156.80000000000001</v>
      </c>
      <c r="AA318" s="1">
        <f>SUM(Table1[[#This Row],[Cereals and products]:[Food and beverages]])/13</f>
        <v>156.87692307692308</v>
      </c>
      <c r="AB318" s="1">
        <f>SUM(Table1[[#This Row],[Fuel and light]])</f>
        <v>155.5</v>
      </c>
      <c r="AC318" s="1">
        <f>SUM(Table1[[#This Row],[Transport and communication]])</f>
        <v>146.19999999999999</v>
      </c>
      <c r="AD318" s="1">
        <f>SUM(Table1[[#This Row],[Housing]],Table1[[#This Row],[Household goods and services]])/2</f>
        <v>155.55000000000001</v>
      </c>
      <c r="AE318" s="1">
        <f>SUM(Table1[[#This Row],[Health]])</f>
        <v>161.69999999999999</v>
      </c>
      <c r="AF318" s="1">
        <f>SUM(Table1[[#This Row],[Recreation and amusement]],Table1[[#This Row],[Education]])/2</f>
        <v>156.39999999999998</v>
      </c>
      <c r="AG318" s="1">
        <f>SUM(Table1[[#This Row],[Miscellaneous]],Table1[[#This Row],[Personal care and effects]])/2</f>
        <v>153.80000000000001</v>
      </c>
    </row>
    <row r="319" spans="1:33" hidden="1" x14ac:dyDescent="0.3">
      <c r="A319" t="s">
        <v>36</v>
      </c>
      <c r="B319">
        <v>2021</v>
      </c>
      <c r="C319" t="s">
        <v>46</v>
      </c>
      <c r="D319">
        <v>147.5</v>
      </c>
      <c r="E319">
        <v>197.5</v>
      </c>
      <c r="F319">
        <v>164.7</v>
      </c>
      <c r="G319">
        <v>155.6</v>
      </c>
      <c r="H319">
        <v>156.4</v>
      </c>
      <c r="I319">
        <v>157.30000000000001</v>
      </c>
      <c r="J319">
        <v>166.1</v>
      </c>
      <c r="K319">
        <v>161.1</v>
      </c>
      <c r="L319">
        <v>114.3</v>
      </c>
      <c r="M319">
        <v>162.6</v>
      </c>
      <c r="N319">
        <v>150.69999999999999</v>
      </c>
      <c r="O319">
        <v>170.3</v>
      </c>
      <c r="P319">
        <v>160.4</v>
      </c>
      <c r="Q319">
        <v>159.9</v>
      </c>
      <c r="R319">
        <v>154.80000000000001</v>
      </c>
      <c r="S319">
        <v>147.19999999999999</v>
      </c>
      <c r="T319">
        <v>156.9</v>
      </c>
      <c r="U319">
        <v>141.69999999999999</v>
      </c>
      <c r="V319">
        <v>148.6</v>
      </c>
      <c r="W319">
        <v>157.6</v>
      </c>
      <c r="X319">
        <v>154.9</v>
      </c>
      <c r="Y319">
        <v>150</v>
      </c>
      <c r="Z319">
        <v>156.9</v>
      </c>
      <c r="AA319" s="1">
        <f>SUM(Table1[[#This Row],[Cereals and products]:[Food and beverages]])/13</f>
        <v>158.80769230769226</v>
      </c>
      <c r="AB319" s="1">
        <f>SUM(Table1[[#This Row],[Fuel and light]])</f>
        <v>154.80000000000001</v>
      </c>
      <c r="AC319" s="1">
        <f>SUM(Table1[[#This Row],[Transport and communication]])</f>
        <v>141.69999999999999</v>
      </c>
      <c r="AD319" s="1">
        <f>SUM(Table1[[#This Row],[Housing]],Table1[[#This Row],[Household goods and services]])/2</f>
        <v>153.55000000000001</v>
      </c>
      <c r="AE319" s="1">
        <f>SUM(Table1[[#This Row],[Health]])</f>
        <v>156.9</v>
      </c>
      <c r="AF319" s="1">
        <f>SUM(Table1[[#This Row],[Recreation and amusement]],Table1[[#This Row],[Education]])/2</f>
        <v>153.1</v>
      </c>
      <c r="AG319" s="1">
        <f>SUM(Table1[[#This Row],[Miscellaneous]],Table1[[#This Row],[Personal care and effects]])/2</f>
        <v>152.44999999999999</v>
      </c>
    </row>
    <row r="320" spans="1:33" hidden="1" x14ac:dyDescent="0.3">
      <c r="A320" t="s">
        <v>33</v>
      </c>
      <c r="B320">
        <v>2021</v>
      </c>
      <c r="C320" t="s">
        <v>47</v>
      </c>
      <c r="D320">
        <v>145.1</v>
      </c>
      <c r="E320">
        <v>198.5</v>
      </c>
      <c r="F320">
        <v>168.6</v>
      </c>
      <c r="G320">
        <v>155.80000000000001</v>
      </c>
      <c r="H320">
        <v>184.4</v>
      </c>
      <c r="I320">
        <v>162.30000000000001</v>
      </c>
      <c r="J320">
        <v>138.4</v>
      </c>
      <c r="K320">
        <v>165.1</v>
      </c>
      <c r="L320">
        <v>114.3</v>
      </c>
      <c r="M320">
        <v>169.7</v>
      </c>
      <c r="N320">
        <v>164.6</v>
      </c>
      <c r="O320">
        <v>169.8</v>
      </c>
      <c r="P320">
        <v>158.69999999999999</v>
      </c>
      <c r="Q320">
        <v>150.1</v>
      </c>
      <c r="R320">
        <v>161.69999999999999</v>
      </c>
      <c r="S320">
        <v>158.80000000000001</v>
      </c>
      <c r="T320">
        <v>169.1</v>
      </c>
      <c r="U320">
        <v>153.19999999999999</v>
      </c>
      <c r="V320">
        <v>160</v>
      </c>
      <c r="W320">
        <v>167.6</v>
      </c>
      <c r="X320">
        <v>159.30000000000001</v>
      </c>
      <c r="Y320">
        <v>161.1</v>
      </c>
      <c r="Z320">
        <v>161.1</v>
      </c>
      <c r="AA320" s="1">
        <f>SUM(Table1[[#This Row],[Cereals and products]:[Food and beverages]])/13</f>
        <v>161.17692307692306</v>
      </c>
      <c r="AB320" s="1">
        <f>SUM(Table1[[#This Row],[Fuel and light]])</f>
        <v>161.69999999999999</v>
      </c>
      <c r="AC320" s="1">
        <f>SUM(Table1[[#This Row],[Transport and communication]])</f>
        <v>153.19999999999999</v>
      </c>
      <c r="AD320" s="1">
        <f>SUM(Table1[[#This Row],[Housing]],Table1[[#This Row],[Household goods and services]])/2</f>
        <v>154.44999999999999</v>
      </c>
      <c r="AE320" s="1">
        <f>SUM(Table1[[#This Row],[Health]])</f>
        <v>169.1</v>
      </c>
      <c r="AF320" s="1">
        <f>SUM(Table1[[#This Row],[Recreation and amusement]],Table1[[#This Row],[Education]])/2</f>
        <v>163.80000000000001</v>
      </c>
      <c r="AG320" s="1">
        <f>SUM(Table1[[#This Row],[Miscellaneous]],Table1[[#This Row],[Personal care and effects]])/2</f>
        <v>160.19999999999999</v>
      </c>
    </row>
    <row r="321" spans="1:33" hidden="1" x14ac:dyDescent="0.3">
      <c r="A321" t="s">
        <v>35</v>
      </c>
      <c r="B321">
        <v>2021</v>
      </c>
      <c r="C321" t="s">
        <v>47</v>
      </c>
      <c r="D321">
        <v>146.30000000000001</v>
      </c>
      <c r="E321">
        <v>200.5</v>
      </c>
      <c r="F321">
        <v>170.3</v>
      </c>
      <c r="G321">
        <v>156.1</v>
      </c>
      <c r="H321">
        <v>178.7</v>
      </c>
      <c r="I321">
        <v>167.1</v>
      </c>
      <c r="J321">
        <v>147.9</v>
      </c>
      <c r="K321">
        <v>165.4</v>
      </c>
      <c r="L321">
        <v>114.8</v>
      </c>
      <c r="M321">
        <v>168.2</v>
      </c>
      <c r="N321">
        <v>159.30000000000001</v>
      </c>
      <c r="O321">
        <v>170.4</v>
      </c>
      <c r="P321">
        <v>160.69999999999999</v>
      </c>
      <c r="Q321">
        <v>161.6</v>
      </c>
      <c r="R321">
        <v>159.4</v>
      </c>
      <c r="S321">
        <v>154.69999999999999</v>
      </c>
      <c r="T321">
        <v>165.8</v>
      </c>
      <c r="U321">
        <v>148.9</v>
      </c>
      <c r="V321">
        <v>155.80000000000001</v>
      </c>
      <c r="W321">
        <v>161.19999999999999</v>
      </c>
      <c r="X321">
        <v>158.6</v>
      </c>
      <c r="Y321">
        <v>156.80000000000001</v>
      </c>
      <c r="Z321">
        <v>160.4</v>
      </c>
      <c r="AA321" s="1">
        <f>SUM(Table1[[#This Row],[Cereals and products]:[Food and beverages]])/13</f>
        <v>161.9769230769231</v>
      </c>
      <c r="AB321" s="1">
        <f>SUM(Table1[[#This Row],[Fuel and light]])</f>
        <v>159.4</v>
      </c>
      <c r="AC321" s="1">
        <f>SUM(Table1[[#This Row],[Transport and communication]])</f>
        <v>148.9</v>
      </c>
      <c r="AD321" s="1">
        <f>SUM(Table1[[#This Row],[Housing]],Table1[[#This Row],[Household goods and services]])/2</f>
        <v>158.14999999999998</v>
      </c>
      <c r="AE321" s="1">
        <f>SUM(Table1[[#This Row],[Health]])</f>
        <v>165.8</v>
      </c>
      <c r="AF321" s="1">
        <f>SUM(Table1[[#This Row],[Recreation and amusement]],Table1[[#This Row],[Education]])/2</f>
        <v>158.5</v>
      </c>
      <c r="AG321" s="1">
        <f>SUM(Table1[[#This Row],[Miscellaneous]],Table1[[#This Row],[Personal care and effects]])/2</f>
        <v>157.69999999999999</v>
      </c>
    </row>
    <row r="322" spans="1:33" hidden="1" x14ac:dyDescent="0.3">
      <c r="A322" t="s">
        <v>36</v>
      </c>
      <c r="B322">
        <v>2021</v>
      </c>
      <c r="C322" t="s">
        <v>47</v>
      </c>
      <c r="D322">
        <v>148.80000000000001</v>
      </c>
      <c r="E322">
        <v>204.3</v>
      </c>
      <c r="F322">
        <v>173</v>
      </c>
      <c r="G322">
        <v>156.5</v>
      </c>
      <c r="H322">
        <v>168.8</v>
      </c>
      <c r="I322">
        <v>172.5</v>
      </c>
      <c r="J322">
        <v>166.5</v>
      </c>
      <c r="K322">
        <v>165.9</v>
      </c>
      <c r="L322">
        <v>115.9</v>
      </c>
      <c r="M322">
        <v>165.2</v>
      </c>
      <c r="N322">
        <v>152</v>
      </c>
      <c r="O322">
        <v>171.1</v>
      </c>
      <c r="P322">
        <v>164.2</v>
      </c>
      <c r="Q322">
        <v>161.6</v>
      </c>
      <c r="R322">
        <v>155.5</v>
      </c>
      <c r="S322">
        <v>150.1</v>
      </c>
      <c r="T322">
        <v>160.4</v>
      </c>
      <c r="U322">
        <v>145</v>
      </c>
      <c r="V322">
        <v>152.6</v>
      </c>
      <c r="W322">
        <v>156.6</v>
      </c>
      <c r="X322">
        <v>157.5</v>
      </c>
      <c r="Y322">
        <v>152.30000000000001</v>
      </c>
      <c r="Z322">
        <v>159.5</v>
      </c>
      <c r="AA322" s="1">
        <f>SUM(Table1[[#This Row],[Cereals and products]:[Food and beverages]])/13</f>
        <v>163.43846153846155</v>
      </c>
      <c r="AB322" s="1">
        <f>SUM(Table1[[#This Row],[Fuel and light]])</f>
        <v>155.5</v>
      </c>
      <c r="AC322" s="1">
        <f>SUM(Table1[[#This Row],[Transport and communication]])</f>
        <v>145</v>
      </c>
      <c r="AD322" s="1">
        <f>SUM(Table1[[#This Row],[Housing]],Table1[[#This Row],[Household goods and services]])/2</f>
        <v>155.85</v>
      </c>
      <c r="AE322" s="1">
        <f>SUM(Table1[[#This Row],[Health]])</f>
        <v>160.4</v>
      </c>
      <c r="AF322" s="1">
        <f>SUM(Table1[[#This Row],[Recreation and amusement]],Table1[[#This Row],[Education]])/2</f>
        <v>154.6</v>
      </c>
      <c r="AG322" s="1">
        <f>SUM(Table1[[#This Row],[Miscellaneous]],Table1[[#This Row],[Personal care and effects]])/2</f>
        <v>154.9</v>
      </c>
    </row>
    <row r="323" spans="1:33" hidden="1" x14ac:dyDescent="0.3">
      <c r="A323" t="s">
        <v>33</v>
      </c>
      <c r="B323">
        <v>2021</v>
      </c>
      <c r="C323" t="s">
        <v>45</v>
      </c>
      <c r="D323">
        <v>146.9</v>
      </c>
      <c r="E323">
        <v>199.8</v>
      </c>
      <c r="F323">
        <v>171.5</v>
      </c>
      <c r="G323">
        <v>159.1</v>
      </c>
      <c r="H323">
        <v>198.4</v>
      </c>
      <c r="I323">
        <v>153.19999999999999</v>
      </c>
      <c r="J323">
        <v>183.9</v>
      </c>
      <c r="K323">
        <v>165.4</v>
      </c>
      <c r="L323">
        <v>122.1</v>
      </c>
      <c r="M323">
        <v>170.8</v>
      </c>
      <c r="N323">
        <v>169.1</v>
      </c>
      <c r="O323">
        <v>174.3</v>
      </c>
      <c r="P323">
        <v>167.5</v>
      </c>
      <c r="Q323">
        <v>158</v>
      </c>
      <c r="R323">
        <v>165.3</v>
      </c>
      <c r="S323">
        <v>162.9</v>
      </c>
      <c r="T323">
        <v>173.4</v>
      </c>
      <c r="U323">
        <v>158.9</v>
      </c>
      <c r="V323">
        <v>163.80000000000001</v>
      </c>
      <c r="W323">
        <v>169.3</v>
      </c>
      <c r="X323">
        <v>162.4</v>
      </c>
      <c r="Y323">
        <v>165.2</v>
      </c>
      <c r="Z323">
        <v>167.6</v>
      </c>
      <c r="AA323" s="1">
        <f>SUM(Table1[[#This Row],[Cereals and products]:[Food and beverages]])/13</f>
        <v>167.84615384615384</v>
      </c>
      <c r="AB323" s="1">
        <f>SUM(Table1[[#This Row],[Fuel and light]])</f>
        <v>165.3</v>
      </c>
      <c r="AC323" s="1">
        <f>SUM(Table1[[#This Row],[Transport and communication]])</f>
        <v>158.9</v>
      </c>
      <c r="AD323" s="1">
        <f>SUM(Table1[[#This Row],[Housing]],Table1[[#This Row],[Household goods and services]])/2</f>
        <v>160.44999999999999</v>
      </c>
      <c r="AE323" s="1">
        <f>SUM(Table1[[#This Row],[Health]])</f>
        <v>173.4</v>
      </c>
      <c r="AF323" s="1">
        <f>SUM(Table1[[#This Row],[Recreation and amusement]],Table1[[#This Row],[Education]])/2</f>
        <v>166.55</v>
      </c>
      <c r="AG323" s="1">
        <f>SUM(Table1[[#This Row],[Miscellaneous]],Table1[[#This Row],[Personal care and effects]])/2</f>
        <v>163.80000000000001</v>
      </c>
    </row>
    <row r="324" spans="1:33" hidden="1" x14ac:dyDescent="0.3">
      <c r="A324" t="s">
        <v>35</v>
      </c>
      <c r="B324">
        <v>2021</v>
      </c>
      <c r="C324" t="s">
        <v>45</v>
      </c>
      <c r="D324">
        <v>148.19999999999999</v>
      </c>
      <c r="E324">
        <v>201.6</v>
      </c>
      <c r="F324">
        <v>173</v>
      </c>
      <c r="G324">
        <v>159.30000000000001</v>
      </c>
      <c r="H324">
        <v>190.1</v>
      </c>
      <c r="I324">
        <v>156.5</v>
      </c>
      <c r="J324">
        <v>199.2</v>
      </c>
      <c r="K324">
        <v>165.3</v>
      </c>
      <c r="L324">
        <v>122.4</v>
      </c>
      <c r="M324">
        <v>169.6</v>
      </c>
      <c r="N324">
        <v>163.69999999999999</v>
      </c>
      <c r="O324">
        <v>175.5</v>
      </c>
      <c r="P324">
        <v>169.7</v>
      </c>
      <c r="Q324">
        <v>164.2</v>
      </c>
      <c r="R324">
        <v>163.9</v>
      </c>
      <c r="S324">
        <v>159.30000000000001</v>
      </c>
      <c r="T324">
        <v>169.9</v>
      </c>
      <c r="U324">
        <v>154.80000000000001</v>
      </c>
      <c r="V324">
        <v>159.80000000000001</v>
      </c>
      <c r="W324">
        <v>164.3</v>
      </c>
      <c r="X324">
        <v>162.19999999999999</v>
      </c>
      <c r="Y324">
        <v>161.4</v>
      </c>
      <c r="Z324">
        <v>166.7</v>
      </c>
      <c r="AA324" s="1">
        <f>SUM(Table1[[#This Row],[Cereals and products]:[Food and beverages]])/13</f>
        <v>168.77692307692308</v>
      </c>
      <c r="AB324" s="1">
        <f>SUM(Table1[[#This Row],[Fuel and light]])</f>
        <v>163.9</v>
      </c>
      <c r="AC324" s="1">
        <f>SUM(Table1[[#This Row],[Transport and communication]])</f>
        <v>154.80000000000001</v>
      </c>
      <c r="AD324" s="1">
        <f>SUM(Table1[[#This Row],[Housing]],Table1[[#This Row],[Household goods and services]])/2</f>
        <v>161.75</v>
      </c>
      <c r="AE324" s="1">
        <f>SUM(Table1[[#This Row],[Health]])</f>
        <v>169.9</v>
      </c>
      <c r="AF324" s="1">
        <f>SUM(Table1[[#This Row],[Recreation and amusement]],Table1[[#This Row],[Education]])/2</f>
        <v>162.05000000000001</v>
      </c>
      <c r="AG324" s="1">
        <f>SUM(Table1[[#This Row],[Miscellaneous]],Table1[[#This Row],[Personal care and effects]])/2</f>
        <v>161.80000000000001</v>
      </c>
    </row>
    <row r="325" spans="1:33" hidden="1" x14ac:dyDescent="0.3">
      <c r="A325" t="s">
        <v>36</v>
      </c>
      <c r="B325">
        <v>2021</v>
      </c>
      <c r="C325" t="s">
        <v>45</v>
      </c>
      <c r="D325">
        <v>151</v>
      </c>
      <c r="E325">
        <v>204.9</v>
      </c>
      <c r="F325">
        <v>175.4</v>
      </c>
      <c r="G325">
        <v>159.6</v>
      </c>
      <c r="H325">
        <v>175.8</v>
      </c>
      <c r="I325">
        <v>160.30000000000001</v>
      </c>
      <c r="J325">
        <v>229.1</v>
      </c>
      <c r="K325">
        <v>165.1</v>
      </c>
      <c r="L325">
        <v>123.1</v>
      </c>
      <c r="M325">
        <v>167.2</v>
      </c>
      <c r="N325">
        <v>156.1</v>
      </c>
      <c r="O325">
        <v>176.8</v>
      </c>
      <c r="P325">
        <v>173.5</v>
      </c>
      <c r="Q325">
        <v>164.2</v>
      </c>
      <c r="R325">
        <v>161.6</v>
      </c>
      <c r="S325">
        <v>155.19999999999999</v>
      </c>
      <c r="T325">
        <v>164.2</v>
      </c>
      <c r="U325">
        <v>151.19999999999999</v>
      </c>
      <c r="V325">
        <v>156.69999999999999</v>
      </c>
      <c r="W325">
        <v>160.80000000000001</v>
      </c>
      <c r="X325">
        <v>161.80000000000001</v>
      </c>
      <c r="Y325">
        <v>157.30000000000001</v>
      </c>
      <c r="Z325">
        <v>165.6</v>
      </c>
      <c r="AA325" s="1">
        <f>SUM(Table1[[#This Row],[Cereals and products]:[Food and beverages]])/13</f>
        <v>170.60769230769228</v>
      </c>
      <c r="AB325" s="1">
        <f>SUM(Table1[[#This Row],[Fuel and light]])</f>
        <v>161.6</v>
      </c>
      <c r="AC325" s="1">
        <f>SUM(Table1[[#This Row],[Transport and communication]])</f>
        <v>151.19999999999999</v>
      </c>
      <c r="AD325" s="1">
        <f>SUM(Table1[[#This Row],[Housing]],Table1[[#This Row],[Household goods and services]])/2</f>
        <v>159.69999999999999</v>
      </c>
      <c r="AE325" s="1">
        <f>SUM(Table1[[#This Row],[Health]])</f>
        <v>164.2</v>
      </c>
      <c r="AF325" s="1">
        <f>SUM(Table1[[#This Row],[Recreation and amusement]],Table1[[#This Row],[Education]])/2</f>
        <v>158.75</v>
      </c>
      <c r="AG325" s="1">
        <f>SUM(Table1[[#This Row],[Miscellaneous]],Table1[[#This Row],[Personal care and effects]])/2</f>
        <v>159.55000000000001</v>
      </c>
    </row>
    <row r="326" spans="1:33" hidden="1" x14ac:dyDescent="0.3">
      <c r="A326" t="s">
        <v>36</v>
      </c>
      <c r="B326">
        <v>2018</v>
      </c>
      <c r="C326" t="s">
        <v>37</v>
      </c>
      <c r="D326">
        <v>136.5</v>
      </c>
      <c r="E326">
        <v>146.4</v>
      </c>
      <c r="F326">
        <v>136.6</v>
      </c>
      <c r="G326">
        <v>141.19999999999999</v>
      </c>
      <c r="H326">
        <v>117.4</v>
      </c>
      <c r="I326">
        <v>146.30000000000001</v>
      </c>
      <c r="J326">
        <v>157.30000000000001</v>
      </c>
      <c r="K326">
        <v>113.6</v>
      </c>
      <c r="L326">
        <v>113.3</v>
      </c>
      <c r="M326">
        <v>141.1</v>
      </c>
      <c r="N326">
        <v>127.4</v>
      </c>
      <c r="O326">
        <v>150.4</v>
      </c>
      <c r="P326">
        <v>140.1</v>
      </c>
      <c r="Q326">
        <v>144.6</v>
      </c>
      <c r="R326">
        <v>129.80000000000001</v>
      </c>
      <c r="S326">
        <v>134.4</v>
      </c>
      <c r="T326">
        <v>134.9</v>
      </c>
      <c r="U326">
        <v>120.7</v>
      </c>
      <c r="V326">
        <v>129.80000000000001</v>
      </c>
      <c r="W326">
        <v>145.30000000000001</v>
      </c>
      <c r="X326">
        <v>128.30000000000001</v>
      </c>
      <c r="Y326">
        <v>131</v>
      </c>
      <c r="Z326">
        <v>138</v>
      </c>
      <c r="AA326" s="1">
        <f>SUM(Table1[[#This Row],[Cereals and products]:[Food and beverages]])/13</f>
        <v>135.96923076923076</v>
      </c>
      <c r="AB326" s="1">
        <f>SUM(Table1[[#This Row],[Fuel and light]])</f>
        <v>129.80000000000001</v>
      </c>
      <c r="AC326" s="1">
        <f>SUM(Table1[[#This Row],[Transport and communication]])</f>
        <v>120.7</v>
      </c>
      <c r="AD326" s="1">
        <f>SUM(Table1[[#This Row],[Housing]],Table1[[#This Row],[Household goods and services]])/2</f>
        <v>139.5</v>
      </c>
      <c r="AE326" s="1">
        <f>SUM(Table1[[#This Row],[Health]])</f>
        <v>134.9</v>
      </c>
      <c r="AF326" s="1">
        <f>SUM(Table1[[#This Row],[Recreation and amusement]],Table1[[#This Row],[Education]])/2</f>
        <v>137.55000000000001</v>
      </c>
      <c r="AG326" s="1">
        <f>SUM(Table1[[#This Row],[Miscellaneous]],Table1[[#This Row],[Personal care and effects]])/2</f>
        <v>129.65</v>
      </c>
    </row>
    <row r="327" spans="1:33" hidden="1" x14ac:dyDescent="0.3">
      <c r="A327" t="s">
        <v>35</v>
      </c>
      <c r="B327">
        <v>2018</v>
      </c>
      <c r="C327" t="s">
        <v>37</v>
      </c>
      <c r="D327">
        <v>138.30000000000001</v>
      </c>
      <c r="E327">
        <v>148</v>
      </c>
      <c r="F327">
        <v>138.1</v>
      </c>
      <c r="G327">
        <v>142.6</v>
      </c>
      <c r="H327">
        <v>122.2</v>
      </c>
      <c r="I327">
        <v>150.6</v>
      </c>
      <c r="J327">
        <v>156.6</v>
      </c>
      <c r="K327">
        <v>122.4</v>
      </c>
      <c r="L327">
        <v>114.7</v>
      </c>
      <c r="M327">
        <v>139.4</v>
      </c>
      <c r="N327">
        <v>131.1</v>
      </c>
      <c r="O327">
        <v>153</v>
      </c>
      <c r="P327">
        <v>141.69999999999999</v>
      </c>
      <c r="Q327">
        <v>144.6</v>
      </c>
      <c r="R327">
        <v>140.9</v>
      </c>
      <c r="S327">
        <v>139.4</v>
      </c>
      <c r="T327">
        <v>137.69999999999999</v>
      </c>
      <c r="U327">
        <v>124.3</v>
      </c>
      <c r="V327">
        <v>133.6</v>
      </c>
      <c r="W327">
        <v>146</v>
      </c>
      <c r="X327">
        <v>130.1</v>
      </c>
      <c r="Y327">
        <v>133.9</v>
      </c>
      <c r="Z327">
        <v>140.4</v>
      </c>
      <c r="AA327" s="1">
        <f>SUM(Table1[[#This Row],[Cereals and products]:[Food and beverages]])/13</f>
        <v>138.36153846153849</v>
      </c>
      <c r="AB327" s="1">
        <f>SUM(Table1[[#This Row],[Fuel and light]])</f>
        <v>140.9</v>
      </c>
      <c r="AC327" s="1">
        <f>SUM(Table1[[#This Row],[Transport and communication]])</f>
        <v>124.3</v>
      </c>
      <c r="AD327" s="1">
        <f>SUM(Table1[[#This Row],[Housing]],Table1[[#This Row],[Household goods and services]])/2</f>
        <v>142</v>
      </c>
      <c r="AE327" s="1">
        <f>SUM(Table1[[#This Row],[Health]])</f>
        <v>137.69999999999999</v>
      </c>
      <c r="AF327" s="1">
        <f>SUM(Table1[[#This Row],[Recreation and amusement]],Table1[[#This Row],[Education]])/2</f>
        <v>139.80000000000001</v>
      </c>
      <c r="AG327" s="1">
        <f>SUM(Table1[[#This Row],[Miscellaneous]],Table1[[#This Row],[Personal care and effects]])/2</f>
        <v>132</v>
      </c>
    </row>
    <row r="328" spans="1:33" hidden="1" x14ac:dyDescent="0.3">
      <c r="A328" t="s">
        <v>33</v>
      </c>
      <c r="B328">
        <v>2018</v>
      </c>
      <c r="C328" t="s">
        <v>37</v>
      </c>
      <c r="D328">
        <v>139.19999999999999</v>
      </c>
      <c r="E328">
        <v>148.80000000000001</v>
      </c>
      <c r="F328">
        <v>139.1</v>
      </c>
      <c r="G328">
        <v>143.5</v>
      </c>
      <c r="H328">
        <v>125</v>
      </c>
      <c r="I328">
        <v>154.4</v>
      </c>
      <c r="J328">
        <v>156.30000000000001</v>
      </c>
      <c r="K328">
        <v>126.8</v>
      </c>
      <c r="L328">
        <v>115.4</v>
      </c>
      <c r="M328">
        <v>138.6</v>
      </c>
      <c r="N328">
        <v>133.80000000000001</v>
      </c>
      <c r="O328">
        <v>155.19999999999999</v>
      </c>
      <c r="P328">
        <v>142.69999999999999</v>
      </c>
      <c r="Q328">
        <f>AVERAGE(Q326:Q327)</f>
        <v>144.6</v>
      </c>
      <c r="R328">
        <v>147.69999999999999</v>
      </c>
      <c r="S328">
        <v>143.80000000000001</v>
      </c>
      <c r="T328">
        <v>139.4</v>
      </c>
      <c r="U328">
        <v>128.30000000000001</v>
      </c>
      <c r="V328">
        <v>138.6</v>
      </c>
      <c r="W328">
        <v>146.9</v>
      </c>
      <c r="X328">
        <v>131.30000000000001</v>
      </c>
      <c r="Y328">
        <v>136.6</v>
      </c>
      <c r="Z328">
        <v>142.5</v>
      </c>
      <c r="AA328" s="1">
        <f>SUM(Table1[[#This Row],[Cereals and products]:[Food and beverages]])/13</f>
        <v>139.90769230769232</v>
      </c>
      <c r="AB328" s="1">
        <f>SUM(Table1[[#This Row],[Fuel and light]])</f>
        <v>147.69999999999999</v>
      </c>
      <c r="AC328" s="1">
        <f>SUM(Table1[[#This Row],[Transport and communication]])</f>
        <v>128.30000000000001</v>
      </c>
      <c r="AD328" s="1">
        <f>SUM(Table1[[#This Row],[Housing]],Table1[[#This Row],[Household goods and services]])/2</f>
        <v>144.19999999999999</v>
      </c>
      <c r="AE328" s="1">
        <f>SUM(Table1[[#This Row],[Health]])</f>
        <v>139.4</v>
      </c>
      <c r="AF328" s="1">
        <f>SUM(Table1[[#This Row],[Recreation and amusement]],Table1[[#This Row],[Education]])/2</f>
        <v>142.75</v>
      </c>
      <c r="AG328" s="1">
        <f>SUM(Table1[[#This Row],[Miscellaneous]],Table1[[#This Row],[Personal care and effects]])/2</f>
        <v>133.94999999999999</v>
      </c>
    </row>
    <row r="329" spans="1:33" hidden="1" x14ac:dyDescent="0.3">
      <c r="A329" t="s">
        <v>36</v>
      </c>
      <c r="B329">
        <v>2017</v>
      </c>
      <c r="C329" t="s">
        <v>37</v>
      </c>
      <c r="D329">
        <v>133.19999999999999</v>
      </c>
      <c r="E329">
        <v>143.9</v>
      </c>
      <c r="F329">
        <v>128.30000000000001</v>
      </c>
      <c r="G329">
        <v>138.30000000000001</v>
      </c>
      <c r="H329">
        <v>114.1</v>
      </c>
      <c r="I329">
        <v>142.69999999999999</v>
      </c>
      <c r="J329">
        <v>179.8</v>
      </c>
      <c r="K329">
        <v>123.5</v>
      </c>
      <c r="L329">
        <v>122.1</v>
      </c>
      <c r="M329">
        <v>137.5</v>
      </c>
      <c r="N329">
        <v>124.6</v>
      </c>
      <c r="O329">
        <v>144.5</v>
      </c>
      <c r="P329">
        <v>140.5</v>
      </c>
      <c r="Q329">
        <v>134.4</v>
      </c>
      <c r="R329">
        <v>118.9</v>
      </c>
      <c r="S329">
        <v>127.7</v>
      </c>
      <c r="T329">
        <v>125.7</v>
      </c>
      <c r="U329">
        <v>114.6</v>
      </c>
      <c r="V329">
        <v>124.1</v>
      </c>
      <c r="W329">
        <v>135.69999999999999</v>
      </c>
      <c r="X329">
        <v>123.3</v>
      </c>
      <c r="Y329">
        <v>123.8</v>
      </c>
      <c r="Z329">
        <v>132.69999999999999</v>
      </c>
      <c r="AA329" s="1">
        <f>SUM(Table1[[#This Row],[Cereals and products]:[Food and beverages]])/13</f>
        <v>136.38461538461536</v>
      </c>
      <c r="AB329" s="1">
        <f>SUM(Table1[[#This Row],[Fuel and light]])</f>
        <v>118.9</v>
      </c>
      <c r="AC329" s="1">
        <f>SUM(Table1[[#This Row],[Transport and communication]])</f>
        <v>114.6</v>
      </c>
      <c r="AD329" s="1">
        <f>SUM(Table1[[#This Row],[Housing]],Table1[[#This Row],[Household goods and services]])/2</f>
        <v>131.05000000000001</v>
      </c>
      <c r="AE329" s="1">
        <f>SUM(Table1[[#This Row],[Health]])</f>
        <v>125.7</v>
      </c>
      <c r="AF329" s="1">
        <f>SUM(Table1[[#This Row],[Recreation and amusement]],Table1[[#This Row],[Education]])/2</f>
        <v>129.89999999999998</v>
      </c>
      <c r="AG329" s="1">
        <f>SUM(Table1[[#This Row],[Miscellaneous]],Table1[[#This Row],[Personal care and effects]])/2</f>
        <v>123.55</v>
      </c>
    </row>
    <row r="330" spans="1:33" hidden="1" x14ac:dyDescent="0.3">
      <c r="A330" t="s">
        <v>35</v>
      </c>
      <c r="B330">
        <v>2017</v>
      </c>
      <c r="C330" t="s">
        <v>37</v>
      </c>
      <c r="D330">
        <v>134.30000000000001</v>
      </c>
      <c r="E330">
        <v>143.4</v>
      </c>
      <c r="F330">
        <v>129.30000000000001</v>
      </c>
      <c r="G330">
        <v>139</v>
      </c>
      <c r="H330">
        <v>118.1</v>
      </c>
      <c r="I330">
        <v>145.5</v>
      </c>
      <c r="J330">
        <v>168.6</v>
      </c>
      <c r="K330">
        <v>132.69999999999999</v>
      </c>
      <c r="L330">
        <v>121.2</v>
      </c>
      <c r="M330">
        <v>135.6</v>
      </c>
      <c r="N330">
        <v>128.69999999999999</v>
      </c>
      <c r="O330">
        <v>146.80000000000001</v>
      </c>
      <c r="P330">
        <v>140.6</v>
      </c>
      <c r="Q330">
        <v>134.4</v>
      </c>
      <c r="R330">
        <v>129.80000000000001</v>
      </c>
      <c r="S330">
        <v>132.80000000000001</v>
      </c>
      <c r="T330">
        <v>130.19999999999999</v>
      </c>
      <c r="U330">
        <v>117.3</v>
      </c>
      <c r="V330">
        <v>127.3</v>
      </c>
      <c r="W330">
        <v>137.6</v>
      </c>
      <c r="X330">
        <v>124.5</v>
      </c>
      <c r="Y330">
        <v>126.8</v>
      </c>
      <c r="Z330">
        <v>135.4</v>
      </c>
      <c r="AA330" s="1">
        <f>SUM(Table1[[#This Row],[Cereals and products]:[Food and beverages]])/13</f>
        <v>137.21538461538461</v>
      </c>
      <c r="AB330" s="1">
        <f>SUM(Table1[[#This Row],[Fuel and light]])</f>
        <v>129.80000000000001</v>
      </c>
      <c r="AC330" s="1">
        <f>SUM(Table1[[#This Row],[Transport and communication]])</f>
        <v>117.3</v>
      </c>
      <c r="AD330" s="1">
        <f>SUM(Table1[[#This Row],[Housing]],Table1[[#This Row],[Household goods and services]])/2</f>
        <v>133.60000000000002</v>
      </c>
      <c r="AE330" s="1">
        <f>SUM(Table1[[#This Row],[Health]])</f>
        <v>130.19999999999999</v>
      </c>
      <c r="AF330" s="1">
        <f>SUM(Table1[[#This Row],[Recreation and amusement]],Table1[[#This Row],[Education]])/2</f>
        <v>132.44999999999999</v>
      </c>
      <c r="AG330" s="1">
        <f>SUM(Table1[[#This Row],[Miscellaneous]],Table1[[#This Row],[Personal care and effects]])/2</f>
        <v>125.65</v>
      </c>
    </row>
    <row r="331" spans="1:33" hidden="1" x14ac:dyDescent="0.3">
      <c r="A331" t="s">
        <v>33</v>
      </c>
      <c r="B331">
        <v>2017</v>
      </c>
      <c r="C331" t="s">
        <v>37</v>
      </c>
      <c r="D331">
        <v>134.80000000000001</v>
      </c>
      <c r="E331">
        <v>143.1</v>
      </c>
      <c r="F331">
        <v>130</v>
      </c>
      <c r="G331">
        <v>139.4</v>
      </c>
      <c r="H331">
        <v>120.5</v>
      </c>
      <c r="I331">
        <v>148</v>
      </c>
      <c r="J331">
        <v>162.9</v>
      </c>
      <c r="K331">
        <v>137.4</v>
      </c>
      <c r="L331">
        <v>120.8</v>
      </c>
      <c r="M331">
        <v>134.69999999999999</v>
      </c>
      <c r="N331">
        <v>131.6</v>
      </c>
      <c r="O331">
        <v>148.69999999999999</v>
      </c>
      <c r="P331">
        <v>140.6</v>
      </c>
      <c r="Q331">
        <f>AVERAGE(Q329:Q330)</f>
        <v>134.4</v>
      </c>
      <c r="R331">
        <v>136.4</v>
      </c>
      <c r="S331">
        <v>137.30000000000001</v>
      </c>
      <c r="T331">
        <v>133</v>
      </c>
      <c r="U331">
        <v>120.3</v>
      </c>
      <c r="V331">
        <v>131.5</v>
      </c>
      <c r="W331">
        <v>140.19999999999999</v>
      </c>
      <c r="X331">
        <v>125.4</v>
      </c>
      <c r="Y331">
        <v>129.69999999999999</v>
      </c>
      <c r="Z331">
        <v>137.80000000000001</v>
      </c>
      <c r="AA331" s="1">
        <f>SUM(Table1[[#This Row],[Cereals and products]:[Food and beverages]])/13</f>
        <v>137.88461538461536</v>
      </c>
      <c r="AB331" s="1">
        <f>SUM(Table1[[#This Row],[Fuel and light]])</f>
        <v>136.4</v>
      </c>
      <c r="AC331" s="1">
        <f>SUM(Table1[[#This Row],[Transport and communication]])</f>
        <v>120.3</v>
      </c>
      <c r="AD331" s="1">
        <f>SUM(Table1[[#This Row],[Housing]],Table1[[#This Row],[Household goods and services]])/2</f>
        <v>135.85000000000002</v>
      </c>
      <c r="AE331" s="1">
        <f>SUM(Table1[[#This Row],[Health]])</f>
        <v>133</v>
      </c>
      <c r="AF331" s="1">
        <f>SUM(Table1[[#This Row],[Recreation and amusement]],Table1[[#This Row],[Education]])/2</f>
        <v>135.85</v>
      </c>
      <c r="AG331" s="1">
        <f>SUM(Table1[[#This Row],[Miscellaneous]],Table1[[#This Row],[Personal care and effects]])/2</f>
        <v>127.55</v>
      </c>
    </row>
    <row r="332" spans="1:33" hidden="1" x14ac:dyDescent="0.3">
      <c r="A332" t="s">
        <v>36</v>
      </c>
      <c r="B332">
        <v>2016</v>
      </c>
      <c r="C332" t="s">
        <v>37</v>
      </c>
      <c r="D332">
        <v>127.6</v>
      </c>
      <c r="E332">
        <v>140.30000000000001</v>
      </c>
      <c r="F332">
        <v>133.69999999999999</v>
      </c>
      <c r="G332">
        <v>132.19999999999999</v>
      </c>
      <c r="H332">
        <v>111.8</v>
      </c>
      <c r="I332">
        <v>135.80000000000001</v>
      </c>
      <c r="J332">
        <v>163.5</v>
      </c>
      <c r="K332">
        <v>182.3</v>
      </c>
      <c r="L332">
        <v>114.6</v>
      </c>
      <c r="M332">
        <v>144.6</v>
      </c>
      <c r="N332">
        <v>121.9</v>
      </c>
      <c r="O332">
        <v>138.1</v>
      </c>
      <c r="P332">
        <v>137.6</v>
      </c>
      <c r="Q332">
        <v>127.3</v>
      </c>
      <c r="R332">
        <v>114.7</v>
      </c>
      <c r="S332">
        <v>123.9</v>
      </c>
      <c r="T332">
        <v>121.2</v>
      </c>
      <c r="U332">
        <v>110.4</v>
      </c>
      <c r="V332">
        <v>120.6</v>
      </c>
      <c r="W332">
        <v>131.5</v>
      </c>
      <c r="X332">
        <v>120.9</v>
      </c>
      <c r="Y332">
        <v>119.9</v>
      </c>
      <c r="Z332">
        <v>128.4</v>
      </c>
      <c r="AA332" s="1">
        <f>SUM(Table1[[#This Row],[Cereals and products]:[Food and beverages]])/13</f>
        <v>137.2307692307692</v>
      </c>
      <c r="AB332" s="1">
        <f>SUM(Table1[[#This Row],[Fuel and light]])</f>
        <v>114.7</v>
      </c>
      <c r="AC332" s="1">
        <f>SUM(Table1[[#This Row],[Transport and communication]])</f>
        <v>110.4</v>
      </c>
      <c r="AD332" s="1">
        <f>SUM(Table1[[#This Row],[Housing]],Table1[[#This Row],[Household goods and services]])/2</f>
        <v>125.6</v>
      </c>
      <c r="AE332" s="1">
        <f>SUM(Table1[[#This Row],[Health]])</f>
        <v>121.2</v>
      </c>
      <c r="AF332" s="1">
        <f>SUM(Table1[[#This Row],[Recreation and amusement]],Table1[[#This Row],[Education]])/2</f>
        <v>126.05</v>
      </c>
      <c r="AG332" s="1">
        <f>SUM(Table1[[#This Row],[Miscellaneous]],Table1[[#This Row],[Personal care and effects]])/2</f>
        <v>120.4</v>
      </c>
    </row>
    <row r="333" spans="1:33" hidden="1" x14ac:dyDescent="0.3">
      <c r="A333" t="s">
        <v>35</v>
      </c>
      <c r="B333">
        <v>2016</v>
      </c>
      <c r="C333" t="s">
        <v>37</v>
      </c>
      <c r="D333">
        <v>129.30000000000001</v>
      </c>
      <c r="E333">
        <v>139.30000000000001</v>
      </c>
      <c r="F333">
        <v>131.6</v>
      </c>
      <c r="G333">
        <v>134.1</v>
      </c>
      <c r="H333">
        <v>116.9</v>
      </c>
      <c r="I333">
        <v>138.1</v>
      </c>
      <c r="J333">
        <v>159.1</v>
      </c>
      <c r="K333">
        <v>175.6</v>
      </c>
      <c r="L333">
        <v>112.9</v>
      </c>
      <c r="M333">
        <v>138.1</v>
      </c>
      <c r="N333">
        <v>125.5</v>
      </c>
      <c r="O333">
        <v>139.5</v>
      </c>
      <c r="P333">
        <v>137.9</v>
      </c>
      <c r="Q333">
        <v>127.3</v>
      </c>
      <c r="R333">
        <v>123.6</v>
      </c>
      <c r="S333">
        <v>127.4</v>
      </c>
      <c r="T333">
        <v>124.8</v>
      </c>
      <c r="U333">
        <v>113.1</v>
      </c>
      <c r="V333">
        <v>122.7</v>
      </c>
      <c r="W333">
        <v>131.69999999999999</v>
      </c>
      <c r="X333">
        <v>121.5</v>
      </c>
      <c r="Y333">
        <v>122.1</v>
      </c>
      <c r="Z333">
        <v>131.1</v>
      </c>
      <c r="AA333" s="1">
        <f>SUM(Table1[[#This Row],[Cereals and products]:[Food and beverages]])/13</f>
        <v>136.76153846153846</v>
      </c>
      <c r="AB333" s="1">
        <f>SUM(Table1[[#This Row],[Fuel and light]])</f>
        <v>123.6</v>
      </c>
      <c r="AC333" s="1">
        <f>SUM(Table1[[#This Row],[Transport and communication]])</f>
        <v>113.1</v>
      </c>
      <c r="AD333" s="1">
        <f>SUM(Table1[[#This Row],[Housing]],Table1[[#This Row],[Household goods and services]])/2</f>
        <v>127.35</v>
      </c>
      <c r="AE333" s="1">
        <f>SUM(Table1[[#This Row],[Health]])</f>
        <v>124.8</v>
      </c>
      <c r="AF333" s="1">
        <f>SUM(Table1[[#This Row],[Recreation and amusement]],Table1[[#This Row],[Education]])/2</f>
        <v>127.19999999999999</v>
      </c>
      <c r="AG333" s="1">
        <f>SUM(Table1[[#This Row],[Miscellaneous]],Table1[[#This Row],[Personal care and effects]])/2</f>
        <v>121.8</v>
      </c>
    </row>
    <row r="334" spans="1:33" hidden="1" x14ac:dyDescent="0.3">
      <c r="A334" t="s">
        <v>33</v>
      </c>
      <c r="B334">
        <v>2016</v>
      </c>
      <c r="C334" t="s">
        <v>37</v>
      </c>
      <c r="D334">
        <v>130.1</v>
      </c>
      <c r="E334">
        <v>138.80000000000001</v>
      </c>
      <c r="F334">
        <v>130.30000000000001</v>
      </c>
      <c r="G334">
        <v>135.30000000000001</v>
      </c>
      <c r="H334">
        <v>119.9</v>
      </c>
      <c r="I334">
        <v>140.19999999999999</v>
      </c>
      <c r="J334">
        <v>156.9</v>
      </c>
      <c r="K334">
        <v>172.2</v>
      </c>
      <c r="L334">
        <v>112.1</v>
      </c>
      <c r="M334">
        <v>134.9</v>
      </c>
      <c r="N334">
        <v>128.1</v>
      </c>
      <c r="O334">
        <v>140.69999999999999</v>
      </c>
      <c r="P334">
        <v>138</v>
      </c>
      <c r="Q334">
        <f>AVERAGE(Q332:Q333)</f>
        <v>127.3</v>
      </c>
      <c r="R334">
        <v>129.1</v>
      </c>
      <c r="S334">
        <v>130.6</v>
      </c>
      <c r="T334">
        <v>127</v>
      </c>
      <c r="U334">
        <v>116</v>
      </c>
      <c r="V334">
        <v>125.5</v>
      </c>
      <c r="W334">
        <v>131.9</v>
      </c>
      <c r="X334">
        <v>122</v>
      </c>
      <c r="Y334">
        <v>124.2</v>
      </c>
      <c r="Z334">
        <v>133.5</v>
      </c>
      <c r="AA334" s="1">
        <f>SUM(Table1[[#This Row],[Cereals and products]:[Food and beverages]])/13</f>
        <v>136.73076923076923</v>
      </c>
      <c r="AB334" s="1">
        <f>SUM(Table1[[#This Row],[Fuel and light]])</f>
        <v>129.1</v>
      </c>
      <c r="AC334" s="1">
        <f>SUM(Table1[[#This Row],[Transport and communication]])</f>
        <v>116</v>
      </c>
      <c r="AD334" s="1">
        <f>SUM(Table1[[#This Row],[Housing]],Table1[[#This Row],[Household goods and services]])/2</f>
        <v>128.94999999999999</v>
      </c>
      <c r="AE334" s="1">
        <f>SUM(Table1[[#This Row],[Health]])</f>
        <v>127</v>
      </c>
      <c r="AF334" s="1">
        <f>SUM(Table1[[#This Row],[Recreation and amusement]],Table1[[#This Row],[Education]])/2</f>
        <v>128.69999999999999</v>
      </c>
      <c r="AG334" s="1">
        <f>SUM(Table1[[#This Row],[Miscellaneous]],Table1[[#This Row],[Personal care and effects]])/2</f>
        <v>123.1</v>
      </c>
    </row>
    <row r="335" spans="1:33" hidden="1" x14ac:dyDescent="0.3">
      <c r="A335" t="s">
        <v>36</v>
      </c>
      <c r="B335">
        <v>2015</v>
      </c>
      <c r="C335" t="s">
        <v>37</v>
      </c>
      <c r="D335">
        <v>123.1</v>
      </c>
      <c r="E335">
        <v>131.69999999999999</v>
      </c>
      <c r="F335">
        <v>118.1</v>
      </c>
      <c r="G335">
        <v>128</v>
      </c>
      <c r="H335">
        <v>106.8</v>
      </c>
      <c r="I335">
        <v>130.1</v>
      </c>
      <c r="J335">
        <v>165.5</v>
      </c>
      <c r="K335">
        <v>156</v>
      </c>
      <c r="L335">
        <v>85.3</v>
      </c>
      <c r="M335">
        <v>132.69999999999999</v>
      </c>
      <c r="N335">
        <v>118.8</v>
      </c>
      <c r="O335">
        <v>131.69999999999999</v>
      </c>
      <c r="P335">
        <v>131.1</v>
      </c>
      <c r="Q335">
        <v>120.9</v>
      </c>
      <c r="R335">
        <v>115.3</v>
      </c>
      <c r="S335">
        <v>120</v>
      </c>
      <c r="T335">
        <v>116.6</v>
      </c>
      <c r="U335">
        <v>109.9</v>
      </c>
      <c r="V335">
        <v>117.2</v>
      </c>
      <c r="W335">
        <v>126.2</v>
      </c>
      <c r="X335">
        <v>112</v>
      </c>
      <c r="Y335">
        <v>116.2</v>
      </c>
      <c r="Z335">
        <v>123.2</v>
      </c>
      <c r="AA335" s="1">
        <f>SUM(Table1[[#This Row],[Cereals and products]:[Food and beverages]])/13</f>
        <v>127.6076923076923</v>
      </c>
      <c r="AB335" s="1">
        <f>SUM(Table1[[#This Row],[Fuel and light]])</f>
        <v>115.3</v>
      </c>
      <c r="AC335" s="1">
        <f>SUM(Table1[[#This Row],[Transport and communication]])</f>
        <v>109.9</v>
      </c>
      <c r="AD335" s="1">
        <f>SUM(Table1[[#This Row],[Housing]],Table1[[#This Row],[Household goods and services]])/2</f>
        <v>120.45</v>
      </c>
      <c r="AE335" s="1">
        <f>SUM(Table1[[#This Row],[Health]])</f>
        <v>116.6</v>
      </c>
      <c r="AF335" s="1">
        <f>SUM(Table1[[#This Row],[Recreation and amusement]],Table1[[#This Row],[Education]])/2</f>
        <v>121.7</v>
      </c>
      <c r="AG335" s="1">
        <f>SUM(Table1[[#This Row],[Miscellaneous]],Table1[[#This Row],[Personal care and effects]])/2</f>
        <v>114.1</v>
      </c>
    </row>
    <row r="336" spans="1:33" hidden="1" x14ac:dyDescent="0.3">
      <c r="A336" t="s">
        <v>35</v>
      </c>
      <c r="B336">
        <v>2015</v>
      </c>
      <c r="C336" t="s">
        <v>37</v>
      </c>
      <c r="D336">
        <v>124.2</v>
      </c>
      <c r="E336">
        <v>131.4</v>
      </c>
      <c r="F336">
        <v>120.1</v>
      </c>
      <c r="G336">
        <v>128.5</v>
      </c>
      <c r="H336">
        <v>111.4</v>
      </c>
      <c r="I336">
        <v>132.30000000000001</v>
      </c>
      <c r="J336">
        <v>157.6</v>
      </c>
      <c r="K336">
        <v>144</v>
      </c>
      <c r="L336">
        <v>90.5</v>
      </c>
      <c r="M336">
        <v>126.8</v>
      </c>
      <c r="N336">
        <v>120.4</v>
      </c>
      <c r="O336">
        <v>132.1</v>
      </c>
      <c r="P336">
        <v>130.30000000000001</v>
      </c>
      <c r="Q336">
        <v>120.9</v>
      </c>
      <c r="R336">
        <v>120.6</v>
      </c>
      <c r="S336">
        <v>122</v>
      </c>
      <c r="T336">
        <v>119.4</v>
      </c>
      <c r="U336">
        <v>111.7</v>
      </c>
      <c r="V336">
        <v>117.8</v>
      </c>
      <c r="W336">
        <v>125.1</v>
      </c>
      <c r="X336">
        <v>112.3</v>
      </c>
      <c r="Y336">
        <v>117.2</v>
      </c>
      <c r="Z336">
        <v>124.8</v>
      </c>
      <c r="AA336" s="1">
        <f>SUM(Table1[[#This Row],[Cereals and products]:[Food and beverages]])/13</f>
        <v>126.89230769230768</v>
      </c>
      <c r="AB336" s="1">
        <f>SUM(Table1[[#This Row],[Fuel and light]])</f>
        <v>120.6</v>
      </c>
      <c r="AC336" s="1">
        <f>SUM(Table1[[#This Row],[Transport and communication]])</f>
        <v>111.7</v>
      </c>
      <c r="AD336" s="1">
        <f>SUM(Table1[[#This Row],[Housing]],Table1[[#This Row],[Household goods and services]])/2</f>
        <v>121.45</v>
      </c>
      <c r="AE336" s="1">
        <f>SUM(Table1[[#This Row],[Health]])</f>
        <v>119.4</v>
      </c>
      <c r="AF336" s="1">
        <f>SUM(Table1[[#This Row],[Recreation and amusement]],Table1[[#This Row],[Education]])/2</f>
        <v>121.44999999999999</v>
      </c>
      <c r="AG336" s="1">
        <f>SUM(Table1[[#This Row],[Miscellaneous]],Table1[[#This Row],[Personal care and effects]])/2</f>
        <v>114.75</v>
      </c>
    </row>
    <row r="337" spans="1:33" hidden="1" x14ac:dyDescent="0.3">
      <c r="A337" t="s">
        <v>33</v>
      </c>
      <c r="B337">
        <v>2015</v>
      </c>
      <c r="C337" t="s">
        <v>37</v>
      </c>
      <c r="D337">
        <v>124.7</v>
      </c>
      <c r="E337">
        <v>131.30000000000001</v>
      </c>
      <c r="F337">
        <v>121.3</v>
      </c>
      <c r="G337">
        <v>128.80000000000001</v>
      </c>
      <c r="H337">
        <v>114</v>
      </c>
      <c r="I337">
        <v>134.19999999999999</v>
      </c>
      <c r="J337">
        <v>153.6</v>
      </c>
      <c r="K337">
        <v>137.9</v>
      </c>
      <c r="L337">
        <v>93.1</v>
      </c>
      <c r="M337">
        <v>123.9</v>
      </c>
      <c r="N337">
        <v>121.5</v>
      </c>
      <c r="O337">
        <v>132.5</v>
      </c>
      <c r="P337">
        <v>129.80000000000001</v>
      </c>
      <c r="Q337">
        <f>AVERAGE(Q335:Q336)</f>
        <v>120.9</v>
      </c>
      <c r="R337">
        <v>123.8</v>
      </c>
      <c r="S337">
        <v>123.7</v>
      </c>
      <c r="T337">
        <v>121.1</v>
      </c>
      <c r="U337">
        <v>113.6</v>
      </c>
      <c r="V337">
        <v>118.5</v>
      </c>
      <c r="W337">
        <v>123.6</v>
      </c>
      <c r="X337">
        <v>112.5</v>
      </c>
      <c r="Y337">
        <v>118.2</v>
      </c>
      <c r="Z337">
        <v>126.1</v>
      </c>
      <c r="AA337" s="1">
        <f>SUM(Table1[[#This Row],[Cereals and products]:[Food and beverages]])/13</f>
        <v>126.66153846153846</v>
      </c>
      <c r="AB337" s="1">
        <f>SUM(Table1[[#This Row],[Fuel and light]])</f>
        <v>123.8</v>
      </c>
      <c r="AC337" s="1">
        <f>SUM(Table1[[#This Row],[Transport and communication]])</f>
        <v>113.6</v>
      </c>
      <c r="AD337" s="1">
        <f>SUM(Table1[[#This Row],[Housing]],Table1[[#This Row],[Household goods and services]])/2</f>
        <v>122.30000000000001</v>
      </c>
      <c r="AE337" s="1">
        <f>SUM(Table1[[#This Row],[Health]])</f>
        <v>121.1</v>
      </c>
      <c r="AF337" s="1">
        <f>SUM(Table1[[#This Row],[Recreation and amusement]],Table1[[#This Row],[Education]])/2</f>
        <v>121.05</v>
      </c>
      <c r="AG337" s="1">
        <f>SUM(Table1[[#This Row],[Miscellaneous]],Table1[[#This Row],[Personal care and effects]])/2</f>
        <v>115.35</v>
      </c>
    </row>
    <row r="338" spans="1:33" hidden="1" x14ac:dyDescent="0.3">
      <c r="A338" t="s">
        <v>33</v>
      </c>
      <c r="B338">
        <v>2014</v>
      </c>
      <c r="C338" t="s">
        <v>37</v>
      </c>
      <c r="D338">
        <v>121.8</v>
      </c>
      <c r="E338">
        <v>122.8</v>
      </c>
      <c r="F338">
        <v>117.8</v>
      </c>
      <c r="G338">
        <v>121.9</v>
      </c>
      <c r="H338">
        <v>110.6</v>
      </c>
      <c r="I338">
        <v>129.69999999999999</v>
      </c>
      <c r="J338">
        <v>161.1</v>
      </c>
      <c r="K338">
        <v>114.1</v>
      </c>
      <c r="L338">
        <v>105.1</v>
      </c>
      <c r="M338">
        <v>114.6</v>
      </c>
      <c r="N338">
        <v>115.8</v>
      </c>
      <c r="O338">
        <v>121.7</v>
      </c>
      <c r="P338">
        <v>125.3</v>
      </c>
      <c r="Q338">
        <f>AVERAGE(Q339:Q340)</f>
        <v>115.5</v>
      </c>
      <c r="R338">
        <v>115.4</v>
      </c>
      <c r="S338">
        <v>115.9</v>
      </c>
      <c r="T338">
        <v>114</v>
      </c>
      <c r="U338">
        <v>113.2</v>
      </c>
      <c r="V338">
        <v>112.2</v>
      </c>
      <c r="W338">
        <v>116.2</v>
      </c>
      <c r="X338">
        <v>109.4</v>
      </c>
      <c r="Y338">
        <v>113.5</v>
      </c>
      <c r="Z338">
        <v>120.7</v>
      </c>
      <c r="AA338" s="1">
        <f>SUM(Table1[[#This Row],[Cereals and products]:[Food and beverages]])/13</f>
        <v>121.71538461538459</v>
      </c>
      <c r="AB338" s="1">
        <f>SUM(Table1[[#This Row],[Fuel and light]])</f>
        <v>115.4</v>
      </c>
      <c r="AC338" s="1">
        <f>SUM(Table1[[#This Row],[Transport and communication]])</f>
        <v>113.2</v>
      </c>
      <c r="AD338" s="1">
        <f>SUM(Table1[[#This Row],[Housing]],Table1[[#This Row],[Household goods and services]])/2</f>
        <v>115.7</v>
      </c>
      <c r="AE338" s="1">
        <f>SUM(Table1[[#This Row],[Health]])</f>
        <v>114</v>
      </c>
      <c r="AF338" s="1">
        <f>SUM(Table1[[#This Row],[Recreation and amusement]],Table1[[#This Row],[Education]])/2</f>
        <v>114.2</v>
      </c>
      <c r="AG338" s="1">
        <f>SUM(Table1[[#This Row],[Miscellaneous]],Table1[[#This Row],[Personal care and effects]])/2</f>
        <v>111.45</v>
      </c>
    </row>
    <row r="339" spans="1:33" hidden="1" x14ac:dyDescent="0.3">
      <c r="A339" t="s">
        <v>35</v>
      </c>
      <c r="B339">
        <v>2014</v>
      </c>
      <c r="C339" t="s">
        <v>37</v>
      </c>
      <c r="D339">
        <v>122.7</v>
      </c>
      <c r="E339">
        <v>124.4</v>
      </c>
      <c r="F339">
        <v>117.3</v>
      </c>
      <c r="G339">
        <v>122</v>
      </c>
      <c r="H339">
        <v>108</v>
      </c>
      <c r="I339">
        <v>131.1</v>
      </c>
      <c r="J339">
        <v>168.2</v>
      </c>
      <c r="K339">
        <v>114.5</v>
      </c>
      <c r="L339">
        <v>104.3</v>
      </c>
      <c r="M339">
        <v>117.1</v>
      </c>
      <c r="N339">
        <v>115.2</v>
      </c>
      <c r="O339">
        <v>123.1</v>
      </c>
      <c r="P339">
        <v>126.6</v>
      </c>
      <c r="Q339">
        <v>115.5</v>
      </c>
      <c r="R339">
        <v>114</v>
      </c>
      <c r="S339">
        <v>115.6</v>
      </c>
      <c r="T339">
        <v>113.3</v>
      </c>
      <c r="U339">
        <v>112.8</v>
      </c>
      <c r="V339">
        <v>112.6</v>
      </c>
      <c r="W339">
        <v>118</v>
      </c>
      <c r="X339">
        <v>109.9</v>
      </c>
      <c r="Y339">
        <v>113.7</v>
      </c>
      <c r="Z339">
        <v>120.3</v>
      </c>
      <c r="AA339" s="1">
        <f>SUM(Table1[[#This Row],[Cereals and products]:[Food and beverages]])/13</f>
        <v>122.65384615384613</v>
      </c>
      <c r="AB339" s="1">
        <f>SUM(Table1[[#This Row],[Fuel and light]])</f>
        <v>114</v>
      </c>
      <c r="AC339" s="1">
        <f>SUM(Table1[[#This Row],[Transport and communication]])</f>
        <v>112.8</v>
      </c>
      <c r="AD339" s="1">
        <f>SUM(Table1[[#This Row],[Housing]],Table1[[#This Row],[Household goods and services]])/2</f>
        <v>115.55</v>
      </c>
      <c r="AE339" s="1">
        <f>SUM(Table1[[#This Row],[Health]])</f>
        <v>113.3</v>
      </c>
      <c r="AF339" s="1">
        <f>SUM(Table1[[#This Row],[Recreation and amusement]],Table1[[#This Row],[Education]])/2</f>
        <v>115.3</v>
      </c>
      <c r="AG339" s="1">
        <f>SUM(Table1[[#This Row],[Miscellaneous]],Table1[[#This Row],[Personal care and effects]])/2</f>
        <v>111.80000000000001</v>
      </c>
    </row>
    <row r="340" spans="1:33" hidden="1" x14ac:dyDescent="0.3">
      <c r="A340" t="s">
        <v>36</v>
      </c>
      <c r="B340">
        <v>2014</v>
      </c>
      <c r="C340" t="s">
        <v>37</v>
      </c>
      <c r="D340">
        <v>124.8</v>
      </c>
      <c r="E340">
        <v>127.3</v>
      </c>
      <c r="F340">
        <v>116.5</v>
      </c>
      <c r="G340">
        <v>122.2</v>
      </c>
      <c r="H340">
        <v>103.6</v>
      </c>
      <c r="I340">
        <v>132.69999999999999</v>
      </c>
      <c r="J340">
        <v>181.9</v>
      </c>
      <c r="K340">
        <v>115.2</v>
      </c>
      <c r="L340">
        <v>102.7</v>
      </c>
      <c r="M340">
        <v>122.1</v>
      </c>
      <c r="N340">
        <v>114.4</v>
      </c>
      <c r="O340">
        <v>124.7</v>
      </c>
      <c r="P340">
        <v>128.9</v>
      </c>
      <c r="Q340">
        <v>115.5</v>
      </c>
      <c r="R340">
        <v>111.8</v>
      </c>
      <c r="S340">
        <v>115.3</v>
      </c>
      <c r="T340">
        <v>112.2</v>
      </c>
      <c r="U340">
        <v>112.5</v>
      </c>
      <c r="V340">
        <v>112.9</v>
      </c>
      <c r="W340">
        <v>119.2</v>
      </c>
      <c r="X340">
        <v>110.5</v>
      </c>
      <c r="Y340">
        <v>113.9</v>
      </c>
      <c r="Z340">
        <v>119.9</v>
      </c>
      <c r="AA340" s="1">
        <f>SUM(Table1[[#This Row],[Cereals and products]:[Food and beverages]])/13</f>
        <v>124.38461538461539</v>
      </c>
      <c r="AB340" s="1">
        <f>SUM(Table1[[#This Row],[Fuel and light]])</f>
        <v>111.8</v>
      </c>
      <c r="AC340" s="1">
        <f>SUM(Table1[[#This Row],[Transport and communication]])</f>
        <v>112.5</v>
      </c>
      <c r="AD340" s="1">
        <f>SUM(Table1[[#This Row],[Housing]],Table1[[#This Row],[Household goods and services]])/2</f>
        <v>115.4</v>
      </c>
      <c r="AE340" s="1">
        <f>SUM(Table1[[#This Row],[Health]])</f>
        <v>112.2</v>
      </c>
      <c r="AF340" s="1">
        <f>SUM(Table1[[#This Row],[Recreation and amusement]],Table1[[#This Row],[Education]])/2</f>
        <v>116.05000000000001</v>
      </c>
      <c r="AG340" s="1">
        <f>SUM(Table1[[#This Row],[Miscellaneous]],Table1[[#This Row],[Personal care and effects]])/2</f>
        <v>112.2</v>
      </c>
    </row>
    <row r="341" spans="1:33" hidden="1" x14ac:dyDescent="0.3">
      <c r="A341" t="s">
        <v>33</v>
      </c>
      <c r="B341">
        <v>2013</v>
      </c>
      <c r="C341" t="s">
        <v>37</v>
      </c>
      <c r="D341">
        <v>114.3</v>
      </c>
      <c r="E341">
        <v>115.4</v>
      </c>
      <c r="F341">
        <v>111.1</v>
      </c>
      <c r="G341">
        <v>110</v>
      </c>
      <c r="H341">
        <v>106.4</v>
      </c>
      <c r="I341">
        <v>110.8</v>
      </c>
      <c r="J341">
        <v>138.9</v>
      </c>
      <c r="K341">
        <v>107.4</v>
      </c>
      <c r="L341">
        <v>104.1</v>
      </c>
      <c r="M341">
        <v>106.9</v>
      </c>
      <c r="N341">
        <v>109.7</v>
      </c>
      <c r="O341">
        <v>112.6</v>
      </c>
      <c r="P341">
        <v>114.9</v>
      </c>
      <c r="Q341">
        <f>AVERAGE(Q342:Q343)</f>
        <v>108.9</v>
      </c>
      <c r="R341">
        <v>109.9</v>
      </c>
      <c r="S341">
        <v>108.7</v>
      </c>
      <c r="T341">
        <v>107.5</v>
      </c>
      <c r="U341">
        <v>107.8</v>
      </c>
      <c r="V341">
        <v>106.8</v>
      </c>
      <c r="W341">
        <v>108.7</v>
      </c>
      <c r="X341">
        <v>105</v>
      </c>
      <c r="Y341">
        <v>107.5</v>
      </c>
      <c r="Z341">
        <v>112.1</v>
      </c>
      <c r="AA341" s="1">
        <f>SUM(Table1[[#This Row],[Cereals and products]:[Food and beverages]])/13</f>
        <v>112.5</v>
      </c>
      <c r="AB341" s="1">
        <f>SUM(Table1[[#This Row],[Fuel and light]])</f>
        <v>109.9</v>
      </c>
      <c r="AC341" s="1">
        <f>SUM(Table1[[#This Row],[Transport and communication]])</f>
        <v>107.8</v>
      </c>
      <c r="AD341" s="1">
        <f>SUM(Table1[[#This Row],[Housing]],Table1[[#This Row],[Household goods and services]])/2</f>
        <v>108.80000000000001</v>
      </c>
      <c r="AE341" s="1">
        <f>SUM(Table1[[#This Row],[Health]])</f>
        <v>107.5</v>
      </c>
      <c r="AF341" s="1">
        <f>SUM(Table1[[#This Row],[Recreation and amusement]],Table1[[#This Row],[Education]])/2</f>
        <v>107.75</v>
      </c>
      <c r="AG341" s="1">
        <f>SUM(Table1[[#This Row],[Miscellaneous]],Table1[[#This Row],[Personal care and effects]])/2</f>
        <v>106.25</v>
      </c>
    </row>
    <row r="342" spans="1:33" hidden="1" x14ac:dyDescent="0.3">
      <c r="A342" t="s">
        <v>35</v>
      </c>
      <c r="B342">
        <v>2013</v>
      </c>
      <c r="C342" t="s">
        <v>37</v>
      </c>
      <c r="D342">
        <v>115.6</v>
      </c>
      <c r="E342">
        <v>117.2</v>
      </c>
      <c r="F342">
        <v>111.7</v>
      </c>
      <c r="G342">
        <v>109.6</v>
      </c>
      <c r="H342">
        <v>104.5</v>
      </c>
      <c r="I342">
        <v>109.8</v>
      </c>
      <c r="J342">
        <v>151.80000000000001</v>
      </c>
      <c r="K342">
        <v>106.5</v>
      </c>
      <c r="L342">
        <v>103.1</v>
      </c>
      <c r="M342">
        <v>107.4</v>
      </c>
      <c r="N342">
        <v>110.2</v>
      </c>
      <c r="O342">
        <v>113.4</v>
      </c>
      <c r="P342">
        <v>116.6</v>
      </c>
      <c r="Q342">
        <v>108.9</v>
      </c>
      <c r="R342">
        <v>109.7</v>
      </c>
      <c r="S342">
        <v>108.7</v>
      </c>
      <c r="T342">
        <v>107.5</v>
      </c>
      <c r="U342">
        <v>108</v>
      </c>
      <c r="V342">
        <v>106.6</v>
      </c>
      <c r="W342">
        <v>109.9</v>
      </c>
      <c r="X342">
        <v>105.4</v>
      </c>
      <c r="Y342">
        <v>107.9</v>
      </c>
      <c r="Z342">
        <v>112.4</v>
      </c>
      <c r="AA342" s="1">
        <f>SUM(Table1[[#This Row],[Cereals and products]:[Food and beverages]])/13</f>
        <v>113.64615384615385</v>
      </c>
      <c r="AB342" s="1">
        <f>SUM(Table1[[#This Row],[Fuel and light]])</f>
        <v>109.7</v>
      </c>
      <c r="AC342" s="1">
        <f>SUM(Table1[[#This Row],[Transport and communication]])</f>
        <v>108</v>
      </c>
      <c r="AD342" s="1">
        <f>SUM(Table1[[#This Row],[Housing]],Table1[[#This Row],[Household goods and services]])/2</f>
        <v>108.80000000000001</v>
      </c>
      <c r="AE342" s="1">
        <f>SUM(Table1[[#This Row],[Health]])</f>
        <v>107.5</v>
      </c>
      <c r="AF342" s="1">
        <f>SUM(Table1[[#This Row],[Recreation and amusement]],Table1[[#This Row],[Education]])/2</f>
        <v>108.25</v>
      </c>
      <c r="AG342" s="1">
        <f>SUM(Table1[[#This Row],[Miscellaneous]],Table1[[#This Row],[Personal care and effects]])/2</f>
        <v>106.65</v>
      </c>
    </row>
    <row r="343" spans="1:33" hidden="1" x14ac:dyDescent="0.3">
      <c r="A343" t="s">
        <v>36</v>
      </c>
      <c r="B343">
        <v>2013</v>
      </c>
      <c r="C343" t="s">
        <v>37</v>
      </c>
      <c r="D343">
        <v>118.3</v>
      </c>
      <c r="E343">
        <v>120.4</v>
      </c>
      <c r="F343">
        <v>112.7</v>
      </c>
      <c r="G343">
        <v>108.9</v>
      </c>
      <c r="H343">
        <v>101.1</v>
      </c>
      <c r="I343">
        <v>108.7</v>
      </c>
      <c r="J343">
        <v>177</v>
      </c>
      <c r="K343">
        <v>104.7</v>
      </c>
      <c r="L343">
        <v>101</v>
      </c>
      <c r="M343">
        <v>108.5</v>
      </c>
      <c r="N343">
        <v>110.9</v>
      </c>
      <c r="O343">
        <v>114.3</v>
      </c>
      <c r="P343">
        <v>119.6</v>
      </c>
      <c r="Q343">
        <v>108.9</v>
      </c>
      <c r="R343">
        <v>109.3</v>
      </c>
      <c r="S343">
        <v>108.7</v>
      </c>
      <c r="T343">
        <v>107.6</v>
      </c>
      <c r="U343">
        <v>108.1</v>
      </c>
      <c r="V343">
        <v>106.5</v>
      </c>
      <c r="W343">
        <v>110.8</v>
      </c>
      <c r="X343">
        <v>106</v>
      </c>
      <c r="Y343">
        <v>108.3</v>
      </c>
      <c r="Z343">
        <v>112.7</v>
      </c>
      <c r="AA343" s="1">
        <f>SUM(Table1[[#This Row],[Cereals and products]:[Food and beverages]])/13</f>
        <v>115.85384615384616</v>
      </c>
      <c r="AB343" s="1">
        <f>SUM(Table1[[#This Row],[Fuel and light]])</f>
        <v>109.3</v>
      </c>
      <c r="AC343" s="1">
        <f>SUM(Table1[[#This Row],[Transport and communication]])</f>
        <v>108.1</v>
      </c>
      <c r="AD343" s="1">
        <f>SUM(Table1[[#This Row],[Housing]],Table1[[#This Row],[Household goods and services]])/2</f>
        <v>108.80000000000001</v>
      </c>
      <c r="AE343" s="1">
        <f>SUM(Table1[[#This Row],[Health]])</f>
        <v>107.6</v>
      </c>
      <c r="AF343" s="1">
        <f>SUM(Table1[[#This Row],[Recreation and amusement]],Table1[[#This Row],[Education]])/2</f>
        <v>108.65</v>
      </c>
      <c r="AG343" s="1">
        <f>SUM(Table1[[#This Row],[Miscellaneous]],Table1[[#This Row],[Personal care and effects]])/2</f>
        <v>107.15</v>
      </c>
    </row>
    <row r="344" spans="1:33" hidden="1" x14ac:dyDescent="0.3">
      <c r="A344" t="s">
        <v>33</v>
      </c>
      <c r="B344">
        <v>2023</v>
      </c>
      <c r="C344" t="s">
        <v>48</v>
      </c>
      <c r="D344">
        <v>173.3</v>
      </c>
      <c r="E344">
        <v>206.9</v>
      </c>
      <c r="F344">
        <v>167.9</v>
      </c>
      <c r="G344">
        <v>178.2</v>
      </c>
      <c r="H344">
        <v>178.5</v>
      </c>
      <c r="I344">
        <v>173.7</v>
      </c>
      <c r="J344">
        <v>142.80000000000001</v>
      </c>
      <c r="K344">
        <v>172.8</v>
      </c>
      <c r="L344">
        <v>120.4</v>
      </c>
      <c r="M344">
        <v>215.5</v>
      </c>
      <c r="N344">
        <v>178.2</v>
      </c>
      <c r="O344">
        <v>190.5</v>
      </c>
      <c r="P344">
        <v>175.5</v>
      </c>
      <c r="Q344">
        <f>AVERAGE(Q345:Q346)</f>
        <v>175.2</v>
      </c>
      <c r="R344">
        <v>181.5</v>
      </c>
      <c r="S344">
        <v>179.1</v>
      </c>
      <c r="T344">
        <v>187.2</v>
      </c>
      <c r="U344">
        <v>169.4</v>
      </c>
      <c r="V344">
        <v>173.2</v>
      </c>
      <c r="W344">
        <v>179.4</v>
      </c>
      <c r="X344">
        <v>183.8</v>
      </c>
      <c r="Y344">
        <v>178.9</v>
      </c>
      <c r="Z344">
        <v>178.8</v>
      </c>
      <c r="AA344" s="1">
        <f>SUM(Table1[[#This Row],[Cereals and products]:[Food and beverages]])/13</f>
        <v>174.93846153846152</v>
      </c>
      <c r="AB344" s="1">
        <f>SUM(Table1[[#This Row],[Fuel and light]])</f>
        <v>181.5</v>
      </c>
      <c r="AC344" s="1">
        <f>SUM(Table1[[#This Row],[Transport and communication]])</f>
        <v>169.4</v>
      </c>
      <c r="AD344" s="1">
        <f>SUM(Table1[[#This Row],[Housing]],Table1[[#This Row],[Household goods and services]])/2</f>
        <v>177.14999999999998</v>
      </c>
      <c r="AE344" s="1">
        <f>SUM(Table1[[#This Row],[Health]])</f>
        <v>187.2</v>
      </c>
      <c r="AF344" s="1">
        <f>SUM(Table1[[#This Row],[Recreation and amusement]],Table1[[#This Row],[Education]])/2</f>
        <v>176.3</v>
      </c>
      <c r="AG344" s="1">
        <f>SUM(Table1[[#This Row],[Miscellaneous]],Table1[[#This Row],[Personal care and effects]])/2</f>
        <v>181.35000000000002</v>
      </c>
    </row>
    <row r="345" spans="1:33" x14ac:dyDescent="0.3">
      <c r="A345" t="s">
        <v>35</v>
      </c>
      <c r="B345">
        <v>2023</v>
      </c>
      <c r="C345" t="s">
        <v>48</v>
      </c>
      <c r="D345">
        <v>173.8</v>
      </c>
      <c r="E345">
        <v>209.3</v>
      </c>
      <c r="F345">
        <v>169.6</v>
      </c>
      <c r="G345">
        <v>178.4</v>
      </c>
      <c r="H345">
        <v>174.9</v>
      </c>
      <c r="I345">
        <v>176.3</v>
      </c>
      <c r="J345">
        <v>155.4</v>
      </c>
      <c r="K345">
        <v>173.4</v>
      </c>
      <c r="L345">
        <v>121.3</v>
      </c>
      <c r="M345">
        <v>212.9</v>
      </c>
      <c r="N345">
        <v>172.9</v>
      </c>
      <c r="O345">
        <v>193.5</v>
      </c>
      <c r="P345">
        <v>177.9</v>
      </c>
      <c r="Q345">
        <v>175.2</v>
      </c>
      <c r="R345">
        <v>181.7</v>
      </c>
      <c r="S345">
        <v>174.6</v>
      </c>
      <c r="T345">
        <v>185</v>
      </c>
      <c r="U345">
        <v>164.5</v>
      </c>
      <c r="V345">
        <v>170.7</v>
      </c>
      <c r="W345">
        <v>176.4</v>
      </c>
      <c r="X345">
        <v>184</v>
      </c>
      <c r="Y345">
        <v>175</v>
      </c>
      <c r="Z345">
        <v>178.1</v>
      </c>
      <c r="AA345" s="1">
        <f>SUM(Table1[[#This Row],[Cereals and products]:[Food and beverages]])/13</f>
        <v>176.12307692307695</v>
      </c>
      <c r="AB345" s="1">
        <f>SUM(Table1[[#This Row],[Fuel and light]])</f>
        <v>181.7</v>
      </c>
      <c r="AC345" s="1">
        <f>SUM(Table1[[#This Row],[Transport and communication]])</f>
        <v>164.5</v>
      </c>
      <c r="AD345" s="1">
        <f>SUM(Table1[[#This Row],[Housing]],Table1[[#This Row],[Household goods and services]])/2</f>
        <v>174.89999999999998</v>
      </c>
      <c r="AE345" s="1">
        <f>SUM(Table1[[#This Row],[Health]])</f>
        <v>185</v>
      </c>
      <c r="AF345" s="1">
        <f>SUM(Table1[[#This Row],[Recreation and amusement]],Table1[[#This Row],[Education]])/2</f>
        <v>173.55</v>
      </c>
      <c r="AG345" s="1">
        <f>SUM(Table1[[#This Row],[Miscellaneous]],Table1[[#This Row],[Personal care and effects]])/2</f>
        <v>179.5</v>
      </c>
    </row>
    <row r="346" spans="1:33" hidden="1" x14ac:dyDescent="0.3">
      <c r="A346" t="s">
        <v>36</v>
      </c>
      <c r="B346">
        <v>2023</v>
      </c>
      <c r="C346" t="s">
        <v>48</v>
      </c>
      <c r="D346">
        <v>174.8</v>
      </c>
      <c r="E346">
        <v>213.7</v>
      </c>
      <c r="F346">
        <v>172.4</v>
      </c>
      <c r="G346">
        <v>178.8</v>
      </c>
      <c r="H346">
        <v>168.7</v>
      </c>
      <c r="I346">
        <v>179.2</v>
      </c>
      <c r="J346">
        <v>179.9</v>
      </c>
      <c r="K346">
        <v>174.7</v>
      </c>
      <c r="L346">
        <v>123.1</v>
      </c>
      <c r="M346">
        <v>207.8</v>
      </c>
      <c r="N346">
        <v>165.5</v>
      </c>
      <c r="O346">
        <v>197</v>
      </c>
      <c r="P346">
        <v>182.1</v>
      </c>
      <c r="Q346">
        <v>175.2</v>
      </c>
      <c r="R346">
        <v>182.1</v>
      </c>
      <c r="S346">
        <v>169.6</v>
      </c>
      <c r="T346">
        <v>181.5</v>
      </c>
      <c r="U346">
        <v>160.1</v>
      </c>
      <c r="V346">
        <v>168.8</v>
      </c>
      <c r="W346">
        <v>174.2</v>
      </c>
      <c r="X346">
        <v>184.4</v>
      </c>
      <c r="Y346">
        <v>170.9</v>
      </c>
      <c r="Z346">
        <v>177.4</v>
      </c>
      <c r="AA346" s="1">
        <f>SUM(Table1[[#This Row],[Cereals and products]:[Food and beverages]])/13</f>
        <v>178.28461538461539</v>
      </c>
      <c r="AB346" s="1">
        <f>SUM(Table1[[#This Row],[Fuel and light]])</f>
        <v>182.1</v>
      </c>
      <c r="AC346" s="1">
        <f>SUM(Table1[[#This Row],[Transport and communication]])</f>
        <v>160.1</v>
      </c>
      <c r="AD346" s="1">
        <f>SUM(Table1[[#This Row],[Housing]],Table1[[#This Row],[Household goods and services]])/2</f>
        <v>172.39999999999998</v>
      </c>
      <c r="AE346" s="1">
        <f>SUM(Table1[[#This Row],[Health]])</f>
        <v>181.5</v>
      </c>
      <c r="AF346" s="1">
        <f>SUM(Table1[[#This Row],[Recreation and amusement]],Table1[[#This Row],[Education]])/2</f>
        <v>171.5</v>
      </c>
      <c r="AG346" s="1">
        <f>SUM(Table1[[#This Row],[Miscellaneous]],Table1[[#This Row],[Personal care and effects]])/2</f>
        <v>177.65</v>
      </c>
    </row>
    <row r="347" spans="1:33" hidden="1" x14ac:dyDescent="0.3">
      <c r="A347" t="s">
        <v>33</v>
      </c>
      <c r="B347">
        <v>2022</v>
      </c>
      <c r="C347" t="s">
        <v>48</v>
      </c>
      <c r="D347">
        <v>151.80000000000001</v>
      </c>
      <c r="E347">
        <v>209.7</v>
      </c>
      <c r="F347">
        <v>164.5</v>
      </c>
      <c r="G347">
        <v>163.80000000000001</v>
      </c>
      <c r="H347">
        <v>207.4</v>
      </c>
      <c r="I347">
        <v>169.7</v>
      </c>
      <c r="J347">
        <v>153.6</v>
      </c>
      <c r="K347">
        <v>165.1</v>
      </c>
      <c r="L347">
        <v>118.2</v>
      </c>
      <c r="M347">
        <v>182.9</v>
      </c>
      <c r="N347">
        <v>172.4</v>
      </c>
      <c r="O347">
        <v>178.9</v>
      </c>
      <c r="P347">
        <v>168.6</v>
      </c>
      <c r="Q347">
        <f>AVERAGE(Q348:Q349)</f>
        <v>167</v>
      </c>
      <c r="R347">
        <v>173.3</v>
      </c>
      <c r="S347">
        <v>167.7</v>
      </c>
      <c r="T347">
        <v>177</v>
      </c>
      <c r="U347">
        <v>166.2</v>
      </c>
      <c r="V347">
        <v>167.2</v>
      </c>
      <c r="W347">
        <v>170.9</v>
      </c>
      <c r="X347">
        <v>169</v>
      </c>
      <c r="Y347">
        <v>170.2</v>
      </c>
      <c r="Z347">
        <v>170.8</v>
      </c>
      <c r="AA347" s="1">
        <f>SUM(Table1[[#This Row],[Cereals and products]:[Food and beverages]])/13</f>
        <v>169.73846153846154</v>
      </c>
      <c r="AB347" s="1">
        <f>SUM(Table1[[#This Row],[Fuel and light]])</f>
        <v>173.3</v>
      </c>
      <c r="AC347" s="1">
        <f>SUM(Table1[[#This Row],[Transport and communication]])</f>
        <v>166.2</v>
      </c>
      <c r="AD347" s="1">
        <f>SUM(Table1[[#This Row],[Housing]],Table1[[#This Row],[Household goods and services]])/2</f>
        <v>167.35</v>
      </c>
      <c r="AE347" s="1">
        <f>SUM(Table1[[#This Row],[Health]])</f>
        <v>177</v>
      </c>
      <c r="AF347" s="1">
        <f>SUM(Table1[[#This Row],[Recreation and amusement]],Table1[[#This Row],[Education]])/2</f>
        <v>169.05</v>
      </c>
      <c r="AG347" s="1">
        <f>SUM(Table1[[#This Row],[Miscellaneous]],Table1[[#This Row],[Personal care and effects]])/2</f>
        <v>169.6</v>
      </c>
    </row>
    <row r="348" spans="1:33" hidden="1" x14ac:dyDescent="0.3">
      <c r="A348" t="s">
        <v>35</v>
      </c>
      <c r="B348">
        <v>2022</v>
      </c>
      <c r="C348" t="s">
        <v>48</v>
      </c>
      <c r="D348">
        <v>152.9</v>
      </c>
      <c r="E348">
        <v>211.8</v>
      </c>
      <c r="F348">
        <v>164.5</v>
      </c>
      <c r="G348">
        <v>163.9</v>
      </c>
      <c r="H348">
        <v>199.5</v>
      </c>
      <c r="I348">
        <v>172.6</v>
      </c>
      <c r="J348">
        <v>166.2</v>
      </c>
      <c r="K348">
        <v>164.7</v>
      </c>
      <c r="L348">
        <v>119</v>
      </c>
      <c r="M348">
        <v>181.3</v>
      </c>
      <c r="N348">
        <v>166.2</v>
      </c>
      <c r="O348">
        <v>180.9</v>
      </c>
      <c r="P348">
        <v>170.8</v>
      </c>
      <c r="Q348">
        <v>167</v>
      </c>
      <c r="R348">
        <v>172.2</v>
      </c>
      <c r="S348">
        <v>164</v>
      </c>
      <c r="T348">
        <v>174</v>
      </c>
      <c r="U348">
        <v>162.6</v>
      </c>
      <c r="V348">
        <v>164.4</v>
      </c>
      <c r="W348">
        <v>166.9</v>
      </c>
      <c r="X348">
        <v>168.8</v>
      </c>
      <c r="Y348">
        <v>166.8</v>
      </c>
      <c r="Z348">
        <v>170.1</v>
      </c>
      <c r="AA348" s="1">
        <f>SUM(Table1[[#This Row],[Cereals and products]:[Food and beverages]])/13</f>
        <v>170.33076923076925</v>
      </c>
      <c r="AB348" s="1">
        <f>SUM(Table1[[#This Row],[Fuel and light]])</f>
        <v>172.2</v>
      </c>
      <c r="AC348" s="1">
        <f>SUM(Table1[[#This Row],[Transport and communication]])</f>
        <v>162.6</v>
      </c>
      <c r="AD348" s="1">
        <f>SUM(Table1[[#This Row],[Housing]],Table1[[#This Row],[Household goods and services]])/2</f>
        <v>165.5</v>
      </c>
      <c r="AE348" s="1">
        <f>SUM(Table1[[#This Row],[Health]])</f>
        <v>174</v>
      </c>
      <c r="AF348" s="1">
        <f>SUM(Table1[[#This Row],[Recreation and amusement]],Table1[[#This Row],[Education]])/2</f>
        <v>165.65</v>
      </c>
      <c r="AG348" s="1">
        <f>SUM(Table1[[#This Row],[Miscellaneous]],Table1[[#This Row],[Personal care and effects]])/2</f>
        <v>167.8</v>
      </c>
    </row>
    <row r="349" spans="1:33" hidden="1" x14ac:dyDescent="0.3">
      <c r="A349" t="s">
        <v>36</v>
      </c>
      <c r="B349">
        <v>2022</v>
      </c>
      <c r="C349" t="s">
        <v>48</v>
      </c>
      <c r="D349">
        <v>155.4</v>
      </c>
      <c r="E349">
        <v>215.8</v>
      </c>
      <c r="F349">
        <v>164.6</v>
      </c>
      <c r="G349">
        <v>164.2</v>
      </c>
      <c r="H349">
        <v>186</v>
      </c>
      <c r="I349">
        <v>175.9</v>
      </c>
      <c r="J349">
        <v>190.7</v>
      </c>
      <c r="K349">
        <v>164</v>
      </c>
      <c r="L349">
        <v>120.5</v>
      </c>
      <c r="M349">
        <v>178</v>
      </c>
      <c r="N349">
        <v>157.5</v>
      </c>
      <c r="O349">
        <v>183.3</v>
      </c>
      <c r="P349">
        <v>174.5</v>
      </c>
      <c r="Q349">
        <v>167</v>
      </c>
      <c r="R349">
        <v>170.5</v>
      </c>
      <c r="S349">
        <v>159.80000000000001</v>
      </c>
      <c r="T349">
        <v>169</v>
      </c>
      <c r="U349">
        <v>159.30000000000001</v>
      </c>
      <c r="V349">
        <v>162.19999999999999</v>
      </c>
      <c r="W349">
        <v>164</v>
      </c>
      <c r="X349">
        <v>168.4</v>
      </c>
      <c r="Y349">
        <v>163.1</v>
      </c>
      <c r="Z349">
        <v>169.2</v>
      </c>
      <c r="AA349" s="1">
        <f>SUM(Table1[[#This Row],[Cereals and products]:[Food and beverages]])/13</f>
        <v>171.56923076923078</v>
      </c>
      <c r="AB349" s="1">
        <f>SUM(Table1[[#This Row],[Fuel and light]])</f>
        <v>170.5</v>
      </c>
      <c r="AC349" s="1">
        <f>SUM(Table1[[#This Row],[Transport and communication]])</f>
        <v>159.30000000000001</v>
      </c>
      <c r="AD349" s="1">
        <f>SUM(Table1[[#This Row],[Housing]],Table1[[#This Row],[Household goods and services]])/2</f>
        <v>163.4</v>
      </c>
      <c r="AE349" s="1">
        <f>SUM(Table1[[#This Row],[Health]])</f>
        <v>169</v>
      </c>
      <c r="AF349" s="1">
        <f>SUM(Table1[[#This Row],[Recreation and amusement]],Table1[[#This Row],[Education]])/2</f>
        <v>163.1</v>
      </c>
      <c r="AG349" s="1">
        <f>SUM(Table1[[#This Row],[Miscellaneous]],Table1[[#This Row],[Personal care and effects]])/2</f>
        <v>165.75</v>
      </c>
    </row>
    <row r="350" spans="1:33" hidden="1" x14ac:dyDescent="0.3">
      <c r="A350" t="s">
        <v>33</v>
      </c>
      <c r="B350">
        <v>2021</v>
      </c>
      <c r="C350" t="s">
        <v>40</v>
      </c>
      <c r="D350">
        <v>146.1</v>
      </c>
      <c r="E350">
        <v>202.5</v>
      </c>
      <c r="F350">
        <v>170.1</v>
      </c>
      <c r="G350">
        <v>158.4</v>
      </c>
      <c r="H350">
        <v>198.8</v>
      </c>
      <c r="I350">
        <v>152.6</v>
      </c>
      <c r="J350">
        <v>170.4</v>
      </c>
      <c r="K350">
        <v>165.2</v>
      </c>
      <c r="L350">
        <v>121.6</v>
      </c>
      <c r="M350">
        <v>170.6</v>
      </c>
      <c r="N350">
        <v>168.8</v>
      </c>
      <c r="O350">
        <v>173.6</v>
      </c>
      <c r="P350">
        <v>165.5</v>
      </c>
      <c r="Q350">
        <v>156.5</v>
      </c>
      <c r="R350">
        <v>165.5</v>
      </c>
      <c r="S350">
        <v>162</v>
      </c>
      <c r="T350">
        <v>172.5</v>
      </c>
      <c r="U350">
        <v>159.5</v>
      </c>
      <c r="V350">
        <v>163.19999999999999</v>
      </c>
      <c r="W350">
        <v>169</v>
      </c>
      <c r="X350">
        <v>161.1</v>
      </c>
      <c r="Y350">
        <v>164.7</v>
      </c>
      <c r="Z350">
        <v>166.3</v>
      </c>
      <c r="AA350" s="1">
        <f>SUM(Table1[[#This Row],[Cereals and products]:[Food and beverages]])/13</f>
        <v>166.47692307692307</v>
      </c>
      <c r="AB350" s="1">
        <f>SUM(Table1[[#This Row],[Fuel and light]])</f>
        <v>165.5</v>
      </c>
      <c r="AC350" s="1">
        <f>SUM(Table1[[#This Row],[Transport and communication]])</f>
        <v>159.5</v>
      </c>
      <c r="AD350" s="1">
        <f>SUM(Table1[[#This Row],[Housing]],Table1[[#This Row],[Household goods and services]])/2</f>
        <v>159.25</v>
      </c>
      <c r="AE350" s="1">
        <f>SUM(Table1[[#This Row],[Health]])</f>
        <v>172.5</v>
      </c>
      <c r="AF350" s="1">
        <f>SUM(Table1[[#This Row],[Recreation and amusement]],Table1[[#This Row],[Education]])/2</f>
        <v>166.1</v>
      </c>
      <c r="AG350" s="1">
        <f>SUM(Table1[[#This Row],[Miscellaneous]],Table1[[#This Row],[Personal care and effects]])/2</f>
        <v>162.89999999999998</v>
      </c>
    </row>
    <row r="351" spans="1:33" hidden="1" x14ac:dyDescent="0.3">
      <c r="A351" t="s">
        <v>35</v>
      </c>
      <c r="B351">
        <v>2021</v>
      </c>
      <c r="C351" t="s">
        <v>40</v>
      </c>
      <c r="D351">
        <v>147.4</v>
      </c>
      <c r="E351">
        <v>204.6</v>
      </c>
      <c r="F351">
        <v>171.2</v>
      </c>
      <c r="G351">
        <v>158.69999999999999</v>
      </c>
      <c r="H351">
        <v>190.6</v>
      </c>
      <c r="I351">
        <v>155.69999999999999</v>
      </c>
      <c r="J351">
        <v>185.3</v>
      </c>
      <c r="K351">
        <v>165.2</v>
      </c>
      <c r="L351">
        <v>121.9</v>
      </c>
      <c r="M351">
        <v>169.3</v>
      </c>
      <c r="N351">
        <v>163.19999999999999</v>
      </c>
      <c r="O351">
        <v>174.7</v>
      </c>
      <c r="P351">
        <v>167.7</v>
      </c>
      <c r="Q351">
        <v>163.6</v>
      </c>
      <c r="R351">
        <v>164.2</v>
      </c>
      <c r="S351">
        <v>158.4</v>
      </c>
      <c r="T351">
        <v>169.1</v>
      </c>
      <c r="U351">
        <v>155.69999999999999</v>
      </c>
      <c r="V351">
        <v>158.6</v>
      </c>
      <c r="W351">
        <v>163.9</v>
      </c>
      <c r="X351">
        <v>160.80000000000001</v>
      </c>
      <c r="Y351">
        <v>161</v>
      </c>
      <c r="Z351">
        <v>165.5</v>
      </c>
      <c r="AA351" s="1">
        <f>SUM(Table1[[#This Row],[Cereals and products]:[Food and beverages]])/13</f>
        <v>167.34615384615384</v>
      </c>
      <c r="AB351" s="1">
        <f>SUM(Table1[[#This Row],[Fuel and light]])</f>
        <v>164.2</v>
      </c>
      <c r="AC351" s="1">
        <f>SUM(Table1[[#This Row],[Transport and communication]])</f>
        <v>155.69999999999999</v>
      </c>
      <c r="AD351" s="1">
        <f>SUM(Table1[[#This Row],[Housing]],Table1[[#This Row],[Household goods and services]])/2</f>
        <v>161</v>
      </c>
      <c r="AE351" s="1">
        <f>SUM(Table1[[#This Row],[Health]])</f>
        <v>169.1</v>
      </c>
      <c r="AF351" s="1">
        <f>SUM(Table1[[#This Row],[Recreation and amusement]],Table1[[#This Row],[Education]])/2</f>
        <v>161.25</v>
      </c>
      <c r="AG351" s="1">
        <f>SUM(Table1[[#This Row],[Miscellaneous]],Table1[[#This Row],[Personal care and effects]])/2</f>
        <v>160.9</v>
      </c>
    </row>
    <row r="352" spans="1:33" hidden="1" x14ac:dyDescent="0.3">
      <c r="A352" t="s">
        <v>36</v>
      </c>
      <c r="B352">
        <v>2021</v>
      </c>
      <c r="C352" t="s">
        <v>40</v>
      </c>
      <c r="D352">
        <v>150.1</v>
      </c>
      <c r="E352">
        <v>208.4</v>
      </c>
      <c r="F352">
        <v>173</v>
      </c>
      <c r="G352">
        <v>159.19999999999999</v>
      </c>
      <c r="H352">
        <v>176.6</v>
      </c>
      <c r="I352">
        <v>159.30000000000001</v>
      </c>
      <c r="J352">
        <v>214.4</v>
      </c>
      <c r="K352">
        <v>165.3</v>
      </c>
      <c r="L352">
        <v>122.5</v>
      </c>
      <c r="M352">
        <v>166.8</v>
      </c>
      <c r="N352">
        <v>155.4</v>
      </c>
      <c r="O352">
        <v>175.9</v>
      </c>
      <c r="P352">
        <v>171.5</v>
      </c>
      <c r="Q352">
        <v>163.6</v>
      </c>
      <c r="R352">
        <v>162.19999999999999</v>
      </c>
      <c r="S352">
        <v>154.30000000000001</v>
      </c>
      <c r="T352">
        <v>163.5</v>
      </c>
      <c r="U352">
        <v>152.19999999999999</v>
      </c>
      <c r="V352">
        <v>155.1</v>
      </c>
      <c r="W352">
        <v>160.30000000000001</v>
      </c>
      <c r="X352">
        <v>160.30000000000001</v>
      </c>
      <c r="Y352">
        <v>157</v>
      </c>
      <c r="Z352">
        <v>164.6</v>
      </c>
      <c r="AA352" s="1">
        <f>SUM(Table1[[#This Row],[Cereals and products]:[Food and beverages]])/13</f>
        <v>169.10769230769236</v>
      </c>
      <c r="AB352" s="1">
        <f>SUM(Table1[[#This Row],[Fuel and light]])</f>
        <v>162.19999999999999</v>
      </c>
      <c r="AC352" s="1">
        <f>SUM(Table1[[#This Row],[Transport and communication]])</f>
        <v>152.19999999999999</v>
      </c>
      <c r="AD352" s="1">
        <f>SUM(Table1[[#This Row],[Housing]],Table1[[#This Row],[Household goods and services]])/2</f>
        <v>158.94999999999999</v>
      </c>
      <c r="AE352" s="1">
        <f>SUM(Table1[[#This Row],[Health]])</f>
        <v>163.5</v>
      </c>
      <c r="AF352" s="1">
        <f>SUM(Table1[[#This Row],[Recreation and amusement]],Table1[[#This Row],[Education]])/2</f>
        <v>157.69999999999999</v>
      </c>
      <c r="AG352" s="1">
        <f>SUM(Table1[[#This Row],[Miscellaneous]],Table1[[#This Row],[Personal care and effects]])/2</f>
        <v>158.65</v>
      </c>
    </row>
    <row r="353" spans="1:33" hidden="1" x14ac:dyDescent="0.3">
      <c r="A353" t="s">
        <v>33</v>
      </c>
      <c r="B353">
        <v>2021</v>
      </c>
      <c r="C353" t="s">
        <v>34</v>
      </c>
      <c r="D353">
        <v>145.4</v>
      </c>
      <c r="E353">
        <v>202.1</v>
      </c>
      <c r="F353">
        <v>172</v>
      </c>
      <c r="G353">
        <v>158</v>
      </c>
      <c r="H353">
        <v>195.5</v>
      </c>
      <c r="I353">
        <v>152.69999999999999</v>
      </c>
      <c r="J353">
        <v>151.4</v>
      </c>
      <c r="K353">
        <v>163.9</v>
      </c>
      <c r="L353">
        <v>119.3</v>
      </c>
      <c r="M353">
        <v>170.1</v>
      </c>
      <c r="N353">
        <v>168.3</v>
      </c>
      <c r="O353">
        <v>172.8</v>
      </c>
      <c r="P353">
        <v>162.1</v>
      </c>
      <c r="Q353">
        <v>156.30000000000001</v>
      </c>
      <c r="R353">
        <v>163.69999999999999</v>
      </c>
      <c r="S353">
        <v>161.30000000000001</v>
      </c>
      <c r="T353">
        <v>171.9</v>
      </c>
      <c r="U353">
        <v>157.80000000000001</v>
      </c>
      <c r="V353">
        <v>162.69999999999999</v>
      </c>
      <c r="W353">
        <v>168.5</v>
      </c>
      <c r="X353">
        <v>160.19999999999999</v>
      </c>
      <c r="Y353">
        <v>163.80000000000001</v>
      </c>
      <c r="Z353">
        <v>164</v>
      </c>
      <c r="AA353" s="1">
        <f>SUM(Table1[[#This Row],[Cereals and products]:[Food and beverages]])/13</f>
        <v>164.12307692307692</v>
      </c>
      <c r="AB353" s="1">
        <f>SUM(Table1[[#This Row],[Fuel and light]])</f>
        <v>163.69999999999999</v>
      </c>
      <c r="AC353" s="1">
        <f>SUM(Table1[[#This Row],[Transport and communication]])</f>
        <v>157.80000000000001</v>
      </c>
      <c r="AD353" s="1">
        <f>SUM(Table1[[#This Row],[Housing]],Table1[[#This Row],[Household goods and services]])/2</f>
        <v>158.80000000000001</v>
      </c>
      <c r="AE353" s="1">
        <f>SUM(Table1[[#This Row],[Health]])</f>
        <v>171.9</v>
      </c>
      <c r="AF353" s="1">
        <f>SUM(Table1[[#This Row],[Recreation and amusement]],Table1[[#This Row],[Education]])/2</f>
        <v>165.6</v>
      </c>
      <c r="AG353" s="1">
        <f>SUM(Table1[[#This Row],[Miscellaneous]],Table1[[#This Row],[Personal care and effects]])/2</f>
        <v>162</v>
      </c>
    </row>
    <row r="354" spans="1:33" hidden="1" x14ac:dyDescent="0.3">
      <c r="A354" t="s">
        <v>35</v>
      </c>
      <c r="B354">
        <v>2021</v>
      </c>
      <c r="C354" t="s">
        <v>34</v>
      </c>
      <c r="D354">
        <v>146.6</v>
      </c>
      <c r="E354">
        <v>204</v>
      </c>
      <c r="F354">
        <v>172.8</v>
      </c>
      <c r="G354">
        <v>158.4</v>
      </c>
      <c r="H354">
        <v>188</v>
      </c>
      <c r="I354">
        <v>156.69999999999999</v>
      </c>
      <c r="J354">
        <v>162.30000000000001</v>
      </c>
      <c r="K354">
        <v>164.1</v>
      </c>
      <c r="L354">
        <v>119.7</v>
      </c>
      <c r="M354">
        <v>168.8</v>
      </c>
      <c r="N354">
        <v>162.69999999999999</v>
      </c>
      <c r="O354">
        <v>173.9</v>
      </c>
      <c r="P354">
        <v>164</v>
      </c>
      <c r="Q354">
        <v>162.1</v>
      </c>
      <c r="R354">
        <v>162.6</v>
      </c>
      <c r="S354">
        <v>157.5</v>
      </c>
      <c r="T354">
        <v>168.4</v>
      </c>
      <c r="U354">
        <v>154</v>
      </c>
      <c r="V354">
        <v>157.69999999999999</v>
      </c>
      <c r="W354">
        <v>163.69999999999999</v>
      </c>
      <c r="X354">
        <v>160</v>
      </c>
      <c r="Y354">
        <v>160</v>
      </c>
      <c r="Z354">
        <v>163.19999999999999</v>
      </c>
      <c r="AA354" s="1">
        <f>SUM(Table1[[#This Row],[Cereals and products]:[Food and beverages]])/13</f>
        <v>164.76923076923077</v>
      </c>
      <c r="AB354" s="1">
        <f>SUM(Table1[[#This Row],[Fuel and light]])</f>
        <v>162.6</v>
      </c>
      <c r="AC354" s="1">
        <f>SUM(Table1[[#This Row],[Transport and communication]])</f>
        <v>154</v>
      </c>
      <c r="AD354" s="1">
        <f>SUM(Table1[[#This Row],[Housing]],Table1[[#This Row],[Household goods and services]])/2</f>
        <v>159.80000000000001</v>
      </c>
      <c r="AE354" s="1">
        <f>SUM(Table1[[#This Row],[Health]])</f>
        <v>168.4</v>
      </c>
      <c r="AF354" s="1">
        <f>SUM(Table1[[#This Row],[Recreation and amusement]],Table1[[#This Row],[Education]])/2</f>
        <v>160.69999999999999</v>
      </c>
      <c r="AG354" s="1">
        <f>SUM(Table1[[#This Row],[Miscellaneous]],Table1[[#This Row],[Personal care and effects]])/2</f>
        <v>160</v>
      </c>
    </row>
    <row r="355" spans="1:33" hidden="1" x14ac:dyDescent="0.3">
      <c r="A355" t="s">
        <v>36</v>
      </c>
      <c r="B355">
        <v>2021</v>
      </c>
      <c r="C355" t="s">
        <v>34</v>
      </c>
      <c r="D355">
        <v>149.30000000000001</v>
      </c>
      <c r="E355">
        <v>207.4</v>
      </c>
      <c r="F355">
        <v>174.1</v>
      </c>
      <c r="G355">
        <v>159.1</v>
      </c>
      <c r="H355">
        <v>175</v>
      </c>
      <c r="I355">
        <v>161.19999999999999</v>
      </c>
      <c r="J355">
        <v>183.5</v>
      </c>
      <c r="K355">
        <v>164.5</v>
      </c>
      <c r="L355">
        <v>120.4</v>
      </c>
      <c r="M355">
        <v>166.2</v>
      </c>
      <c r="N355">
        <v>154.80000000000001</v>
      </c>
      <c r="O355">
        <v>175.1</v>
      </c>
      <c r="P355">
        <v>167.3</v>
      </c>
      <c r="Q355">
        <v>162.1</v>
      </c>
      <c r="R355">
        <v>160.80000000000001</v>
      </c>
      <c r="S355">
        <v>153.30000000000001</v>
      </c>
      <c r="T355">
        <v>162.80000000000001</v>
      </c>
      <c r="U355">
        <v>150.5</v>
      </c>
      <c r="V355">
        <v>153.9</v>
      </c>
      <c r="W355">
        <v>160.30000000000001</v>
      </c>
      <c r="X355">
        <v>159.6</v>
      </c>
      <c r="Y355">
        <v>156</v>
      </c>
      <c r="Z355">
        <v>162.30000000000001</v>
      </c>
      <c r="AA355" s="1">
        <f>SUM(Table1[[#This Row],[Cereals and products]:[Food and beverages]])/13</f>
        <v>165.99230769230769</v>
      </c>
      <c r="AB355" s="1">
        <f>SUM(Table1[[#This Row],[Fuel and light]])</f>
        <v>160.80000000000001</v>
      </c>
      <c r="AC355" s="1">
        <f>SUM(Table1[[#This Row],[Transport and communication]])</f>
        <v>150.5</v>
      </c>
      <c r="AD355" s="1">
        <f>SUM(Table1[[#This Row],[Housing]],Table1[[#This Row],[Household goods and services]])/2</f>
        <v>157.69999999999999</v>
      </c>
      <c r="AE355" s="1">
        <f>SUM(Table1[[#This Row],[Health]])</f>
        <v>162.80000000000001</v>
      </c>
      <c r="AF355" s="1">
        <f>SUM(Table1[[#This Row],[Recreation and amusement]],Table1[[#This Row],[Education]])/2</f>
        <v>157.10000000000002</v>
      </c>
      <c r="AG355" s="1">
        <f>SUM(Table1[[#This Row],[Miscellaneous]],Table1[[#This Row],[Personal care and effects]])/2</f>
        <v>157.80000000000001</v>
      </c>
    </row>
    <row r="356" spans="1:33" hidden="1" x14ac:dyDescent="0.3">
      <c r="A356" t="s">
        <v>36</v>
      </c>
      <c r="B356">
        <v>2018</v>
      </c>
      <c r="C356" t="s">
        <v>48</v>
      </c>
      <c r="D356">
        <v>135</v>
      </c>
      <c r="E356">
        <v>144.30000000000001</v>
      </c>
      <c r="F356">
        <v>130.80000000000001</v>
      </c>
      <c r="G356">
        <v>140.30000000000001</v>
      </c>
      <c r="H356">
        <v>116.6</v>
      </c>
      <c r="I356">
        <v>150.1</v>
      </c>
      <c r="J356">
        <v>127.6</v>
      </c>
      <c r="K356">
        <v>114</v>
      </c>
      <c r="L356">
        <v>110.6</v>
      </c>
      <c r="M356">
        <v>140.19999999999999</v>
      </c>
      <c r="N356">
        <v>126.5</v>
      </c>
      <c r="O356">
        <v>148.30000000000001</v>
      </c>
      <c r="P356">
        <v>135.69999999999999</v>
      </c>
      <c r="Q356">
        <v>142.9</v>
      </c>
      <c r="R356">
        <v>124.6</v>
      </c>
      <c r="S356">
        <v>131.80000000000001</v>
      </c>
      <c r="T356">
        <v>131.30000000000001</v>
      </c>
      <c r="U356">
        <v>118.9</v>
      </c>
      <c r="V356">
        <v>127.6</v>
      </c>
      <c r="W356">
        <v>139.69999999999999</v>
      </c>
      <c r="X356">
        <v>127.6</v>
      </c>
      <c r="Y356">
        <v>128.19999999999999</v>
      </c>
      <c r="Z356">
        <v>134.80000000000001</v>
      </c>
      <c r="AA356" s="1">
        <f>SUM(Table1[[#This Row],[Cereals and products]:[Food and beverages]])/13</f>
        <v>132.30769230769232</v>
      </c>
      <c r="AB356" s="1">
        <f>SUM(Table1[[#This Row],[Fuel and light]])</f>
        <v>124.6</v>
      </c>
      <c r="AC356" s="1">
        <f>SUM(Table1[[#This Row],[Transport and communication]])</f>
        <v>118.9</v>
      </c>
      <c r="AD356" s="1">
        <f>SUM(Table1[[#This Row],[Housing]],Table1[[#This Row],[Household goods and services]])/2</f>
        <v>137.35000000000002</v>
      </c>
      <c r="AE356" s="1">
        <f>SUM(Table1[[#This Row],[Health]])</f>
        <v>131.30000000000001</v>
      </c>
      <c r="AF356" s="1">
        <f>SUM(Table1[[#This Row],[Recreation and amusement]],Table1[[#This Row],[Education]])/2</f>
        <v>133.64999999999998</v>
      </c>
      <c r="AG356" s="1">
        <f>SUM(Table1[[#This Row],[Miscellaneous]],Table1[[#This Row],[Personal care and effects]])/2</f>
        <v>127.89999999999999</v>
      </c>
    </row>
    <row r="357" spans="1:33" hidden="1" x14ac:dyDescent="0.3">
      <c r="A357" t="s">
        <v>35</v>
      </c>
      <c r="B357">
        <v>2018</v>
      </c>
      <c r="C357" t="s">
        <v>48</v>
      </c>
      <c r="D357">
        <v>136.4</v>
      </c>
      <c r="E357">
        <v>144.4</v>
      </c>
      <c r="F357">
        <v>133.9</v>
      </c>
      <c r="G357">
        <v>141.6</v>
      </c>
      <c r="H357">
        <v>121</v>
      </c>
      <c r="I357">
        <v>153.5</v>
      </c>
      <c r="J357">
        <v>132.6</v>
      </c>
      <c r="K357">
        <v>123.5</v>
      </c>
      <c r="L357">
        <v>113.7</v>
      </c>
      <c r="M357">
        <v>138.19999999999999</v>
      </c>
      <c r="N357">
        <v>129.6</v>
      </c>
      <c r="O357">
        <v>151.19999999999999</v>
      </c>
      <c r="P357">
        <v>137.5</v>
      </c>
      <c r="Q357">
        <v>142.9</v>
      </c>
      <c r="R357">
        <v>136.5</v>
      </c>
      <c r="S357">
        <v>136.6</v>
      </c>
      <c r="T357">
        <v>135.19999999999999</v>
      </c>
      <c r="U357">
        <v>121.9</v>
      </c>
      <c r="V357">
        <v>131.30000000000001</v>
      </c>
      <c r="W357">
        <v>141.4</v>
      </c>
      <c r="X357">
        <v>129.19999999999999</v>
      </c>
      <c r="Y357">
        <v>131.30000000000001</v>
      </c>
      <c r="Z357">
        <v>137.1</v>
      </c>
      <c r="AA357" s="1">
        <f>SUM(Table1[[#This Row],[Cereals and products]:[Food and beverages]])/13</f>
        <v>135.16153846153847</v>
      </c>
      <c r="AB357" s="1">
        <f>SUM(Table1[[#This Row],[Fuel and light]])</f>
        <v>136.5</v>
      </c>
      <c r="AC357" s="1">
        <f>SUM(Table1[[#This Row],[Transport and communication]])</f>
        <v>121.9</v>
      </c>
      <c r="AD357" s="1">
        <f>SUM(Table1[[#This Row],[Housing]],Table1[[#This Row],[Household goods and services]])/2</f>
        <v>139.75</v>
      </c>
      <c r="AE357" s="1">
        <f>SUM(Table1[[#This Row],[Health]])</f>
        <v>135.19999999999999</v>
      </c>
      <c r="AF357" s="1">
        <f>SUM(Table1[[#This Row],[Recreation and amusement]],Table1[[#This Row],[Education]])/2</f>
        <v>136.35000000000002</v>
      </c>
      <c r="AG357" s="1">
        <f>SUM(Table1[[#This Row],[Miscellaneous]],Table1[[#This Row],[Personal care and effects]])/2</f>
        <v>130.25</v>
      </c>
    </row>
    <row r="358" spans="1:33" hidden="1" x14ac:dyDescent="0.3">
      <c r="A358" t="s">
        <v>33</v>
      </c>
      <c r="B358">
        <v>2018</v>
      </c>
      <c r="C358" t="s">
        <v>48</v>
      </c>
      <c r="D358">
        <v>137.1</v>
      </c>
      <c r="E358">
        <v>144.5</v>
      </c>
      <c r="F358">
        <v>135.9</v>
      </c>
      <c r="G358">
        <v>142.4</v>
      </c>
      <c r="H358">
        <v>123.5</v>
      </c>
      <c r="I358">
        <v>156.4</v>
      </c>
      <c r="J358">
        <v>135.1</v>
      </c>
      <c r="K358">
        <v>128.4</v>
      </c>
      <c r="L358">
        <v>115.2</v>
      </c>
      <c r="M358">
        <v>137.19999999999999</v>
      </c>
      <c r="N358">
        <v>131.9</v>
      </c>
      <c r="O358">
        <v>153.80000000000001</v>
      </c>
      <c r="P358">
        <v>138.6</v>
      </c>
      <c r="Q358">
        <f>AVERAGE(Q356:Q357)</f>
        <v>142.9</v>
      </c>
      <c r="R358">
        <v>143.80000000000001</v>
      </c>
      <c r="S358">
        <v>140.9</v>
      </c>
      <c r="T358">
        <v>137.6</v>
      </c>
      <c r="U358">
        <v>125.3</v>
      </c>
      <c r="V358">
        <v>136</v>
      </c>
      <c r="W358">
        <v>143.69999999999999</v>
      </c>
      <c r="X358">
        <v>130.4</v>
      </c>
      <c r="Y358">
        <v>134.19999999999999</v>
      </c>
      <c r="Z358">
        <v>139.1</v>
      </c>
      <c r="AA358" s="1">
        <f>SUM(Table1[[#This Row],[Cereals and products]:[Food and beverages]])/13</f>
        <v>136.92307692307693</v>
      </c>
      <c r="AB358" s="1">
        <f>SUM(Table1[[#This Row],[Fuel and light]])</f>
        <v>143.80000000000001</v>
      </c>
      <c r="AC358" s="1">
        <f>SUM(Table1[[#This Row],[Transport and communication]])</f>
        <v>125.3</v>
      </c>
      <c r="AD358" s="1">
        <f>SUM(Table1[[#This Row],[Housing]],Table1[[#This Row],[Household goods and services]])/2</f>
        <v>141.9</v>
      </c>
      <c r="AE358" s="1">
        <f>SUM(Table1[[#This Row],[Health]])</f>
        <v>137.6</v>
      </c>
      <c r="AF358" s="1">
        <f>SUM(Table1[[#This Row],[Recreation and amusement]],Table1[[#This Row],[Education]])/2</f>
        <v>139.85</v>
      </c>
      <c r="AG358" s="1">
        <f>SUM(Table1[[#This Row],[Miscellaneous]],Table1[[#This Row],[Personal care and effects]])/2</f>
        <v>132.30000000000001</v>
      </c>
    </row>
    <row r="359" spans="1:33" hidden="1" x14ac:dyDescent="0.3">
      <c r="A359" t="s">
        <v>36</v>
      </c>
      <c r="B359">
        <v>2017</v>
      </c>
      <c r="C359" t="s">
        <v>48</v>
      </c>
      <c r="D359">
        <v>132.69999999999999</v>
      </c>
      <c r="E359">
        <v>140.6</v>
      </c>
      <c r="F359">
        <v>124.5</v>
      </c>
      <c r="G359">
        <v>136.30000000000001</v>
      </c>
      <c r="H359">
        <v>113.5</v>
      </c>
      <c r="I359">
        <v>137.69999999999999</v>
      </c>
      <c r="J359">
        <v>127.1</v>
      </c>
      <c r="K359">
        <v>133.80000000000001</v>
      </c>
      <c r="L359">
        <v>120.8</v>
      </c>
      <c r="M359">
        <v>141.30000000000001</v>
      </c>
      <c r="N359">
        <v>123.8</v>
      </c>
      <c r="O359">
        <v>142.6</v>
      </c>
      <c r="P359">
        <v>133.4</v>
      </c>
      <c r="Q359">
        <v>131.69999999999999</v>
      </c>
      <c r="R359">
        <v>121.4</v>
      </c>
      <c r="S359">
        <v>126</v>
      </c>
      <c r="T359">
        <v>123.4</v>
      </c>
      <c r="U359">
        <v>114.3</v>
      </c>
      <c r="V359">
        <v>122.6</v>
      </c>
      <c r="W359">
        <v>133.6</v>
      </c>
      <c r="X359">
        <v>122.2</v>
      </c>
      <c r="Y359">
        <v>122.5</v>
      </c>
      <c r="Z359">
        <v>129.1</v>
      </c>
      <c r="AA359" s="1">
        <f>SUM(Table1[[#This Row],[Cereals and products]:[Food and beverages]])/13</f>
        <v>131.3923076923077</v>
      </c>
      <c r="AB359" s="1">
        <f>SUM(Table1[[#This Row],[Fuel and light]])</f>
        <v>121.4</v>
      </c>
      <c r="AC359" s="1">
        <f>SUM(Table1[[#This Row],[Transport and communication]])</f>
        <v>114.3</v>
      </c>
      <c r="AD359" s="1">
        <f>SUM(Table1[[#This Row],[Housing]],Table1[[#This Row],[Household goods and services]])/2</f>
        <v>128.85</v>
      </c>
      <c r="AE359" s="1">
        <f>SUM(Table1[[#This Row],[Health]])</f>
        <v>123.4</v>
      </c>
      <c r="AF359" s="1">
        <f>SUM(Table1[[#This Row],[Recreation and amusement]],Table1[[#This Row],[Education]])/2</f>
        <v>128.1</v>
      </c>
      <c r="AG359" s="1">
        <f>SUM(Table1[[#This Row],[Miscellaneous]],Table1[[#This Row],[Personal care and effects]])/2</f>
        <v>122.35</v>
      </c>
    </row>
    <row r="360" spans="1:33" hidden="1" x14ac:dyDescent="0.3">
      <c r="A360" t="s">
        <v>35</v>
      </c>
      <c r="B360">
        <v>2017</v>
      </c>
      <c r="C360" t="s">
        <v>48</v>
      </c>
      <c r="D360">
        <v>133</v>
      </c>
      <c r="E360">
        <v>139.4</v>
      </c>
      <c r="F360">
        <v>126.1</v>
      </c>
      <c r="G360">
        <v>137.19999999999999</v>
      </c>
      <c r="H360">
        <v>118.4</v>
      </c>
      <c r="I360">
        <v>139.9</v>
      </c>
      <c r="J360">
        <v>123.4</v>
      </c>
      <c r="K360">
        <v>140.9</v>
      </c>
      <c r="L360">
        <v>118.5</v>
      </c>
      <c r="M360">
        <v>136.5</v>
      </c>
      <c r="N360">
        <v>127.4</v>
      </c>
      <c r="O360">
        <v>144.19999999999999</v>
      </c>
      <c r="P360">
        <v>133.5</v>
      </c>
      <c r="Q360">
        <v>131.69999999999999</v>
      </c>
      <c r="R360">
        <v>129.80000000000001</v>
      </c>
      <c r="S360">
        <v>130.4</v>
      </c>
      <c r="T360">
        <v>128.1</v>
      </c>
      <c r="U360">
        <v>116.6</v>
      </c>
      <c r="V360">
        <v>125.1</v>
      </c>
      <c r="W360">
        <v>134.5</v>
      </c>
      <c r="X360">
        <v>123.1</v>
      </c>
      <c r="Y360">
        <v>125.1</v>
      </c>
      <c r="Z360">
        <v>131.1</v>
      </c>
      <c r="AA360" s="1">
        <f>SUM(Table1[[#This Row],[Cereals and products]:[Food and beverages]])/13</f>
        <v>132.1846153846154</v>
      </c>
      <c r="AB360" s="1">
        <f>SUM(Table1[[#This Row],[Fuel and light]])</f>
        <v>129.80000000000001</v>
      </c>
      <c r="AC360" s="1">
        <f>SUM(Table1[[#This Row],[Transport and communication]])</f>
        <v>116.6</v>
      </c>
      <c r="AD360" s="1">
        <f>SUM(Table1[[#This Row],[Housing]],Table1[[#This Row],[Household goods and services]])/2</f>
        <v>131.05000000000001</v>
      </c>
      <c r="AE360" s="1">
        <f>SUM(Table1[[#This Row],[Health]])</f>
        <v>128.1</v>
      </c>
      <c r="AF360" s="1">
        <f>SUM(Table1[[#This Row],[Recreation and amusement]],Table1[[#This Row],[Education]])/2</f>
        <v>129.80000000000001</v>
      </c>
      <c r="AG360" s="1">
        <f>SUM(Table1[[#This Row],[Miscellaneous]],Table1[[#This Row],[Personal care and effects]])/2</f>
        <v>124.1</v>
      </c>
    </row>
    <row r="361" spans="1:33" hidden="1" x14ac:dyDescent="0.3">
      <c r="A361" t="s">
        <v>33</v>
      </c>
      <c r="B361">
        <v>2017</v>
      </c>
      <c r="C361" t="s">
        <v>48</v>
      </c>
      <c r="D361">
        <v>133.19999999999999</v>
      </c>
      <c r="E361">
        <v>138.69999999999999</v>
      </c>
      <c r="F361">
        <v>127.1</v>
      </c>
      <c r="G361">
        <v>137.69999999999999</v>
      </c>
      <c r="H361">
        <v>121.3</v>
      </c>
      <c r="I361">
        <v>141.80000000000001</v>
      </c>
      <c r="J361">
        <v>121.5</v>
      </c>
      <c r="K361">
        <v>144.5</v>
      </c>
      <c r="L361">
        <v>117.4</v>
      </c>
      <c r="M361">
        <v>134.1</v>
      </c>
      <c r="N361">
        <v>130</v>
      </c>
      <c r="O361">
        <v>145.5</v>
      </c>
      <c r="P361">
        <v>133.5</v>
      </c>
      <c r="Q361">
        <f>AVERAGE(Q359:Q360)</f>
        <v>131.69999999999999</v>
      </c>
      <c r="R361">
        <v>135</v>
      </c>
      <c r="S361">
        <v>134.30000000000001</v>
      </c>
      <c r="T361">
        <v>131</v>
      </c>
      <c r="U361">
        <v>119.2</v>
      </c>
      <c r="V361">
        <v>128.30000000000001</v>
      </c>
      <c r="W361">
        <v>135.69999999999999</v>
      </c>
      <c r="X361">
        <v>123.7</v>
      </c>
      <c r="Y361">
        <v>127.5</v>
      </c>
      <c r="Z361">
        <v>132.9</v>
      </c>
      <c r="AA361" s="1">
        <f>SUM(Table1[[#This Row],[Cereals and products]:[Food and beverages]])/13</f>
        <v>132.7923076923077</v>
      </c>
      <c r="AB361" s="1">
        <f>SUM(Table1[[#This Row],[Fuel and light]])</f>
        <v>135</v>
      </c>
      <c r="AC361" s="1">
        <f>SUM(Table1[[#This Row],[Transport and communication]])</f>
        <v>119.2</v>
      </c>
      <c r="AD361" s="1">
        <f>SUM(Table1[[#This Row],[Housing]],Table1[[#This Row],[Household goods and services]])/2</f>
        <v>133</v>
      </c>
      <c r="AE361" s="1">
        <f>SUM(Table1[[#This Row],[Health]])</f>
        <v>131</v>
      </c>
      <c r="AF361" s="1">
        <f>SUM(Table1[[#This Row],[Recreation and amusement]],Table1[[#This Row],[Education]])/2</f>
        <v>132</v>
      </c>
      <c r="AG361" s="1">
        <f>SUM(Table1[[#This Row],[Miscellaneous]],Table1[[#This Row],[Personal care and effects]])/2</f>
        <v>125.6</v>
      </c>
    </row>
    <row r="362" spans="1:33" hidden="1" x14ac:dyDescent="0.3">
      <c r="A362" t="s">
        <v>36</v>
      </c>
      <c r="B362">
        <v>2016</v>
      </c>
      <c r="C362" t="s">
        <v>48</v>
      </c>
      <c r="D362">
        <v>124.9</v>
      </c>
      <c r="E362">
        <v>139.30000000000001</v>
      </c>
      <c r="F362">
        <v>119.9</v>
      </c>
      <c r="G362">
        <v>130.19999999999999</v>
      </c>
      <c r="H362">
        <v>108.9</v>
      </c>
      <c r="I362">
        <v>131.1</v>
      </c>
      <c r="J362">
        <v>136.80000000000001</v>
      </c>
      <c r="K362">
        <v>176.9</v>
      </c>
      <c r="L362">
        <v>109.1</v>
      </c>
      <c r="M362">
        <v>140.4</v>
      </c>
      <c r="N362">
        <v>121.1</v>
      </c>
      <c r="O362">
        <v>135.9</v>
      </c>
      <c r="P362">
        <v>131.80000000000001</v>
      </c>
      <c r="Q362">
        <v>125.6</v>
      </c>
      <c r="R362">
        <v>114.6</v>
      </c>
      <c r="S362">
        <v>122.8</v>
      </c>
      <c r="T362">
        <v>120</v>
      </c>
      <c r="U362">
        <v>110</v>
      </c>
      <c r="V362">
        <v>119.5</v>
      </c>
      <c r="W362">
        <v>127.6</v>
      </c>
      <c r="X362">
        <v>117.6</v>
      </c>
      <c r="Y362">
        <v>118.2</v>
      </c>
      <c r="Z362">
        <v>125.3</v>
      </c>
      <c r="AA362" s="1">
        <f>SUM(Table1[[#This Row],[Cereals and products]:[Food and beverages]])/13</f>
        <v>131.25384615384615</v>
      </c>
      <c r="AB362" s="1">
        <f>SUM(Table1[[#This Row],[Fuel and light]])</f>
        <v>114.6</v>
      </c>
      <c r="AC362" s="1">
        <f>SUM(Table1[[#This Row],[Transport and communication]])</f>
        <v>110</v>
      </c>
      <c r="AD362" s="1">
        <f>SUM(Table1[[#This Row],[Housing]],Table1[[#This Row],[Household goods and services]])/2</f>
        <v>124.19999999999999</v>
      </c>
      <c r="AE362" s="1">
        <f>SUM(Table1[[#This Row],[Health]])</f>
        <v>120</v>
      </c>
      <c r="AF362" s="1">
        <f>SUM(Table1[[#This Row],[Recreation and amusement]],Table1[[#This Row],[Education]])/2</f>
        <v>123.55</v>
      </c>
      <c r="AG362" s="1">
        <f>SUM(Table1[[#This Row],[Miscellaneous]],Table1[[#This Row],[Personal care and effects]])/2</f>
        <v>117.9</v>
      </c>
    </row>
    <row r="363" spans="1:33" hidden="1" x14ac:dyDescent="0.3">
      <c r="A363" t="s">
        <v>35</v>
      </c>
      <c r="B363">
        <v>2016</v>
      </c>
      <c r="C363" t="s">
        <v>48</v>
      </c>
      <c r="D363">
        <v>126.6</v>
      </c>
      <c r="E363">
        <v>136.80000000000001</v>
      </c>
      <c r="F363">
        <v>122</v>
      </c>
      <c r="G363">
        <v>130.9</v>
      </c>
      <c r="H363">
        <v>114.8</v>
      </c>
      <c r="I363">
        <v>134.80000000000001</v>
      </c>
      <c r="J363">
        <v>135</v>
      </c>
      <c r="K363">
        <v>167.5</v>
      </c>
      <c r="L363">
        <v>106.4</v>
      </c>
      <c r="M363">
        <v>134.4</v>
      </c>
      <c r="N363">
        <v>123.6</v>
      </c>
      <c r="O363">
        <v>136.69999999999999</v>
      </c>
      <c r="P363">
        <v>131.80000000000001</v>
      </c>
      <c r="Q363">
        <v>125.6</v>
      </c>
      <c r="R363">
        <v>122.3</v>
      </c>
      <c r="S363">
        <v>125.5</v>
      </c>
      <c r="T363">
        <v>123.2</v>
      </c>
      <c r="U363">
        <v>112.1</v>
      </c>
      <c r="V363">
        <v>121.1</v>
      </c>
      <c r="W363">
        <v>127.7</v>
      </c>
      <c r="X363">
        <v>118.1</v>
      </c>
      <c r="Y363">
        <v>120</v>
      </c>
      <c r="Z363">
        <v>127.3</v>
      </c>
      <c r="AA363" s="1">
        <f>SUM(Table1[[#This Row],[Cereals and products]:[Food and beverages]])/13</f>
        <v>130.86923076923077</v>
      </c>
      <c r="AB363" s="1">
        <f>SUM(Table1[[#This Row],[Fuel and light]])</f>
        <v>122.3</v>
      </c>
      <c r="AC363" s="1">
        <f>SUM(Table1[[#This Row],[Transport and communication]])</f>
        <v>112.1</v>
      </c>
      <c r="AD363" s="1">
        <f>SUM(Table1[[#This Row],[Housing]],Table1[[#This Row],[Household goods and services]])/2</f>
        <v>125.55</v>
      </c>
      <c r="AE363" s="1">
        <f>SUM(Table1[[#This Row],[Health]])</f>
        <v>123.2</v>
      </c>
      <c r="AF363" s="1">
        <f>SUM(Table1[[#This Row],[Recreation and amusement]],Table1[[#This Row],[Education]])/2</f>
        <v>124.4</v>
      </c>
      <c r="AG363" s="1">
        <f>SUM(Table1[[#This Row],[Miscellaneous]],Table1[[#This Row],[Personal care and effects]])/2</f>
        <v>119.05</v>
      </c>
    </row>
    <row r="364" spans="1:33" hidden="1" x14ac:dyDescent="0.3">
      <c r="A364" t="s">
        <v>33</v>
      </c>
      <c r="B364">
        <v>2016</v>
      </c>
      <c r="C364" t="s">
        <v>48</v>
      </c>
      <c r="D364">
        <v>127.4</v>
      </c>
      <c r="E364">
        <v>135.4</v>
      </c>
      <c r="F364">
        <v>123.4</v>
      </c>
      <c r="G364">
        <v>131.30000000000001</v>
      </c>
      <c r="H364">
        <v>118.2</v>
      </c>
      <c r="I364">
        <v>138.1</v>
      </c>
      <c r="J364">
        <v>134.1</v>
      </c>
      <c r="K364">
        <v>162.69999999999999</v>
      </c>
      <c r="L364">
        <v>105</v>
      </c>
      <c r="M364">
        <v>131.4</v>
      </c>
      <c r="N364">
        <v>125.4</v>
      </c>
      <c r="O364">
        <v>137.4</v>
      </c>
      <c r="P364">
        <v>131.80000000000001</v>
      </c>
      <c r="Q364">
        <f>AVERAGE(Q362:Q363)</f>
        <v>125.6</v>
      </c>
      <c r="R364">
        <v>127</v>
      </c>
      <c r="S364">
        <v>128</v>
      </c>
      <c r="T364">
        <v>125.2</v>
      </c>
      <c r="U364">
        <v>114.4</v>
      </c>
      <c r="V364">
        <v>123.2</v>
      </c>
      <c r="W364">
        <v>127.9</v>
      </c>
      <c r="X364">
        <v>118.4</v>
      </c>
      <c r="Y364">
        <v>121.7</v>
      </c>
      <c r="Z364">
        <v>129</v>
      </c>
      <c r="AA364" s="1">
        <f>SUM(Table1[[#This Row],[Cereals and products]:[Food and beverages]])/13</f>
        <v>130.89230769230772</v>
      </c>
      <c r="AB364" s="1">
        <f>SUM(Table1[[#This Row],[Fuel and light]])</f>
        <v>127</v>
      </c>
      <c r="AC364" s="1">
        <f>SUM(Table1[[#This Row],[Transport and communication]])</f>
        <v>114.4</v>
      </c>
      <c r="AD364" s="1">
        <f>SUM(Table1[[#This Row],[Housing]],Table1[[#This Row],[Household goods and services]])/2</f>
        <v>126.8</v>
      </c>
      <c r="AE364" s="1">
        <f>SUM(Table1[[#This Row],[Health]])</f>
        <v>125.2</v>
      </c>
      <c r="AF364" s="1">
        <f>SUM(Table1[[#This Row],[Recreation and amusement]],Table1[[#This Row],[Education]])/2</f>
        <v>125.55000000000001</v>
      </c>
      <c r="AG364" s="1">
        <f>SUM(Table1[[#This Row],[Miscellaneous]],Table1[[#This Row],[Personal care and effects]])/2</f>
        <v>120.05000000000001</v>
      </c>
    </row>
    <row r="365" spans="1:33" hidden="1" x14ac:dyDescent="0.3">
      <c r="A365" t="s">
        <v>33</v>
      </c>
      <c r="B365">
        <v>2015</v>
      </c>
      <c r="C365" t="s">
        <v>48</v>
      </c>
      <c r="D365">
        <v>123.3</v>
      </c>
      <c r="E365">
        <v>125.5</v>
      </c>
      <c r="F365">
        <v>117.2</v>
      </c>
      <c r="G365">
        <v>126.8</v>
      </c>
      <c r="H365">
        <v>111.9</v>
      </c>
      <c r="I365">
        <v>134.19999999999999</v>
      </c>
      <c r="J365">
        <v>127.5</v>
      </c>
      <c r="K365">
        <v>121.5</v>
      </c>
      <c r="L365">
        <v>97.8</v>
      </c>
      <c r="M365">
        <v>119.8</v>
      </c>
      <c r="N365">
        <v>119.4</v>
      </c>
      <c r="O365">
        <v>128.69999999999999</v>
      </c>
      <c r="P365">
        <v>123.6</v>
      </c>
      <c r="Q365">
        <f>AVERAGE(Q366:Q367)</f>
        <v>119.2</v>
      </c>
      <c r="R365">
        <v>121.2</v>
      </c>
      <c r="S365">
        <v>120.9</v>
      </c>
      <c r="T365">
        <v>118.6</v>
      </c>
      <c r="U365">
        <v>111.9</v>
      </c>
      <c r="V365">
        <v>116.2</v>
      </c>
      <c r="W365">
        <v>119.9</v>
      </c>
      <c r="X365">
        <v>111.6</v>
      </c>
      <c r="Y365">
        <v>116</v>
      </c>
      <c r="Z365">
        <v>121.5</v>
      </c>
      <c r="AA365" s="1">
        <f>SUM(Table1[[#This Row],[Cereals and products]:[Food and beverages]])/13</f>
        <v>121.32307692307693</v>
      </c>
      <c r="AB365" s="1">
        <f>SUM(Table1[[#This Row],[Fuel and light]])</f>
        <v>121.2</v>
      </c>
      <c r="AC365" s="1">
        <f>SUM(Table1[[#This Row],[Transport and communication]])</f>
        <v>111.9</v>
      </c>
      <c r="AD365" s="1">
        <f>SUM(Table1[[#This Row],[Housing]],Table1[[#This Row],[Household goods and services]])/2</f>
        <v>120.05000000000001</v>
      </c>
      <c r="AE365" s="1">
        <f>SUM(Table1[[#This Row],[Health]])</f>
        <v>118.6</v>
      </c>
      <c r="AF365" s="1">
        <f>SUM(Table1[[#This Row],[Recreation and amusement]],Table1[[#This Row],[Education]])/2</f>
        <v>118.05000000000001</v>
      </c>
      <c r="AG365" s="1">
        <f>SUM(Table1[[#This Row],[Miscellaneous]],Table1[[#This Row],[Personal care and effects]])/2</f>
        <v>113.8</v>
      </c>
    </row>
    <row r="366" spans="1:33" hidden="1" x14ac:dyDescent="0.3">
      <c r="A366" t="s">
        <v>35</v>
      </c>
      <c r="B366">
        <v>2015</v>
      </c>
      <c r="C366" t="s">
        <v>48</v>
      </c>
      <c r="D366">
        <v>123.5</v>
      </c>
      <c r="E366">
        <v>126.4</v>
      </c>
      <c r="F366">
        <v>114.4</v>
      </c>
      <c r="G366">
        <v>126.6</v>
      </c>
      <c r="H366">
        <v>109.2</v>
      </c>
      <c r="I366">
        <v>132.5</v>
      </c>
      <c r="J366">
        <v>128.6</v>
      </c>
      <c r="K366">
        <v>124.8</v>
      </c>
      <c r="L366">
        <v>95.7</v>
      </c>
      <c r="M366">
        <v>122.4</v>
      </c>
      <c r="N366">
        <v>118.5</v>
      </c>
      <c r="O366">
        <v>129.1</v>
      </c>
      <c r="P366">
        <v>124</v>
      </c>
      <c r="Q366">
        <v>119.2</v>
      </c>
      <c r="R366">
        <v>118.7</v>
      </c>
      <c r="S366">
        <v>119.7</v>
      </c>
      <c r="T366">
        <v>117.1</v>
      </c>
      <c r="U366">
        <v>110.1</v>
      </c>
      <c r="V366">
        <v>115.9</v>
      </c>
      <c r="W366">
        <v>121</v>
      </c>
      <c r="X366">
        <v>111.7</v>
      </c>
      <c r="Y366">
        <v>115.1</v>
      </c>
      <c r="Z366">
        <v>120.7</v>
      </c>
      <c r="AA366" s="1">
        <f>SUM(Table1[[#This Row],[Cereals and products]:[Food and beverages]])/13</f>
        <v>121.20769230769231</v>
      </c>
      <c r="AB366" s="1">
        <f>SUM(Table1[[#This Row],[Fuel and light]])</f>
        <v>118.7</v>
      </c>
      <c r="AC366" s="1">
        <f>SUM(Table1[[#This Row],[Transport and communication]])</f>
        <v>110.1</v>
      </c>
      <c r="AD366" s="1">
        <f>SUM(Table1[[#This Row],[Housing]],Table1[[#This Row],[Household goods and services]])/2</f>
        <v>119.45</v>
      </c>
      <c r="AE366" s="1">
        <f>SUM(Table1[[#This Row],[Health]])</f>
        <v>117.1</v>
      </c>
      <c r="AF366" s="1">
        <f>SUM(Table1[[#This Row],[Recreation and amusement]],Table1[[#This Row],[Education]])/2</f>
        <v>118.45</v>
      </c>
      <c r="AG366" s="1">
        <f>SUM(Table1[[#This Row],[Miscellaneous]],Table1[[#This Row],[Personal care and effects]])/2</f>
        <v>113.4</v>
      </c>
    </row>
    <row r="367" spans="1:33" hidden="1" x14ac:dyDescent="0.3">
      <c r="A367" t="s">
        <v>36</v>
      </c>
      <c r="B367">
        <v>2015</v>
      </c>
      <c r="C367" t="s">
        <v>48</v>
      </c>
      <c r="D367">
        <v>123.8</v>
      </c>
      <c r="E367">
        <v>128.19999999999999</v>
      </c>
      <c r="F367">
        <v>110</v>
      </c>
      <c r="G367">
        <v>126.3</v>
      </c>
      <c r="H367">
        <v>104.5</v>
      </c>
      <c r="I367">
        <v>130.6</v>
      </c>
      <c r="J367">
        <v>130.80000000000001</v>
      </c>
      <c r="K367">
        <v>131.30000000000001</v>
      </c>
      <c r="L367">
        <v>91.6</v>
      </c>
      <c r="M367">
        <v>127.7</v>
      </c>
      <c r="N367">
        <v>117.2</v>
      </c>
      <c r="O367">
        <v>129.5</v>
      </c>
      <c r="P367">
        <v>124.6</v>
      </c>
      <c r="Q367">
        <v>119.2</v>
      </c>
      <c r="R367">
        <v>114.7</v>
      </c>
      <c r="S367">
        <v>118.4</v>
      </c>
      <c r="T367">
        <v>114.6</v>
      </c>
      <c r="U367">
        <v>108.4</v>
      </c>
      <c r="V367">
        <v>115.6</v>
      </c>
      <c r="W367">
        <v>121.7</v>
      </c>
      <c r="X367">
        <v>111.8</v>
      </c>
      <c r="Y367">
        <v>114.2</v>
      </c>
      <c r="Z367">
        <v>119.7</v>
      </c>
      <c r="AA367" s="1">
        <f>SUM(Table1[[#This Row],[Cereals and products]:[Food and beverages]])/13</f>
        <v>121.23846153846154</v>
      </c>
      <c r="AB367" s="1">
        <f>SUM(Table1[[#This Row],[Fuel and light]])</f>
        <v>114.7</v>
      </c>
      <c r="AC367" s="1">
        <f>SUM(Table1[[#This Row],[Transport and communication]])</f>
        <v>108.4</v>
      </c>
      <c r="AD367" s="1">
        <f>SUM(Table1[[#This Row],[Housing]],Table1[[#This Row],[Household goods and services]])/2</f>
        <v>118.80000000000001</v>
      </c>
      <c r="AE367" s="1">
        <f>SUM(Table1[[#This Row],[Health]])</f>
        <v>114.6</v>
      </c>
      <c r="AF367" s="1">
        <f>SUM(Table1[[#This Row],[Recreation and amusement]],Table1[[#This Row],[Education]])/2</f>
        <v>118.65</v>
      </c>
      <c r="AG367" s="1">
        <f>SUM(Table1[[#This Row],[Miscellaneous]],Table1[[#This Row],[Personal care and effects]])/2</f>
        <v>113</v>
      </c>
    </row>
    <row r="368" spans="1:33" hidden="1" x14ac:dyDescent="0.3">
      <c r="A368" t="s">
        <v>33</v>
      </c>
      <c r="B368">
        <v>2014</v>
      </c>
      <c r="C368" t="s">
        <v>48</v>
      </c>
      <c r="D368">
        <v>120.2</v>
      </c>
      <c r="E368">
        <v>118.9</v>
      </c>
      <c r="F368">
        <v>118.1</v>
      </c>
      <c r="G368">
        <v>117</v>
      </c>
      <c r="H368">
        <v>109.7</v>
      </c>
      <c r="I368">
        <v>125.5</v>
      </c>
      <c r="J368">
        <v>120.5</v>
      </c>
      <c r="K368">
        <v>111</v>
      </c>
      <c r="L368">
        <v>102.6</v>
      </c>
      <c r="M368">
        <v>111.2</v>
      </c>
      <c r="N368">
        <v>113.5</v>
      </c>
      <c r="O368">
        <v>118.7</v>
      </c>
      <c r="P368">
        <v>117.2</v>
      </c>
      <c r="Q368">
        <f>AVERAGE(Q369:Q370)</f>
        <v>113.9</v>
      </c>
      <c r="R368">
        <v>113.4</v>
      </c>
      <c r="S368">
        <v>113.7</v>
      </c>
      <c r="T368">
        <v>111.8</v>
      </c>
      <c r="U368">
        <v>111.2</v>
      </c>
      <c r="V368">
        <v>110.5</v>
      </c>
      <c r="W368">
        <v>113</v>
      </c>
      <c r="X368">
        <v>108.9</v>
      </c>
      <c r="Y368">
        <v>111.5</v>
      </c>
      <c r="Z368">
        <v>115.4</v>
      </c>
      <c r="AA368" s="1">
        <f>SUM(Table1[[#This Row],[Cereals and products]:[Food and beverages]])/13</f>
        <v>115.70000000000002</v>
      </c>
      <c r="AB368" s="1">
        <f>SUM(Table1[[#This Row],[Fuel and light]])</f>
        <v>113.4</v>
      </c>
      <c r="AC368" s="1">
        <f>SUM(Table1[[#This Row],[Transport and communication]])</f>
        <v>111.2</v>
      </c>
      <c r="AD368" s="1">
        <f>SUM(Table1[[#This Row],[Housing]],Table1[[#This Row],[Household goods and services]])/2</f>
        <v>113.80000000000001</v>
      </c>
      <c r="AE368" s="1">
        <f>SUM(Table1[[#This Row],[Health]])</f>
        <v>111.8</v>
      </c>
      <c r="AF368" s="1">
        <f>SUM(Table1[[#This Row],[Recreation and amusement]],Table1[[#This Row],[Education]])/2</f>
        <v>111.75</v>
      </c>
      <c r="AG368" s="1">
        <f>SUM(Table1[[#This Row],[Miscellaneous]],Table1[[#This Row],[Personal care and effects]])/2</f>
        <v>110.2</v>
      </c>
    </row>
    <row r="369" spans="1:33" hidden="1" x14ac:dyDescent="0.3">
      <c r="A369" t="s">
        <v>35</v>
      </c>
      <c r="B369">
        <v>2014</v>
      </c>
      <c r="C369" t="s">
        <v>48</v>
      </c>
      <c r="D369">
        <v>120.9</v>
      </c>
      <c r="E369">
        <v>119.9</v>
      </c>
      <c r="F369">
        <v>116.2</v>
      </c>
      <c r="G369">
        <v>117</v>
      </c>
      <c r="H369">
        <v>107.3</v>
      </c>
      <c r="I369">
        <v>126.1</v>
      </c>
      <c r="J369">
        <v>120.7</v>
      </c>
      <c r="K369">
        <v>111</v>
      </c>
      <c r="L369">
        <v>101.8</v>
      </c>
      <c r="M369">
        <v>112.6</v>
      </c>
      <c r="N369">
        <v>113.2</v>
      </c>
      <c r="O369">
        <v>119.8</v>
      </c>
      <c r="P369">
        <v>117.6</v>
      </c>
      <c r="Q369">
        <v>113.9</v>
      </c>
      <c r="R369">
        <v>112.5</v>
      </c>
      <c r="S369">
        <v>113.6</v>
      </c>
      <c r="T369">
        <v>111.5</v>
      </c>
      <c r="U369">
        <v>111.2</v>
      </c>
      <c r="V369">
        <v>110.9</v>
      </c>
      <c r="W369">
        <v>112.7</v>
      </c>
      <c r="X369">
        <v>109</v>
      </c>
      <c r="Y369">
        <v>111.5</v>
      </c>
      <c r="Z369">
        <v>115.1</v>
      </c>
      <c r="AA369" s="1">
        <f>SUM(Table1[[#This Row],[Cereals and products]:[Food and beverages]])/13</f>
        <v>115.69999999999999</v>
      </c>
      <c r="AB369" s="1">
        <f>SUM(Table1[[#This Row],[Fuel and light]])</f>
        <v>112.5</v>
      </c>
      <c r="AC369" s="1">
        <f>SUM(Table1[[#This Row],[Transport and communication]])</f>
        <v>111.2</v>
      </c>
      <c r="AD369" s="1">
        <f>SUM(Table1[[#This Row],[Housing]],Table1[[#This Row],[Household goods and services]])/2</f>
        <v>113.75</v>
      </c>
      <c r="AE369" s="1">
        <f>SUM(Table1[[#This Row],[Health]])</f>
        <v>111.5</v>
      </c>
      <c r="AF369" s="1">
        <f>SUM(Table1[[#This Row],[Recreation and amusement]],Table1[[#This Row],[Education]])/2</f>
        <v>111.80000000000001</v>
      </c>
      <c r="AG369" s="1">
        <f>SUM(Table1[[#This Row],[Miscellaneous]],Table1[[#This Row],[Personal care and effects]])/2</f>
        <v>110.25</v>
      </c>
    </row>
    <row r="370" spans="1:33" hidden="1" x14ac:dyDescent="0.3">
      <c r="A370" t="s">
        <v>36</v>
      </c>
      <c r="B370">
        <v>2014</v>
      </c>
      <c r="C370" t="s">
        <v>48</v>
      </c>
      <c r="D370">
        <v>122.5</v>
      </c>
      <c r="E370">
        <v>121.7</v>
      </c>
      <c r="F370">
        <v>113.3</v>
      </c>
      <c r="G370">
        <v>117</v>
      </c>
      <c r="H370">
        <v>103.1</v>
      </c>
      <c r="I370">
        <v>126.7</v>
      </c>
      <c r="J370">
        <v>121.2</v>
      </c>
      <c r="K370">
        <v>111</v>
      </c>
      <c r="L370">
        <v>100.3</v>
      </c>
      <c r="M370">
        <v>115.3</v>
      </c>
      <c r="N370">
        <v>112.7</v>
      </c>
      <c r="O370">
        <v>121</v>
      </c>
      <c r="P370">
        <v>118.2</v>
      </c>
      <c r="Q370">
        <v>113.9</v>
      </c>
      <c r="R370">
        <v>110.9</v>
      </c>
      <c r="S370">
        <v>113.4</v>
      </c>
      <c r="T370">
        <v>111</v>
      </c>
      <c r="U370">
        <v>111.2</v>
      </c>
      <c r="V370">
        <v>111.2</v>
      </c>
      <c r="W370">
        <v>112.5</v>
      </c>
      <c r="X370">
        <v>109.1</v>
      </c>
      <c r="Y370">
        <v>111.4</v>
      </c>
      <c r="Z370">
        <v>114.7</v>
      </c>
      <c r="AA370" s="1">
        <f>SUM(Table1[[#This Row],[Cereals and products]:[Food and beverages]])/13</f>
        <v>115.69230769230771</v>
      </c>
      <c r="AB370" s="1">
        <f>SUM(Table1[[#This Row],[Fuel and light]])</f>
        <v>110.9</v>
      </c>
      <c r="AC370" s="1">
        <f>SUM(Table1[[#This Row],[Transport and communication]])</f>
        <v>111.2</v>
      </c>
      <c r="AD370" s="1">
        <f>SUM(Table1[[#This Row],[Housing]],Table1[[#This Row],[Household goods and services]])/2</f>
        <v>113.65</v>
      </c>
      <c r="AE370" s="1">
        <f>SUM(Table1[[#This Row],[Health]])</f>
        <v>111</v>
      </c>
      <c r="AF370" s="1">
        <f>SUM(Table1[[#This Row],[Recreation and amusement]],Table1[[#This Row],[Education]])/2</f>
        <v>111.85</v>
      </c>
      <c r="AG370" s="1">
        <f>SUM(Table1[[#This Row],[Miscellaneous]],Table1[[#This Row],[Personal care and effects]])/2</f>
        <v>110.25</v>
      </c>
    </row>
    <row r="371" spans="1:33" hidden="1" x14ac:dyDescent="0.3">
      <c r="A371" t="s">
        <v>33</v>
      </c>
      <c r="B371">
        <v>2013</v>
      </c>
      <c r="C371" t="s">
        <v>48</v>
      </c>
      <c r="D371">
        <v>110.2</v>
      </c>
      <c r="E371">
        <v>109.5</v>
      </c>
      <c r="F371">
        <v>106.9</v>
      </c>
      <c r="G371">
        <v>106.3</v>
      </c>
      <c r="H371">
        <v>105.7</v>
      </c>
      <c r="I371">
        <v>108.3</v>
      </c>
      <c r="J371">
        <v>103.4</v>
      </c>
      <c r="K371">
        <v>105.7</v>
      </c>
      <c r="L371">
        <v>104.2</v>
      </c>
      <c r="M371">
        <v>103.2</v>
      </c>
      <c r="N371">
        <v>106.5</v>
      </c>
      <c r="O371">
        <v>108.8</v>
      </c>
      <c r="P371">
        <v>107.1</v>
      </c>
      <c r="Q371">
        <f>AVERAGE(Q372:Q373)</f>
        <v>100.5</v>
      </c>
      <c r="R371">
        <v>106.5</v>
      </c>
      <c r="S371">
        <v>106.1</v>
      </c>
      <c r="T371">
        <v>105.1</v>
      </c>
      <c r="U371">
        <v>104.4</v>
      </c>
      <c r="V371">
        <v>104.5</v>
      </c>
      <c r="W371">
        <v>104.8</v>
      </c>
      <c r="X371">
        <v>102.7</v>
      </c>
      <c r="Y371">
        <v>104.6</v>
      </c>
      <c r="Z371">
        <v>106.4</v>
      </c>
      <c r="AA371" s="1">
        <f>SUM(Table1[[#This Row],[Cereals and products]:[Food and beverages]])/13</f>
        <v>106.6</v>
      </c>
      <c r="AB371" s="1">
        <f>SUM(Table1[[#This Row],[Fuel and light]])</f>
        <v>106.5</v>
      </c>
      <c r="AC371" s="1">
        <f>SUM(Table1[[#This Row],[Transport and communication]])</f>
        <v>104.4</v>
      </c>
      <c r="AD371" s="1">
        <f>SUM(Table1[[#This Row],[Housing]],Table1[[#This Row],[Household goods and services]])/2</f>
        <v>103.3</v>
      </c>
      <c r="AE371" s="1">
        <f>SUM(Table1[[#This Row],[Health]])</f>
        <v>105.1</v>
      </c>
      <c r="AF371" s="1">
        <f>SUM(Table1[[#This Row],[Recreation and amusement]],Table1[[#This Row],[Education]])/2</f>
        <v>104.65</v>
      </c>
      <c r="AG371" s="1">
        <f>SUM(Table1[[#This Row],[Miscellaneous]],Table1[[#This Row],[Personal care and effects]])/2</f>
        <v>103.65</v>
      </c>
    </row>
    <row r="372" spans="1:33" hidden="1" x14ac:dyDescent="0.3">
      <c r="A372" t="s">
        <v>35</v>
      </c>
      <c r="B372">
        <v>2013</v>
      </c>
      <c r="C372" t="s">
        <v>48</v>
      </c>
      <c r="D372">
        <v>111.6</v>
      </c>
      <c r="E372">
        <v>110.9</v>
      </c>
      <c r="F372">
        <v>106.6</v>
      </c>
      <c r="G372">
        <v>105.7</v>
      </c>
      <c r="H372">
        <v>104.4</v>
      </c>
      <c r="I372">
        <v>108.9</v>
      </c>
      <c r="J372">
        <v>105.5</v>
      </c>
      <c r="K372">
        <v>105.3</v>
      </c>
      <c r="L372">
        <v>103.5</v>
      </c>
      <c r="M372">
        <v>103.3</v>
      </c>
      <c r="N372">
        <v>107.2</v>
      </c>
      <c r="O372">
        <v>109.6</v>
      </c>
      <c r="P372">
        <v>107.7</v>
      </c>
      <c r="Q372">
        <v>100.5</v>
      </c>
      <c r="R372">
        <v>106.5</v>
      </c>
      <c r="S372">
        <v>106.3</v>
      </c>
      <c r="T372">
        <v>105.3</v>
      </c>
      <c r="U372">
        <v>104.7</v>
      </c>
      <c r="V372">
        <v>104.2</v>
      </c>
      <c r="W372">
        <v>105</v>
      </c>
      <c r="X372">
        <v>102.9</v>
      </c>
      <c r="Y372">
        <v>104.8</v>
      </c>
      <c r="Z372">
        <v>106.1</v>
      </c>
      <c r="AA372" s="1">
        <f>SUM(Table1[[#This Row],[Cereals and products]:[Food and beverages]])/13</f>
        <v>106.93846153846154</v>
      </c>
      <c r="AB372" s="1">
        <f>SUM(Table1[[#This Row],[Fuel and light]])</f>
        <v>106.5</v>
      </c>
      <c r="AC372" s="1">
        <f>SUM(Table1[[#This Row],[Transport and communication]])</f>
        <v>104.7</v>
      </c>
      <c r="AD372" s="1">
        <f>SUM(Table1[[#This Row],[Housing]],Table1[[#This Row],[Household goods and services]])/2</f>
        <v>103.4</v>
      </c>
      <c r="AE372" s="1">
        <f>SUM(Table1[[#This Row],[Health]])</f>
        <v>105.3</v>
      </c>
      <c r="AF372" s="1">
        <f>SUM(Table1[[#This Row],[Recreation and amusement]],Table1[[#This Row],[Education]])/2</f>
        <v>104.6</v>
      </c>
      <c r="AG372" s="1">
        <f>SUM(Table1[[#This Row],[Miscellaneous]],Table1[[#This Row],[Personal care and effects]])/2</f>
        <v>103.85</v>
      </c>
    </row>
    <row r="373" spans="1:33" hidden="1" x14ac:dyDescent="0.3">
      <c r="A373" t="s">
        <v>36</v>
      </c>
      <c r="B373">
        <v>2013</v>
      </c>
      <c r="C373" t="s">
        <v>48</v>
      </c>
      <c r="D373">
        <v>114.6</v>
      </c>
      <c r="E373">
        <v>113.4</v>
      </c>
      <c r="F373">
        <v>106</v>
      </c>
      <c r="G373">
        <v>104.7</v>
      </c>
      <c r="H373">
        <v>102.1</v>
      </c>
      <c r="I373">
        <v>109.5</v>
      </c>
      <c r="J373">
        <v>109.7</v>
      </c>
      <c r="K373">
        <v>104.6</v>
      </c>
      <c r="L373">
        <v>102</v>
      </c>
      <c r="M373">
        <v>103.5</v>
      </c>
      <c r="N373">
        <v>108.2</v>
      </c>
      <c r="O373">
        <v>110.6</v>
      </c>
      <c r="P373">
        <v>108.8</v>
      </c>
      <c r="Q373">
        <v>100.5</v>
      </c>
      <c r="R373">
        <v>106.4</v>
      </c>
      <c r="S373">
        <v>106.5</v>
      </c>
      <c r="T373">
        <v>105.7</v>
      </c>
      <c r="U373">
        <v>105</v>
      </c>
      <c r="V373">
        <v>104</v>
      </c>
      <c r="W373">
        <v>105.2</v>
      </c>
      <c r="X373">
        <v>103.2</v>
      </c>
      <c r="Y373">
        <v>105.1</v>
      </c>
      <c r="Z373">
        <v>105.7</v>
      </c>
      <c r="AA373" s="1">
        <f>SUM(Table1[[#This Row],[Cereals and products]:[Food and beverages]])/13</f>
        <v>107.5153846153846</v>
      </c>
      <c r="AB373" s="1">
        <f>SUM(Table1[[#This Row],[Fuel and light]])</f>
        <v>106.4</v>
      </c>
      <c r="AC373" s="1">
        <f>SUM(Table1[[#This Row],[Transport and communication]])</f>
        <v>105</v>
      </c>
      <c r="AD373" s="1">
        <f>SUM(Table1[[#This Row],[Housing]],Table1[[#This Row],[Household goods and services]])/2</f>
        <v>103.5</v>
      </c>
      <c r="AE373" s="1">
        <f>SUM(Table1[[#This Row],[Health]])</f>
        <v>105.7</v>
      </c>
      <c r="AF373" s="1">
        <f>SUM(Table1[[#This Row],[Recreation and amusement]],Table1[[#This Row],[Education]])/2</f>
        <v>104.6</v>
      </c>
      <c r="AG373" s="1">
        <f>SUM(Table1[[#This Row],[Miscellaneous]],Table1[[#This Row],[Personal care and effects]])/2</f>
        <v>104.15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A8DF-5EC7-46AD-B1F0-D5A18E4456B5}">
  <dimension ref="A20:N90"/>
  <sheetViews>
    <sheetView topLeftCell="G74" workbookViewId="0">
      <selection activeCell="G42" sqref="G42"/>
    </sheetView>
  </sheetViews>
  <sheetFormatPr defaultRowHeight="14.4" x14ac:dyDescent="0.3"/>
  <cols>
    <col min="4" max="4" width="11" customWidth="1"/>
    <col min="5" max="5" width="19.21875" customWidth="1"/>
    <col min="6" max="6" width="28" customWidth="1"/>
    <col min="7" max="7" width="17.6640625" customWidth="1"/>
    <col min="8" max="8" width="35" customWidth="1"/>
  </cols>
  <sheetData>
    <row r="20" spans="1:5" x14ac:dyDescent="0.3">
      <c r="A20" s="32"/>
      <c r="B20" s="33"/>
      <c r="C20" s="33"/>
      <c r="D20" s="39"/>
      <c r="E20" s="40"/>
    </row>
    <row r="21" spans="1:5" x14ac:dyDescent="0.3">
      <c r="A21" s="30"/>
      <c r="B21" s="31"/>
      <c r="C21" s="31"/>
      <c r="D21" s="38"/>
      <c r="E21" s="41"/>
    </row>
    <row r="22" spans="1:5" x14ac:dyDescent="0.3">
      <c r="A22" s="34"/>
      <c r="B22" s="35"/>
      <c r="C22" s="35"/>
      <c r="D22" s="37"/>
      <c r="E22" s="41"/>
    </row>
    <row r="23" spans="1:5" x14ac:dyDescent="0.3">
      <c r="A23" s="30"/>
      <c r="B23" s="31"/>
      <c r="C23" s="31"/>
      <c r="D23" s="38"/>
      <c r="E23" s="41"/>
    </row>
    <row r="24" spans="1:5" x14ac:dyDescent="0.3">
      <c r="A24" s="34"/>
      <c r="B24" s="35"/>
      <c r="C24" s="35"/>
      <c r="D24" s="37"/>
      <c r="E24" s="41"/>
    </row>
    <row r="25" spans="1:5" x14ac:dyDescent="0.3">
      <c r="A25" s="30"/>
      <c r="B25" s="31"/>
      <c r="C25" s="31"/>
      <c r="D25" s="38"/>
      <c r="E25" s="41"/>
    </row>
    <row r="26" spans="1:5" x14ac:dyDescent="0.3">
      <c r="A26" s="34"/>
      <c r="B26" s="35"/>
      <c r="C26" s="35"/>
      <c r="D26" s="37"/>
      <c r="E26" s="41"/>
    </row>
    <row r="27" spans="1:5" x14ac:dyDescent="0.3">
      <c r="A27" s="30"/>
      <c r="B27" s="31"/>
      <c r="C27" s="31"/>
      <c r="D27" s="38"/>
      <c r="E27" s="41"/>
    </row>
    <row r="28" spans="1:5" x14ac:dyDescent="0.3">
      <c r="A28" s="34"/>
      <c r="B28" s="35"/>
      <c r="C28" s="35"/>
      <c r="D28" s="37"/>
      <c r="E28" s="41"/>
    </row>
    <row r="29" spans="1:5" x14ac:dyDescent="0.3">
      <c r="A29" s="34"/>
      <c r="B29" s="35"/>
      <c r="C29" s="35"/>
      <c r="D29" s="37"/>
      <c r="E29" s="41"/>
    </row>
    <row r="30" spans="1:5" x14ac:dyDescent="0.3">
      <c r="A30" s="30"/>
      <c r="B30" s="31"/>
      <c r="C30" s="31"/>
      <c r="D30" s="38"/>
      <c r="E30" s="41"/>
    </row>
    <row r="31" spans="1:5" x14ac:dyDescent="0.3">
      <c r="A31" s="34"/>
      <c r="B31" s="35"/>
      <c r="C31" s="35"/>
      <c r="D31" s="37"/>
      <c r="E31" s="41"/>
    </row>
    <row r="32" spans="1:5" x14ac:dyDescent="0.3">
      <c r="A32" s="30"/>
      <c r="B32" s="31"/>
      <c r="C32" s="31"/>
      <c r="D32" s="38"/>
      <c r="E32" s="41"/>
    </row>
    <row r="33" spans="1:10" x14ac:dyDescent="0.3">
      <c r="A33" s="34"/>
      <c r="B33" s="35"/>
      <c r="C33" s="35"/>
      <c r="D33" s="37"/>
      <c r="E33" s="41"/>
    </row>
    <row r="37" spans="1:10" x14ac:dyDescent="0.3">
      <c r="I37" s="16" t="s">
        <v>77</v>
      </c>
      <c r="J37" s="16" t="s">
        <v>76</v>
      </c>
    </row>
    <row r="39" spans="1:10" x14ac:dyDescent="0.3">
      <c r="B39" s="32" t="s">
        <v>0</v>
      </c>
      <c r="C39" s="33" t="s">
        <v>1</v>
      </c>
      <c r="D39" s="33" t="s">
        <v>2</v>
      </c>
      <c r="E39" s="39" t="s">
        <v>26</v>
      </c>
      <c r="F39" s="42" t="s">
        <v>75</v>
      </c>
    </row>
    <row r="40" spans="1:10" x14ac:dyDescent="0.3">
      <c r="B40" s="34" t="s">
        <v>33</v>
      </c>
      <c r="C40" s="35">
        <v>2022</v>
      </c>
      <c r="D40" s="35" t="s">
        <v>34</v>
      </c>
      <c r="E40" s="37">
        <v>174.44615384615386</v>
      </c>
      <c r="F40" s="43"/>
    </row>
    <row r="41" spans="1:10" x14ac:dyDescent="0.3">
      <c r="B41" s="30" t="s">
        <v>33</v>
      </c>
      <c r="C41" s="31">
        <v>2022</v>
      </c>
      <c r="D41" s="31" t="s">
        <v>40</v>
      </c>
      <c r="E41" s="38">
        <v>175.73076923076923</v>
      </c>
      <c r="F41" s="43">
        <f>((E41-E40)/E40 * 100)</f>
        <v>0.73639650762852682</v>
      </c>
    </row>
    <row r="42" spans="1:10" x14ac:dyDescent="0.3">
      <c r="B42" s="34" t="s">
        <v>33</v>
      </c>
      <c r="C42" s="35">
        <v>2022</v>
      </c>
      <c r="D42" s="35" t="s">
        <v>45</v>
      </c>
      <c r="E42" s="37">
        <v>175.97692307692307</v>
      </c>
      <c r="F42" s="43">
        <f t="shared" ref="F42:F52" si="0">((E42-E41)/E41 * 100)</f>
        <v>0.14007441453272002</v>
      </c>
    </row>
    <row r="43" spans="1:10" x14ac:dyDescent="0.3">
      <c r="B43" s="30" t="s">
        <v>33</v>
      </c>
      <c r="C43" s="31">
        <v>2022</v>
      </c>
      <c r="D43" s="31" t="s">
        <v>47</v>
      </c>
      <c r="E43" s="38">
        <v>171.2923076923077</v>
      </c>
      <c r="F43" s="43">
        <f t="shared" si="0"/>
        <v>-2.6620623333478957</v>
      </c>
    </row>
    <row r="44" spans="1:10" x14ac:dyDescent="0.3">
      <c r="B44" s="34" t="s">
        <v>33</v>
      </c>
      <c r="C44" s="35">
        <v>2022</v>
      </c>
      <c r="D44" s="35" t="s">
        <v>43</v>
      </c>
      <c r="E44" s="37">
        <v>172.94615384615386</v>
      </c>
      <c r="F44" s="43">
        <f t="shared" si="0"/>
        <v>0.96551104724268388</v>
      </c>
    </row>
    <row r="45" spans="1:10" x14ac:dyDescent="0.3">
      <c r="B45" s="30" t="s">
        <v>33</v>
      </c>
      <c r="C45" s="31">
        <v>2022</v>
      </c>
      <c r="D45" s="31" t="s">
        <v>42</v>
      </c>
      <c r="E45" s="38">
        <v>173.26923076923077</v>
      </c>
      <c r="F45" s="43">
        <f t="shared" si="0"/>
        <v>0.1868078103455876</v>
      </c>
    </row>
    <row r="46" spans="1:10" x14ac:dyDescent="0.3">
      <c r="B46" s="34" t="s">
        <v>33</v>
      </c>
      <c r="C46" s="35">
        <v>2022</v>
      </c>
      <c r="D46" s="35" t="s">
        <v>38</v>
      </c>
      <c r="E46" s="37">
        <v>175.16153846153844</v>
      </c>
      <c r="F46" s="43">
        <f t="shared" si="0"/>
        <v>1.0921198668146364</v>
      </c>
    </row>
    <row r="47" spans="1:10" x14ac:dyDescent="0.3">
      <c r="B47" s="30" t="s">
        <v>33</v>
      </c>
      <c r="C47" s="31">
        <v>2022</v>
      </c>
      <c r="D47" s="31" t="s">
        <v>37</v>
      </c>
      <c r="E47" s="38">
        <v>173.5230769230769</v>
      </c>
      <c r="F47" s="43">
        <f t="shared" si="0"/>
        <v>-0.93540028984234525</v>
      </c>
    </row>
    <row r="48" spans="1:10" x14ac:dyDescent="0.3">
      <c r="B48" s="34" t="s">
        <v>33</v>
      </c>
      <c r="C48" s="35">
        <v>2023</v>
      </c>
      <c r="D48" s="35" t="s">
        <v>47</v>
      </c>
      <c r="E48" s="37">
        <v>176.20769230769235</v>
      </c>
      <c r="F48" s="43">
        <f t="shared" si="0"/>
        <v>1.5471229718947124</v>
      </c>
    </row>
    <row r="49" spans="2:14" x14ac:dyDescent="0.3">
      <c r="B49" s="30" t="s">
        <v>33</v>
      </c>
      <c r="C49" s="31">
        <v>2023</v>
      </c>
      <c r="D49" s="31" t="s">
        <v>46</v>
      </c>
      <c r="E49" s="38">
        <v>174.2923076923077</v>
      </c>
      <c r="F49" s="43">
        <f t="shared" si="0"/>
        <v>-1.0870039725848204</v>
      </c>
    </row>
    <row r="50" spans="2:14" x14ac:dyDescent="0.3">
      <c r="B50" s="34" t="s">
        <v>33</v>
      </c>
      <c r="C50" s="35">
        <v>2023</v>
      </c>
      <c r="D50" s="35" t="s">
        <v>41</v>
      </c>
      <c r="E50" s="37">
        <v>175.63076923076926</v>
      </c>
      <c r="F50" s="43">
        <f t="shared" si="0"/>
        <v>0.76794068320241238</v>
      </c>
    </row>
    <row r="51" spans="2:14" x14ac:dyDescent="0.3">
      <c r="B51" s="30" t="s">
        <v>33</v>
      </c>
      <c r="C51" s="31">
        <v>2023</v>
      </c>
      <c r="D51" s="31" t="s">
        <v>39</v>
      </c>
      <c r="E51" s="38">
        <v>174.28461538461536</v>
      </c>
      <c r="F51" s="43">
        <f t="shared" si="0"/>
        <v>-0.76646811492644751</v>
      </c>
    </row>
    <row r="52" spans="2:14" x14ac:dyDescent="0.3">
      <c r="B52" s="34" t="s">
        <v>33</v>
      </c>
      <c r="C52" s="35">
        <v>2023</v>
      </c>
      <c r="D52" s="35" t="s">
        <v>48</v>
      </c>
      <c r="E52" s="37">
        <v>174.93846153846152</v>
      </c>
      <c r="F52" s="43">
        <f t="shared" si="0"/>
        <v>0.37515999470362743</v>
      </c>
    </row>
    <row r="57" spans="2:14" x14ac:dyDescent="0.3">
      <c r="H57" s="16"/>
      <c r="M57" t="s">
        <v>79</v>
      </c>
      <c r="N57" s="16" t="s">
        <v>78</v>
      </c>
    </row>
    <row r="60" spans="2:14" x14ac:dyDescent="0.3">
      <c r="B60" s="32"/>
      <c r="C60" s="33"/>
      <c r="D60" s="32" t="s">
        <v>0</v>
      </c>
      <c r="E60" s="33" t="s">
        <v>1</v>
      </c>
      <c r="F60" s="33" t="s">
        <v>2</v>
      </c>
      <c r="G60" s="39" t="s">
        <v>26</v>
      </c>
      <c r="H60" s="42" t="s">
        <v>75</v>
      </c>
    </row>
    <row r="61" spans="2:14" x14ac:dyDescent="0.3">
      <c r="B61" s="34"/>
      <c r="C61" s="35"/>
      <c r="D61" s="34" t="s">
        <v>36</v>
      </c>
      <c r="E61" s="35">
        <v>2022</v>
      </c>
      <c r="F61" s="35" t="s">
        <v>34</v>
      </c>
      <c r="G61" s="37">
        <v>177.41538461538462</v>
      </c>
      <c r="H61" s="44"/>
    </row>
    <row r="62" spans="2:14" x14ac:dyDescent="0.3">
      <c r="B62" s="30"/>
      <c r="C62" s="31"/>
      <c r="D62" s="30" t="s">
        <v>36</v>
      </c>
      <c r="E62" s="31">
        <v>2022</v>
      </c>
      <c r="F62" s="31" t="s">
        <v>40</v>
      </c>
      <c r="G62" s="38">
        <v>178.63846153846154</v>
      </c>
      <c r="H62" s="45">
        <f>((G62-G61)/G61 *100)</f>
        <v>0.68938605619146376</v>
      </c>
    </row>
    <row r="63" spans="2:14" x14ac:dyDescent="0.3">
      <c r="B63" s="34"/>
      <c r="C63" s="35"/>
      <c r="D63" s="34" t="s">
        <v>36</v>
      </c>
      <c r="E63" s="35">
        <v>2022</v>
      </c>
      <c r="F63" s="35" t="s">
        <v>45</v>
      </c>
      <c r="G63" s="37">
        <v>178.03076923076924</v>
      </c>
      <c r="H63" s="45">
        <f t="shared" ref="H63:H73" si="1">((G63-G62)/G62 *100)</f>
        <v>-0.34017999397149157</v>
      </c>
    </row>
    <row r="64" spans="2:14" x14ac:dyDescent="0.3">
      <c r="B64" s="30"/>
      <c r="C64" s="31"/>
      <c r="D64" s="30" t="s">
        <v>36</v>
      </c>
      <c r="E64" s="31">
        <v>2022</v>
      </c>
      <c r="F64" s="31" t="s">
        <v>47</v>
      </c>
      <c r="G64" s="38">
        <v>174.01538461538465</v>
      </c>
      <c r="H64" s="45">
        <f t="shared" si="1"/>
        <v>-2.2554441755962529</v>
      </c>
    </row>
    <row r="65" spans="2:13" x14ac:dyDescent="0.3">
      <c r="B65" s="34"/>
      <c r="C65" s="35"/>
      <c r="D65" s="34" t="s">
        <v>36</v>
      </c>
      <c r="E65" s="35">
        <v>2022</v>
      </c>
      <c r="F65" s="35" t="s">
        <v>43</v>
      </c>
      <c r="G65" s="37">
        <v>175.96153846153845</v>
      </c>
      <c r="H65" s="45">
        <f t="shared" si="1"/>
        <v>1.1183803377243156</v>
      </c>
    </row>
    <row r="66" spans="2:13" x14ac:dyDescent="0.3">
      <c r="B66" s="30"/>
      <c r="C66" s="31"/>
      <c r="D66" s="30" t="s">
        <v>36</v>
      </c>
      <c r="E66" s="31">
        <v>2022</v>
      </c>
      <c r="F66" s="31" t="s">
        <v>42</v>
      </c>
      <c r="G66" s="38">
        <v>176.27692307692308</v>
      </c>
      <c r="H66" s="45">
        <f t="shared" si="1"/>
        <v>0.17923497267760408</v>
      </c>
    </row>
    <row r="67" spans="2:13" x14ac:dyDescent="0.3">
      <c r="B67" s="34"/>
      <c r="C67" s="35"/>
      <c r="D67" s="34" t="s">
        <v>36</v>
      </c>
      <c r="E67" s="35">
        <v>2022</v>
      </c>
      <c r="F67" s="35" t="s">
        <v>38</v>
      </c>
      <c r="G67" s="37">
        <v>176.59999999999997</v>
      </c>
      <c r="H67" s="45">
        <f t="shared" si="1"/>
        <v>0.1832780589980571</v>
      </c>
    </row>
    <row r="68" spans="2:13" x14ac:dyDescent="0.3">
      <c r="B68" s="30"/>
      <c r="C68" s="31"/>
      <c r="D68" s="30" t="s">
        <v>36</v>
      </c>
      <c r="E68" s="31">
        <v>2022</v>
      </c>
      <c r="F68" s="31" t="s">
        <v>37</v>
      </c>
      <c r="G68" s="38">
        <v>176.43846153846152</v>
      </c>
      <c r="H68" s="45">
        <f t="shared" si="1"/>
        <v>-9.1471382524598785E-2</v>
      </c>
    </row>
    <row r="69" spans="2:13" x14ac:dyDescent="0.3">
      <c r="B69" s="34"/>
      <c r="C69" s="35"/>
      <c r="D69" s="34" t="s">
        <v>36</v>
      </c>
      <c r="E69" s="35">
        <v>2023</v>
      </c>
      <c r="F69" s="35" t="s">
        <v>47</v>
      </c>
      <c r="G69" s="37">
        <v>179.62307692307692</v>
      </c>
      <c r="H69" s="45">
        <f t="shared" si="1"/>
        <v>1.8049439769804325</v>
      </c>
    </row>
    <row r="70" spans="2:13" x14ac:dyDescent="0.3">
      <c r="B70" s="30"/>
      <c r="C70" s="31"/>
      <c r="D70" s="30" t="s">
        <v>36</v>
      </c>
      <c r="E70" s="31">
        <v>2023</v>
      </c>
      <c r="F70" s="31" t="s">
        <v>46</v>
      </c>
      <c r="G70" s="38">
        <v>177.1846153846154</v>
      </c>
      <c r="H70" s="45">
        <f t="shared" si="1"/>
        <v>-1.3575435741509922</v>
      </c>
    </row>
    <row r="71" spans="2:13" x14ac:dyDescent="0.3">
      <c r="B71" s="34"/>
      <c r="C71" s="35"/>
      <c r="D71" s="34" t="s">
        <v>36</v>
      </c>
      <c r="E71" s="35">
        <v>2023</v>
      </c>
      <c r="F71" s="35" t="s">
        <v>41</v>
      </c>
      <c r="G71" s="37">
        <v>177.70769230769233</v>
      </c>
      <c r="H71" s="45">
        <f t="shared" si="1"/>
        <v>0.29521576799514054</v>
      </c>
    </row>
    <row r="72" spans="2:13" x14ac:dyDescent="0.3">
      <c r="B72" s="30"/>
      <c r="C72" s="31"/>
      <c r="D72" s="30" t="s">
        <v>36</v>
      </c>
      <c r="E72" s="31">
        <v>2023</v>
      </c>
      <c r="F72" s="31" t="s">
        <v>39</v>
      </c>
      <c r="G72" s="38">
        <v>177.16923076923075</v>
      </c>
      <c r="H72" s="45">
        <f t="shared" si="1"/>
        <v>-0.30300406891180343</v>
      </c>
    </row>
    <row r="73" spans="2:13" x14ac:dyDescent="0.3">
      <c r="D73" s="34" t="s">
        <v>36</v>
      </c>
      <c r="E73" s="35">
        <v>2023</v>
      </c>
      <c r="F73" s="35" t="s">
        <v>48</v>
      </c>
      <c r="G73" s="37">
        <v>178.28461538461539</v>
      </c>
      <c r="H73" s="45">
        <f t="shared" si="1"/>
        <v>0.62955887460925419</v>
      </c>
    </row>
    <row r="77" spans="2:13" x14ac:dyDescent="0.3">
      <c r="D77" s="32" t="s">
        <v>0</v>
      </c>
      <c r="E77" s="33" t="s">
        <v>1</v>
      </c>
      <c r="F77" s="33" t="s">
        <v>2</v>
      </c>
      <c r="G77" s="39" t="s">
        <v>26</v>
      </c>
      <c r="H77" s="46" t="s">
        <v>81</v>
      </c>
    </row>
    <row r="78" spans="2:13" x14ac:dyDescent="0.3">
      <c r="D78" s="34" t="s">
        <v>35</v>
      </c>
      <c r="E78" s="35">
        <v>2022</v>
      </c>
      <c r="F78" s="35" t="s">
        <v>34</v>
      </c>
      <c r="G78" s="37">
        <v>175.45384615384617</v>
      </c>
      <c r="H78" s="47"/>
      <c r="L78" s="16" t="s">
        <v>80</v>
      </c>
      <c r="M78" s="16" t="s">
        <v>78</v>
      </c>
    </row>
    <row r="79" spans="2:13" x14ac:dyDescent="0.3">
      <c r="D79" s="30" t="s">
        <v>35</v>
      </c>
      <c r="E79" s="31">
        <v>2022</v>
      </c>
      <c r="F79" s="31" t="s">
        <v>40</v>
      </c>
      <c r="G79" s="38">
        <v>176.71538461538464</v>
      </c>
      <c r="H79" s="47">
        <f>((G79-G78)/G78 * 100)</f>
        <v>0.71901442413082706</v>
      </c>
    </row>
    <row r="80" spans="2:13" x14ac:dyDescent="0.3">
      <c r="D80" s="34" t="s">
        <v>35</v>
      </c>
      <c r="E80" s="35">
        <v>2022</v>
      </c>
      <c r="F80" s="35" t="s">
        <v>45</v>
      </c>
      <c r="G80" s="37">
        <v>176.67692307692309</v>
      </c>
      <c r="H80" s="47">
        <f t="shared" ref="H80:H90" si="2">((G80-G79)/G79 * 100)</f>
        <v>-2.1764680276851682E-2</v>
      </c>
    </row>
    <row r="81" spans="4:8" x14ac:dyDescent="0.3">
      <c r="D81" s="30" t="s">
        <v>35</v>
      </c>
      <c r="E81" s="31">
        <v>2022</v>
      </c>
      <c r="F81" s="31" t="s">
        <v>47</v>
      </c>
      <c r="G81" s="38">
        <v>172.22307692307697</v>
      </c>
      <c r="H81" s="47">
        <f t="shared" si="2"/>
        <v>-2.5208986415882744</v>
      </c>
    </row>
    <row r="82" spans="4:8" x14ac:dyDescent="0.3">
      <c r="D82" s="34" t="s">
        <v>35</v>
      </c>
      <c r="E82" s="35">
        <v>2022</v>
      </c>
      <c r="F82" s="35" t="s">
        <v>43</v>
      </c>
      <c r="G82" s="37">
        <v>173.99230769230769</v>
      </c>
      <c r="H82" s="47">
        <f t="shared" si="2"/>
        <v>1.0272901871454425</v>
      </c>
    </row>
    <row r="83" spans="4:8" x14ac:dyDescent="0.3">
      <c r="D83" s="30" t="s">
        <v>35</v>
      </c>
      <c r="E83" s="31">
        <v>2022</v>
      </c>
      <c r="F83" s="31" t="s">
        <v>42</v>
      </c>
      <c r="G83" s="38">
        <v>174.33076923076925</v>
      </c>
      <c r="H83" s="47">
        <f t="shared" si="2"/>
        <v>0.19452672531943327</v>
      </c>
    </row>
    <row r="84" spans="4:8" x14ac:dyDescent="0.3">
      <c r="D84" s="34" t="s">
        <v>35</v>
      </c>
      <c r="E84" s="35">
        <v>2022</v>
      </c>
      <c r="F84" s="35" t="s">
        <v>38</v>
      </c>
      <c r="G84" s="37">
        <v>175.64615384615385</v>
      </c>
      <c r="H84" s="47">
        <f t="shared" si="2"/>
        <v>0.75453382164761162</v>
      </c>
    </row>
    <row r="85" spans="4:8" x14ac:dyDescent="0.3">
      <c r="D85" s="30" t="s">
        <v>35</v>
      </c>
      <c r="E85" s="31">
        <v>2022</v>
      </c>
      <c r="F85" s="31" t="s">
        <v>37</v>
      </c>
      <c r="G85" s="38">
        <v>174.55384615384617</v>
      </c>
      <c r="H85" s="47">
        <f t="shared" si="2"/>
        <v>-0.62187965314880889</v>
      </c>
    </row>
    <row r="86" spans="4:8" x14ac:dyDescent="0.3">
      <c r="D86" s="34" t="s">
        <v>35</v>
      </c>
      <c r="E86" s="35">
        <v>2023</v>
      </c>
      <c r="F86" s="35" t="s">
        <v>47</v>
      </c>
      <c r="G86" s="37">
        <v>177.45384615384617</v>
      </c>
      <c r="H86" s="47">
        <f t="shared" si="2"/>
        <v>1.6613784593689438</v>
      </c>
    </row>
    <row r="87" spans="4:8" x14ac:dyDescent="0.3">
      <c r="D87" s="30" t="s">
        <v>35</v>
      </c>
      <c r="E87" s="31">
        <v>2023</v>
      </c>
      <c r="F87" s="31" t="s">
        <v>46</v>
      </c>
      <c r="G87" s="38">
        <v>175.32307692307691</v>
      </c>
      <c r="H87" s="47">
        <f t="shared" si="2"/>
        <v>-1.2007455893190162</v>
      </c>
    </row>
    <row r="88" spans="4:8" x14ac:dyDescent="0.3">
      <c r="D88" s="34" t="s">
        <v>35</v>
      </c>
      <c r="E88" s="35">
        <v>2023</v>
      </c>
      <c r="F88" s="35" t="s">
        <v>41</v>
      </c>
      <c r="G88" s="37">
        <v>176.36153846153846</v>
      </c>
      <c r="H88" s="47">
        <f t="shared" si="2"/>
        <v>0.59231309231309726</v>
      </c>
    </row>
    <row r="89" spans="4:8" x14ac:dyDescent="0.3">
      <c r="D89" s="30" t="s">
        <v>35</v>
      </c>
      <c r="E89" s="31">
        <v>2023</v>
      </c>
      <c r="F89" s="31" t="s">
        <v>39</v>
      </c>
      <c r="G89" s="38">
        <v>175.3153846153846</v>
      </c>
      <c r="H89" s="47">
        <f t="shared" si="2"/>
        <v>-0.59318707201117182</v>
      </c>
    </row>
    <row r="90" spans="4:8" x14ac:dyDescent="0.3">
      <c r="D90" s="34" t="s">
        <v>35</v>
      </c>
      <c r="E90" s="35">
        <v>2023</v>
      </c>
      <c r="F90" s="35" t="s">
        <v>48</v>
      </c>
      <c r="G90" s="37">
        <v>176.12307692307695</v>
      </c>
      <c r="H90" s="47">
        <f t="shared" si="2"/>
        <v>0.46070817427934457</v>
      </c>
    </row>
  </sheetData>
  <sortState xmlns:xlrd2="http://schemas.microsoft.com/office/spreadsheetml/2017/richdata2" ref="B40:E52">
    <sortCondition ref="C40:C52"/>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FFA1D-0E40-46F9-85EE-89FB04767062}">
  <dimension ref="A1:J27"/>
  <sheetViews>
    <sheetView topLeftCell="A24" zoomScale="84" workbookViewId="0">
      <selection activeCell="L42" sqref="L42"/>
    </sheetView>
  </sheetViews>
  <sheetFormatPr defaultRowHeight="14.4" x14ac:dyDescent="0.3"/>
  <cols>
    <col min="1" max="1" width="12.5546875" bestFit="1" customWidth="1"/>
    <col min="2" max="2" width="16.33203125" customWidth="1"/>
    <col min="3" max="3" width="19.77734375" bestFit="1" customWidth="1"/>
    <col min="4" max="4" width="22.33203125" customWidth="1"/>
    <col min="5" max="5" width="14.6640625" customWidth="1"/>
    <col min="6" max="6" width="19.88671875" customWidth="1"/>
    <col min="7" max="7" width="18.109375" customWidth="1"/>
    <col min="8" max="8" width="18.5546875" customWidth="1"/>
    <col min="9" max="9" width="25.44140625" customWidth="1"/>
    <col min="10" max="10" width="26.44140625" customWidth="1"/>
  </cols>
  <sheetData>
    <row r="1" spans="1:6" x14ac:dyDescent="0.3">
      <c r="A1" s="16" t="s">
        <v>92</v>
      </c>
    </row>
    <row r="3" spans="1:6" x14ac:dyDescent="0.3">
      <c r="A3" s="12" t="s">
        <v>51</v>
      </c>
      <c r="B3" t="s">
        <v>82</v>
      </c>
      <c r="C3" t="s">
        <v>83</v>
      </c>
      <c r="D3" t="s">
        <v>84</v>
      </c>
    </row>
    <row r="4" spans="1:6" x14ac:dyDescent="0.3">
      <c r="A4" s="48">
        <v>2017</v>
      </c>
      <c r="B4" s="1">
        <v>134.84123931623935</v>
      </c>
      <c r="C4" s="1">
        <v>128.93888888888893</v>
      </c>
      <c r="D4" s="1">
        <v>132.68472222222223</v>
      </c>
    </row>
    <row r="5" spans="1:6" x14ac:dyDescent="0.3">
      <c r="A5" s="48">
        <v>2018</v>
      </c>
      <c r="B5" s="1">
        <v>136.09294871794873</v>
      </c>
      <c r="C5" s="1">
        <v>137.00555555555559</v>
      </c>
      <c r="D5" s="1">
        <v>140.97222222222226</v>
      </c>
    </row>
    <row r="6" spans="1:6" x14ac:dyDescent="0.3">
      <c r="A6" s="48">
        <v>2019</v>
      </c>
      <c r="B6" s="1">
        <v>141.16503496503495</v>
      </c>
      <c r="C6" s="1">
        <v>146.92424242424241</v>
      </c>
      <c r="D6" s="1">
        <v>147.14621212121213</v>
      </c>
    </row>
    <row r="7" spans="1:6" x14ac:dyDescent="0.3">
      <c r="A7" s="48">
        <v>2020</v>
      </c>
      <c r="B7" s="1">
        <v>151.8882211538461</v>
      </c>
      <c r="C7" s="1">
        <v>153.12857510288066</v>
      </c>
      <c r="D7" s="1">
        <v>150.72373971193417</v>
      </c>
    </row>
    <row r="8" spans="1:6" x14ac:dyDescent="0.3">
      <c r="A8" s="48">
        <v>2021</v>
      </c>
      <c r="B8" s="1">
        <v>163.33739316239314</v>
      </c>
      <c r="C8" s="1">
        <v>165.13333333333338</v>
      </c>
      <c r="D8" s="1">
        <v>157.81666666666666</v>
      </c>
    </row>
    <row r="9" spans="1:6" x14ac:dyDescent="0.3">
      <c r="A9" s="48">
        <v>2022</v>
      </c>
      <c r="B9" s="1">
        <v>172.81837606837604</v>
      </c>
      <c r="C9" s="1">
        <v>175.35277777777776</v>
      </c>
      <c r="D9" s="1">
        <v>166.99444444444444</v>
      </c>
    </row>
    <row r="10" spans="1:6" x14ac:dyDescent="0.3">
      <c r="A10" s="48" t="s">
        <v>52</v>
      </c>
      <c r="B10" s="1">
        <v>150.14864120621166</v>
      </c>
      <c r="C10" s="1">
        <v>151.13910189532251</v>
      </c>
      <c r="D10" s="1">
        <v>149.4212658668057</v>
      </c>
    </row>
    <row r="12" spans="1:6" x14ac:dyDescent="0.3">
      <c r="F12" s="49"/>
    </row>
    <row r="13" spans="1:6" x14ac:dyDescent="0.3">
      <c r="F13" s="49"/>
    </row>
    <row r="14" spans="1:6" x14ac:dyDescent="0.3">
      <c r="F14" s="49"/>
    </row>
    <row r="16" spans="1:6" ht="18" x14ac:dyDescent="0.35">
      <c r="D16" s="56" t="s">
        <v>94</v>
      </c>
      <c r="F16" s="56" t="s">
        <v>93</v>
      </c>
    </row>
    <row r="20" spans="3:10" x14ac:dyDescent="0.3">
      <c r="C20" s="54" t="s">
        <v>90</v>
      </c>
      <c r="D20" s="12" t="s">
        <v>51</v>
      </c>
      <c r="E20" s="12" t="s">
        <v>82</v>
      </c>
      <c r="F20" t="s">
        <v>83</v>
      </c>
      <c r="G20" t="s">
        <v>84</v>
      </c>
      <c r="H20" s="55" t="s">
        <v>87</v>
      </c>
      <c r="I20" s="55" t="s">
        <v>88</v>
      </c>
      <c r="J20" s="55" t="s">
        <v>89</v>
      </c>
    </row>
    <row r="21" spans="3:10" x14ac:dyDescent="0.3">
      <c r="C21" s="53" t="s">
        <v>91</v>
      </c>
      <c r="D21" s="48">
        <v>2017</v>
      </c>
      <c r="E21" s="1">
        <v>134.84123931623935</v>
      </c>
      <c r="F21" s="1">
        <v>128.93888888888893</v>
      </c>
      <c r="G21" s="1">
        <v>132.68472222222223</v>
      </c>
      <c r="H21" s="50"/>
      <c r="I21" s="50"/>
      <c r="J21" s="50"/>
    </row>
    <row r="22" spans="3:10" x14ac:dyDescent="0.3">
      <c r="C22" s="53" t="s">
        <v>91</v>
      </c>
      <c r="D22" s="48">
        <v>2018</v>
      </c>
      <c r="E22" s="1">
        <v>136.09294871794873</v>
      </c>
      <c r="F22" s="1">
        <v>137.00555555555559</v>
      </c>
      <c r="G22" s="1">
        <v>140.97222222222226</v>
      </c>
      <c r="H22" s="51">
        <f>((E22-E21)/E21 * 100)</f>
        <v>0.92828381588349107</v>
      </c>
      <c r="I22" s="51">
        <f t="shared" ref="I22:J22" si="0">((F22-F21)/F21 * 100)</f>
        <v>6.2561937179542362</v>
      </c>
      <c r="J22" s="51">
        <f t="shared" si="0"/>
        <v>6.2460092324118532</v>
      </c>
    </row>
    <row r="23" spans="3:10" x14ac:dyDescent="0.3">
      <c r="C23" s="53" t="s">
        <v>91</v>
      </c>
      <c r="D23" s="48">
        <v>2019</v>
      </c>
      <c r="E23" s="1">
        <v>141.16503496503495</v>
      </c>
      <c r="F23" s="1">
        <v>146.92424242424241</v>
      </c>
      <c r="G23" s="1">
        <v>147.14621212121213</v>
      </c>
      <c r="H23" s="51">
        <f t="shared" ref="H23:H26" si="1">((E23-E22)/E22 * 100)</f>
        <v>3.7269280259317963</v>
      </c>
      <c r="I23" s="51">
        <f t="shared" ref="I23:I26" si="2">((F23-F22)/F22 * 100)</f>
        <v>7.2396238447898593</v>
      </c>
      <c r="J23" s="51">
        <f t="shared" ref="J23:J26" si="3">((G23-G22)/G22 * 100)</f>
        <v>4.3795790416479878</v>
      </c>
    </row>
    <row r="24" spans="3:10" x14ac:dyDescent="0.3">
      <c r="C24" s="53" t="s">
        <v>85</v>
      </c>
      <c r="D24" s="48">
        <v>2020</v>
      </c>
      <c r="E24" s="1">
        <v>151.8882211538461</v>
      </c>
      <c r="F24" s="1">
        <v>153.12857510288066</v>
      </c>
      <c r="G24" s="1">
        <v>150.72373971193417</v>
      </c>
      <c r="H24" s="51">
        <f t="shared" si="1"/>
        <v>7.5962055274290634</v>
      </c>
      <c r="I24" s="51">
        <f t="shared" si="2"/>
        <v>4.2228107331146205</v>
      </c>
      <c r="J24" s="51">
        <f t="shared" si="3"/>
        <v>2.4312739955378824</v>
      </c>
    </row>
    <row r="25" spans="3:10" x14ac:dyDescent="0.3">
      <c r="C25" s="53" t="s">
        <v>86</v>
      </c>
      <c r="D25" s="48">
        <v>2021</v>
      </c>
      <c r="E25" s="1">
        <v>163.33739316239314</v>
      </c>
      <c r="F25" s="1">
        <v>165.13333333333338</v>
      </c>
      <c r="G25" s="1">
        <v>157.81666666666666</v>
      </c>
      <c r="H25" s="51">
        <f t="shared" si="1"/>
        <v>7.5378932754438424</v>
      </c>
      <c r="I25" s="51">
        <f t="shared" si="2"/>
        <v>7.8396590723757669</v>
      </c>
      <c r="J25" s="51">
        <f t="shared" si="3"/>
        <v>4.7059122659035761</v>
      </c>
    </row>
    <row r="26" spans="3:10" x14ac:dyDescent="0.3">
      <c r="C26" s="53" t="s">
        <v>86</v>
      </c>
      <c r="D26" s="48">
        <v>2022</v>
      </c>
      <c r="E26" s="1">
        <v>172.81837606837604</v>
      </c>
      <c r="F26" s="1">
        <v>175.35277777777776</v>
      </c>
      <c r="G26" s="1">
        <v>166.99444444444444</v>
      </c>
      <c r="H26" s="51">
        <f t="shared" si="1"/>
        <v>5.8045391336426713</v>
      </c>
      <c r="I26" s="51">
        <f t="shared" si="2"/>
        <v>6.188601803256585</v>
      </c>
      <c r="J26" s="51">
        <f t="shared" si="3"/>
        <v>5.8154680184461576</v>
      </c>
    </row>
    <row r="27" spans="3:10" x14ac:dyDescent="0.3">
      <c r="D27" s="48" t="s">
        <v>52</v>
      </c>
      <c r="E27" s="1">
        <v>150.14864120621166</v>
      </c>
      <c r="F27" s="1">
        <v>151.13910189532251</v>
      </c>
      <c r="G27" s="1">
        <v>149.4212658668057</v>
      </c>
      <c r="H27" s="52">
        <f>SUM(H22:H26)</f>
        <v>25.593849778330863</v>
      </c>
      <c r="I27" s="52">
        <f t="shared" ref="I27" si="4">SUM(I22:I26)</f>
        <v>31.746889171491066</v>
      </c>
      <c r="J27" s="52">
        <f>SUM(J22:J26)</f>
        <v>23.578242553947458</v>
      </c>
    </row>
  </sheetData>
  <pageMargins left="0.7" right="0.7" top="0.75" bottom="0.75" header="0.3" footer="0.3"/>
  <pageSetup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0DD9-8F5C-498E-A316-D194F5BF9998}">
  <dimension ref="A1:AG373"/>
  <sheetViews>
    <sheetView tabSelected="1" topLeftCell="BD345" workbookViewId="0">
      <selection activeCell="AA1" sqref="AA1:AG373"/>
    </sheetView>
  </sheetViews>
  <sheetFormatPr defaultRowHeight="14.4" x14ac:dyDescent="0.3"/>
  <cols>
    <col min="23" max="23" width="12.5546875" customWidth="1"/>
    <col min="24" max="24" width="13.21875" customWidth="1"/>
    <col min="26" max="26" width="12.88671875" customWidth="1"/>
    <col min="28" max="28" width="10.6640625" customWidth="1"/>
    <col min="29" max="29" width="10.21875"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36" t="s">
        <v>26</v>
      </c>
      <c r="AB1" s="36" t="s">
        <v>27</v>
      </c>
      <c r="AC1" s="36" t="s">
        <v>28</v>
      </c>
      <c r="AD1" s="36" t="s">
        <v>29</v>
      </c>
      <c r="AE1" s="36" t="s">
        <v>30</v>
      </c>
      <c r="AF1" s="36" t="s">
        <v>31</v>
      </c>
      <c r="AG1" s="36" t="s">
        <v>32</v>
      </c>
    </row>
    <row r="2" spans="1:33" x14ac:dyDescent="0.3">
      <c r="A2" t="s">
        <v>33</v>
      </c>
      <c r="B2">
        <v>2022</v>
      </c>
      <c r="C2" t="s">
        <v>34</v>
      </c>
      <c r="D2">
        <v>162.9</v>
      </c>
      <c r="E2">
        <v>206.7</v>
      </c>
      <c r="F2">
        <v>169</v>
      </c>
      <c r="G2">
        <v>169.5</v>
      </c>
      <c r="H2">
        <v>194.1</v>
      </c>
      <c r="I2">
        <v>164.1</v>
      </c>
      <c r="J2">
        <v>176.9</v>
      </c>
      <c r="K2">
        <v>169</v>
      </c>
      <c r="L2">
        <v>120.8</v>
      </c>
      <c r="M2">
        <v>199.1</v>
      </c>
      <c r="N2">
        <v>175.4</v>
      </c>
      <c r="O2">
        <v>184.8</v>
      </c>
      <c r="P2">
        <v>175.5</v>
      </c>
      <c r="Q2">
        <v>162.1</v>
      </c>
      <c r="R2">
        <v>179.7</v>
      </c>
      <c r="S2">
        <v>173.6</v>
      </c>
      <c r="T2">
        <v>180.2</v>
      </c>
      <c r="U2">
        <v>166.9</v>
      </c>
      <c r="V2">
        <v>170</v>
      </c>
      <c r="W2">
        <v>176.2</v>
      </c>
      <c r="X2">
        <v>170.8</v>
      </c>
      <c r="Y2">
        <v>173.1</v>
      </c>
      <c r="Z2">
        <v>176.4</v>
      </c>
      <c r="AA2" s="1">
        <f>SUM(Table15[[#This Row],[Cereals and products]:[Food and beverages]])/13</f>
        <v>174.44615384615386</v>
      </c>
      <c r="AB2" s="1">
        <f>SUM(Table15[[#This Row],[Fuel and light]])</f>
        <v>179.7</v>
      </c>
      <c r="AC2" s="1">
        <f>SUM(Table15[[#This Row],[Transport and communication]])</f>
        <v>166.9</v>
      </c>
      <c r="AD2" s="1">
        <f>SUM(Table15[[#This Row],[Housing]],Table15[[#This Row],[Household goods and services]])/2</f>
        <v>167.85</v>
      </c>
      <c r="AE2" s="1">
        <f>SUM(Table15[[#This Row],[Health]])</f>
        <v>180.2</v>
      </c>
      <c r="AF2" s="1">
        <f>SUM(Table15[[#This Row],[Recreation and amusement]],Table15[[#This Row],[Education]])/2</f>
        <v>173.1</v>
      </c>
      <c r="AG2" s="1">
        <f>SUM(Table15[[#This Row],[Miscellaneous]],Table15[[#This Row],[Personal care and effects]])/2</f>
        <v>171.95</v>
      </c>
    </row>
    <row r="3" spans="1:33" x14ac:dyDescent="0.3">
      <c r="A3" t="s">
        <v>35</v>
      </c>
      <c r="B3">
        <v>2022</v>
      </c>
      <c r="C3" t="s">
        <v>34</v>
      </c>
      <c r="D3">
        <v>163.5</v>
      </c>
      <c r="E3">
        <v>209.2</v>
      </c>
      <c r="F3">
        <v>169.7</v>
      </c>
      <c r="G3">
        <v>169.7</v>
      </c>
      <c r="H3">
        <v>188.7</v>
      </c>
      <c r="I3">
        <v>165.7</v>
      </c>
      <c r="J3">
        <v>191.8</v>
      </c>
      <c r="K3">
        <v>169.1</v>
      </c>
      <c r="L3">
        <v>121.6</v>
      </c>
      <c r="M3">
        <v>197.3</v>
      </c>
      <c r="N3">
        <v>169.4</v>
      </c>
      <c r="O3">
        <v>187.4</v>
      </c>
      <c r="P3">
        <v>177.8</v>
      </c>
      <c r="Q3">
        <v>169.5</v>
      </c>
      <c r="R3">
        <v>179.5</v>
      </c>
      <c r="S3">
        <v>169.5</v>
      </c>
      <c r="T3">
        <v>177.8</v>
      </c>
      <c r="U3">
        <v>162.30000000000001</v>
      </c>
      <c r="V3">
        <v>167.6</v>
      </c>
      <c r="W3">
        <v>173.1</v>
      </c>
      <c r="X3">
        <v>170.9</v>
      </c>
      <c r="Y3">
        <v>169.7</v>
      </c>
      <c r="Z3">
        <v>175.3</v>
      </c>
      <c r="AA3" s="1">
        <f>SUM(Table15[[#This Row],[Cereals and products]:[Food and beverages]])/13</f>
        <v>175.45384615384617</v>
      </c>
      <c r="AB3" s="1">
        <f>SUM(Table15[[#This Row],[Fuel and light]])</f>
        <v>179.5</v>
      </c>
      <c r="AC3" s="1">
        <f>SUM(Table15[[#This Row],[Transport and communication]])</f>
        <v>162.30000000000001</v>
      </c>
      <c r="AD3" s="1">
        <f>SUM(Table15[[#This Row],[Housing]],Table15[[#This Row],[Household goods and services]])/2</f>
        <v>169.5</v>
      </c>
      <c r="AE3" s="1">
        <f>SUM(Table15[[#This Row],[Health]])</f>
        <v>177.8</v>
      </c>
      <c r="AF3" s="1">
        <f>SUM(Table15[[#This Row],[Recreation and amusement]],Table15[[#This Row],[Education]])/2</f>
        <v>170.35</v>
      </c>
      <c r="AG3" s="1">
        <f>SUM(Table15[[#This Row],[Miscellaneous]],Table15[[#This Row],[Personal care and effects]])/2</f>
        <v>170.3</v>
      </c>
    </row>
    <row r="4" spans="1:33" x14ac:dyDescent="0.3">
      <c r="A4" t="s">
        <v>36</v>
      </c>
      <c r="B4">
        <v>2022</v>
      </c>
      <c r="C4" t="s">
        <v>34</v>
      </c>
      <c r="D4">
        <v>164.9</v>
      </c>
      <c r="E4">
        <v>213.7</v>
      </c>
      <c r="F4">
        <v>170.9</v>
      </c>
      <c r="G4">
        <v>170.1</v>
      </c>
      <c r="H4">
        <v>179.3</v>
      </c>
      <c r="I4">
        <v>167.5</v>
      </c>
      <c r="J4">
        <v>220.8</v>
      </c>
      <c r="K4">
        <v>169.2</v>
      </c>
      <c r="L4">
        <v>123.1</v>
      </c>
      <c r="M4">
        <v>193.6</v>
      </c>
      <c r="N4">
        <v>161.1</v>
      </c>
      <c r="O4">
        <v>190.4</v>
      </c>
      <c r="P4">
        <v>181.8</v>
      </c>
      <c r="Q4">
        <v>169.5</v>
      </c>
      <c r="R4">
        <v>179.2</v>
      </c>
      <c r="S4">
        <v>165</v>
      </c>
      <c r="T4">
        <v>173.8</v>
      </c>
      <c r="U4">
        <v>158.19999999999999</v>
      </c>
      <c r="V4">
        <v>165.8</v>
      </c>
      <c r="W4">
        <v>170.9</v>
      </c>
      <c r="X4">
        <v>171.1</v>
      </c>
      <c r="Y4">
        <v>166.1</v>
      </c>
      <c r="Z4">
        <v>174.1</v>
      </c>
      <c r="AA4" s="1">
        <f>SUM(Table15[[#This Row],[Cereals and products]:[Food and beverages]])/13</f>
        <v>177.41538461538462</v>
      </c>
      <c r="AB4" s="1">
        <f>SUM(Table15[[#This Row],[Fuel and light]])</f>
        <v>179.2</v>
      </c>
      <c r="AC4" s="1">
        <f>SUM(Table15[[#This Row],[Transport and communication]])</f>
        <v>158.19999999999999</v>
      </c>
      <c r="AD4" s="1">
        <f>SUM(Table15[[#This Row],[Housing]],Table15[[#This Row],[Household goods and services]])/2</f>
        <v>167.25</v>
      </c>
      <c r="AE4" s="1">
        <f>SUM(Table15[[#This Row],[Health]])</f>
        <v>173.8</v>
      </c>
      <c r="AF4" s="1">
        <f>SUM(Table15[[#This Row],[Recreation and amusement]],Table15[[#This Row],[Education]])/2</f>
        <v>168.35000000000002</v>
      </c>
      <c r="AG4" s="1">
        <f>SUM(Table15[[#This Row],[Miscellaneous]],Table15[[#This Row],[Personal care and effects]])/2</f>
        <v>168.6</v>
      </c>
    </row>
    <row r="5" spans="1:33" x14ac:dyDescent="0.3">
      <c r="A5" t="s">
        <v>33</v>
      </c>
      <c r="B5">
        <v>2019</v>
      </c>
      <c r="C5" t="s">
        <v>37</v>
      </c>
      <c r="D5">
        <v>139.19999999999999</v>
      </c>
      <c r="E5">
        <v>161.9</v>
      </c>
      <c r="F5">
        <v>137.1</v>
      </c>
      <c r="G5">
        <v>144.6</v>
      </c>
      <c r="H5">
        <v>124.7</v>
      </c>
      <c r="I5">
        <v>145.5</v>
      </c>
      <c r="J5">
        <v>156.19999999999999</v>
      </c>
      <c r="K5">
        <v>131.5</v>
      </c>
      <c r="L5">
        <v>111.7</v>
      </c>
      <c r="M5">
        <v>142.69999999999999</v>
      </c>
      <c r="N5">
        <v>138.5</v>
      </c>
      <c r="O5">
        <v>156.9</v>
      </c>
      <c r="P5">
        <v>144</v>
      </c>
      <c r="Q5">
        <f>AVERAGE(Q6:Q7)</f>
        <v>151.6</v>
      </c>
      <c r="R5">
        <v>146.4</v>
      </c>
      <c r="S5">
        <v>150.19999999999999</v>
      </c>
      <c r="T5">
        <v>152.69999999999999</v>
      </c>
      <c r="U5">
        <v>131.4</v>
      </c>
      <c r="V5">
        <v>148</v>
      </c>
      <c r="W5">
        <v>159.69999999999999</v>
      </c>
      <c r="X5">
        <v>138.80000000000001</v>
      </c>
      <c r="Y5">
        <v>144.9</v>
      </c>
      <c r="Z5">
        <v>145.69999999999999</v>
      </c>
      <c r="AA5" s="1">
        <f>SUM(Table15[[#This Row],[Cereals and products]:[Food and beverages]])/13</f>
        <v>141.11538461538464</v>
      </c>
      <c r="AB5" s="1">
        <f>SUM(Table15[[#This Row],[Fuel and light]])</f>
        <v>146.4</v>
      </c>
      <c r="AC5" s="1">
        <f>SUM(Table15[[#This Row],[Transport and communication]])</f>
        <v>131.4</v>
      </c>
      <c r="AD5" s="1">
        <f>SUM(Table15[[#This Row],[Housing]],Table15[[#This Row],[Household goods and services]])/2</f>
        <v>150.89999999999998</v>
      </c>
      <c r="AE5" s="1">
        <f>SUM(Table15[[#This Row],[Health]])</f>
        <v>152.69999999999999</v>
      </c>
      <c r="AF5" s="1">
        <f>SUM(Table15[[#This Row],[Recreation and amusement]],Table15[[#This Row],[Education]])/2</f>
        <v>153.85</v>
      </c>
      <c r="AG5" s="1">
        <f>SUM(Table15[[#This Row],[Miscellaneous]],Table15[[#This Row],[Personal care and effects]])/2</f>
        <v>141.85000000000002</v>
      </c>
    </row>
    <row r="6" spans="1:33" x14ac:dyDescent="0.3">
      <c r="A6" t="s">
        <v>35</v>
      </c>
      <c r="B6">
        <v>2019</v>
      </c>
      <c r="C6" t="s">
        <v>37</v>
      </c>
      <c r="D6">
        <v>140.1</v>
      </c>
      <c r="E6">
        <v>160.6</v>
      </c>
      <c r="F6">
        <v>138.5</v>
      </c>
      <c r="G6">
        <v>144.69999999999999</v>
      </c>
      <c r="H6">
        <v>122.9</v>
      </c>
      <c r="I6">
        <v>149.4</v>
      </c>
      <c r="J6">
        <v>167.4</v>
      </c>
      <c r="K6">
        <v>130.9</v>
      </c>
      <c r="L6">
        <v>112</v>
      </c>
      <c r="M6">
        <v>142.6</v>
      </c>
      <c r="N6">
        <v>134.9</v>
      </c>
      <c r="O6">
        <v>156.6</v>
      </c>
      <c r="P6">
        <v>145.9</v>
      </c>
      <c r="Q6">
        <v>151.6</v>
      </c>
      <c r="R6">
        <v>138.5</v>
      </c>
      <c r="S6">
        <v>144.5</v>
      </c>
      <c r="T6">
        <v>148.5</v>
      </c>
      <c r="U6">
        <v>125.8</v>
      </c>
      <c r="V6">
        <v>140.9</v>
      </c>
      <c r="W6">
        <v>154.9</v>
      </c>
      <c r="X6">
        <v>138.4</v>
      </c>
      <c r="Y6">
        <v>140.19999999999999</v>
      </c>
      <c r="Z6">
        <v>145</v>
      </c>
      <c r="AA6" s="1">
        <f>SUM(Table15[[#This Row],[Cereals and products]:[Food and beverages]])/13</f>
        <v>142.03846153846155</v>
      </c>
      <c r="AB6" s="1">
        <f>SUM(Table15[[#This Row],[Fuel and light]])</f>
        <v>138.5</v>
      </c>
      <c r="AC6" s="1">
        <f>SUM(Table15[[#This Row],[Transport and communication]])</f>
        <v>125.8</v>
      </c>
      <c r="AD6" s="1">
        <f>SUM(Table15[[#This Row],[Housing]],Table15[[#This Row],[Household goods and services]])/2</f>
        <v>148.05000000000001</v>
      </c>
      <c r="AE6" s="1">
        <f>SUM(Table15[[#This Row],[Health]])</f>
        <v>148.5</v>
      </c>
      <c r="AF6" s="1">
        <f>SUM(Table15[[#This Row],[Recreation and amusement]],Table15[[#This Row],[Education]])/2</f>
        <v>147.9</v>
      </c>
      <c r="AG6" s="1">
        <f>SUM(Table15[[#This Row],[Miscellaneous]],Table15[[#This Row],[Personal care and effects]])/2</f>
        <v>139.30000000000001</v>
      </c>
    </row>
    <row r="7" spans="1:33" x14ac:dyDescent="0.3">
      <c r="A7" t="s">
        <v>36</v>
      </c>
      <c r="B7">
        <v>2019</v>
      </c>
      <c r="C7" t="s">
        <v>37</v>
      </c>
      <c r="D7">
        <v>142.1</v>
      </c>
      <c r="E7">
        <v>158.30000000000001</v>
      </c>
      <c r="F7">
        <v>140.80000000000001</v>
      </c>
      <c r="G7">
        <v>144.9</v>
      </c>
      <c r="H7">
        <v>119.9</v>
      </c>
      <c r="I7">
        <v>153.9</v>
      </c>
      <c r="J7">
        <v>189.1</v>
      </c>
      <c r="K7">
        <v>129.80000000000001</v>
      </c>
      <c r="L7">
        <v>112.7</v>
      </c>
      <c r="M7">
        <v>142.5</v>
      </c>
      <c r="N7">
        <v>129.80000000000001</v>
      </c>
      <c r="O7">
        <v>156.19999999999999</v>
      </c>
      <c r="P7">
        <v>149.1</v>
      </c>
      <c r="Q7">
        <v>151.6</v>
      </c>
      <c r="R7">
        <v>125.5</v>
      </c>
      <c r="S7">
        <v>138.1</v>
      </c>
      <c r="T7">
        <v>141.5</v>
      </c>
      <c r="U7">
        <v>120.8</v>
      </c>
      <c r="V7">
        <v>135.4</v>
      </c>
      <c r="W7">
        <v>151.5</v>
      </c>
      <c r="X7">
        <v>137.80000000000001</v>
      </c>
      <c r="Y7">
        <v>135.30000000000001</v>
      </c>
      <c r="Z7">
        <v>144.19999999999999</v>
      </c>
      <c r="AA7" s="1">
        <f>SUM(Table15[[#This Row],[Cereals and products]:[Food and beverages]])/13</f>
        <v>143.77692307692308</v>
      </c>
      <c r="AB7" s="1">
        <f>SUM(Table15[[#This Row],[Fuel and light]])</f>
        <v>125.5</v>
      </c>
      <c r="AC7" s="1">
        <f>SUM(Table15[[#This Row],[Transport and communication]])</f>
        <v>120.8</v>
      </c>
      <c r="AD7" s="1">
        <f>SUM(Table15[[#This Row],[Housing]],Table15[[#This Row],[Household goods and services]])/2</f>
        <v>144.85</v>
      </c>
      <c r="AE7" s="1">
        <f>SUM(Table15[[#This Row],[Health]])</f>
        <v>141.5</v>
      </c>
      <c r="AF7" s="1">
        <f>SUM(Table15[[#This Row],[Recreation and amusement]],Table15[[#This Row],[Education]])/2</f>
        <v>143.44999999999999</v>
      </c>
      <c r="AG7" s="1">
        <f>SUM(Table15[[#This Row],[Miscellaneous]],Table15[[#This Row],[Personal care and effects]])/2</f>
        <v>136.55000000000001</v>
      </c>
    </row>
    <row r="8" spans="1:33" x14ac:dyDescent="0.3">
      <c r="A8" t="s">
        <v>33</v>
      </c>
      <c r="B8">
        <v>2019</v>
      </c>
      <c r="C8" t="s">
        <v>38</v>
      </c>
      <c r="D8">
        <v>142.80000000000001</v>
      </c>
      <c r="E8">
        <v>165.3</v>
      </c>
      <c r="F8">
        <v>149.5</v>
      </c>
      <c r="G8">
        <v>148.69999999999999</v>
      </c>
      <c r="H8">
        <v>127.5</v>
      </c>
      <c r="I8">
        <v>144.30000000000001</v>
      </c>
      <c r="J8">
        <v>209.5</v>
      </c>
      <c r="K8">
        <v>138.80000000000001</v>
      </c>
      <c r="L8">
        <v>113.6</v>
      </c>
      <c r="M8">
        <v>149.1</v>
      </c>
      <c r="N8">
        <v>139.30000000000001</v>
      </c>
      <c r="O8">
        <v>158.30000000000001</v>
      </c>
      <c r="P8">
        <v>154.30000000000001</v>
      </c>
      <c r="Q8">
        <f>AVERAGE(Q9:Q10)</f>
        <v>152.80000000000001</v>
      </c>
      <c r="R8">
        <v>149.9</v>
      </c>
      <c r="S8">
        <v>151.19999999999999</v>
      </c>
      <c r="T8">
        <v>154.80000000000001</v>
      </c>
      <c r="U8">
        <v>135</v>
      </c>
      <c r="V8">
        <v>149.5</v>
      </c>
      <c r="W8">
        <v>161.1</v>
      </c>
      <c r="X8">
        <v>140.6</v>
      </c>
      <c r="Y8">
        <v>147.1</v>
      </c>
      <c r="Z8">
        <v>152.30000000000001</v>
      </c>
      <c r="AA8" s="1">
        <f>SUM(Table15[[#This Row],[Cereals and products]:[Food and beverages]])/13</f>
        <v>149.30769230769226</v>
      </c>
      <c r="AB8" s="1">
        <f>SUM(Table15[[#This Row],[Fuel and light]])</f>
        <v>149.9</v>
      </c>
      <c r="AC8" s="1">
        <f>SUM(Table15[[#This Row],[Transport and communication]])</f>
        <v>135</v>
      </c>
      <c r="AD8" s="1">
        <f>SUM(Table15[[#This Row],[Housing]],Table15[[#This Row],[Household goods and services]])/2</f>
        <v>152</v>
      </c>
      <c r="AE8" s="1">
        <f>SUM(Table15[[#This Row],[Health]])</f>
        <v>154.80000000000001</v>
      </c>
      <c r="AF8" s="1">
        <f>SUM(Table15[[#This Row],[Recreation and amusement]],Table15[[#This Row],[Education]])/2</f>
        <v>155.30000000000001</v>
      </c>
      <c r="AG8" s="1">
        <f>SUM(Table15[[#This Row],[Miscellaneous]],Table15[[#This Row],[Personal care and effects]])/2</f>
        <v>143.85</v>
      </c>
    </row>
    <row r="9" spans="1:33" x14ac:dyDescent="0.3">
      <c r="A9" t="s">
        <v>35</v>
      </c>
      <c r="B9">
        <v>2019</v>
      </c>
      <c r="C9" t="s">
        <v>38</v>
      </c>
      <c r="D9">
        <v>143.5</v>
      </c>
      <c r="E9">
        <v>165</v>
      </c>
      <c r="F9">
        <v>151.1</v>
      </c>
      <c r="G9">
        <v>148.30000000000001</v>
      </c>
      <c r="H9">
        <v>125.7</v>
      </c>
      <c r="I9">
        <v>145.69999999999999</v>
      </c>
      <c r="J9">
        <v>217</v>
      </c>
      <c r="K9">
        <v>138.30000000000001</v>
      </c>
      <c r="L9">
        <v>114</v>
      </c>
      <c r="M9">
        <v>148.69999999999999</v>
      </c>
      <c r="N9">
        <v>135.80000000000001</v>
      </c>
      <c r="O9">
        <v>158</v>
      </c>
      <c r="P9">
        <v>155</v>
      </c>
      <c r="Q9">
        <v>152.80000000000001</v>
      </c>
      <c r="R9">
        <v>143.69999999999999</v>
      </c>
      <c r="S9">
        <v>145.80000000000001</v>
      </c>
      <c r="T9">
        <v>150.4</v>
      </c>
      <c r="U9">
        <v>129.80000000000001</v>
      </c>
      <c r="V9">
        <v>142.30000000000001</v>
      </c>
      <c r="W9">
        <v>155.69999999999999</v>
      </c>
      <c r="X9">
        <v>140.4</v>
      </c>
      <c r="Y9">
        <v>142.5</v>
      </c>
      <c r="Z9">
        <v>150.4</v>
      </c>
      <c r="AA9" s="1">
        <f>SUM(Table15[[#This Row],[Cereals and products]:[Food and beverages]])/13</f>
        <v>149.70000000000002</v>
      </c>
      <c r="AB9" s="1">
        <f>SUM(Table15[[#This Row],[Fuel and light]])</f>
        <v>143.69999999999999</v>
      </c>
      <c r="AC9" s="1">
        <f>SUM(Table15[[#This Row],[Transport and communication]])</f>
        <v>129.80000000000001</v>
      </c>
      <c r="AD9" s="1">
        <f>SUM(Table15[[#This Row],[Housing]],Table15[[#This Row],[Household goods and services]])/2</f>
        <v>149.30000000000001</v>
      </c>
      <c r="AE9" s="1">
        <f>SUM(Table15[[#This Row],[Health]])</f>
        <v>150.4</v>
      </c>
      <c r="AF9" s="1">
        <f>SUM(Table15[[#This Row],[Recreation and amusement]],Table15[[#This Row],[Education]])/2</f>
        <v>149</v>
      </c>
      <c r="AG9" s="1">
        <f>SUM(Table15[[#This Row],[Miscellaneous]],Table15[[#This Row],[Personal care and effects]])/2</f>
        <v>141.44999999999999</v>
      </c>
    </row>
    <row r="10" spans="1:33" x14ac:dyDescent="0.3">
      <c r="A10" t="s">
        <v>36</v>
      </c>
      <c r="B10">
        <v>2019</v>
      </c>
      <c r="C10" t="s">
        <v>38</v>
      </c>
      <c r="D10">
        <v>144.9</v>
      </c>
      <c r="E10">
        <v>164.5</v>
      </c>
      <c r="F10">
        <v>153.69999999999999</v>
      </c>
      <c r="G10">
        <v>147.5</v>
      </c>
      <c r="H10">
        <v>122.7</v>
      </c>
      <c r="I10">
        <v>147.19999999999999</v>
      </c>
      <c r="J10">
        <v>231.5</v>
      </c>
      <c r="K10">
        <v>137.19999999999999</v>
      </c>
      <c r="L10">
        <v>114.7</v>
      </c>
      <c r="M10">
        <v>148</v>
      </c>
      <c r="N10">
        <v>130.80000000000001</v>
      </c>
      <c r="O10">
        <v>157.69999999999999</v>
      </c>
      <c r="P10">
        <v>156.30000000000001</v>
      </c>
      <c r="Q10">
        <v>152.80000000000001</v>
      </c>
      <c r="R10">
        <v>133.6</v>
      </c>
      <c r="S10">
        <v>139.80000000000001</v>
      </c>
      <c r="T10">
        <v>143.19999999999999</v>
      </c>
      <c r="U10">
        <v>125.2</v>
      </c>
      <c r="V10">
        <v>136.80000000000001</v>
      </c>
      <c r="W10">
        <v>151.9</v>
      </c>
      <c r="X10">
        <v>140.19999999999999</v>
      </c>
      <c r="Y10">
        <v>137.69999999999999</v>
      </c>
      <c r="Z10">
        <v>148.30000000000001</v>
      </c>
      <c r="AA10" s="1">
        <f>SUM(Table15[[#This Row],[Cereals and products]:[Food and beverages]])/13</f>
        <v>150.51538461538462</v>
      </c>
      <c r="AB10" s="1">
        <f>SUM(Table15[[#This Row],[Fuel and light]])</f>
        <v>133.6</v>
      </c>
      <c r="AC10" s="1">
        <f>SUM(Table15[[#This Row],[Transport and communication]])</f>
        <v>125.2</v>
      </c>
      <c r="AD10" s="1">
        <f>SUM(Table15[[#This Row],[Housing]],Table15[[#This Row],[Household goods and services]])/2</f>
        <v>146.30000000000001</v>
      </c>
      <c r="AE10" s="1">
        <f>SUM(Table15[[#This Row],[Health]])</f>
        <v>143.19999999999999</v>
      </c>
      <c r="AF10" s="1">
        <f>SUM(Table15[[#This Row],[Recreation and amusement]],Table15[[#This Row],[Education]])/2</f>
        <v>144.35000000000002</v>
      </c>
      <c r="AG10" s="1">
        <f>SUM(Table15[[#This Row],[Miscellaneous]],Table15[[#This Row],[Personal care and effects]])/2</f>
        <v>138.94999999999999</v>
      </c>
    </row>
    <row r="11" spans="1:33" x14ac:dyDescent="0.3">
      <c r="A11" t="s">
        <v>33</v>
      </c>
      <c r="B11">
        <v>2019</v>
      </c>
      <c r="C11" t="s">
        <v>39</v>
      </c>
      <c r="D11">
        <v>136.80000000000001</v>
      </c>
      <c r="E11">
        <v>153</v>
      </c>
      <c r="F11">
        <v>139.1</v>
      </c>
      <c r="G11">
        <v>142.5</v>
      </c>
      <c r="H11">
        <v>124.1</v>
      </c>
      <c r="I11">
        <v>135.80000000000001</v>
      </c>
      <c r="J11">
        <v>128.69999999999999</v>
      </c>
      <c r="K11">
        <v>121.5</v>
      </c>
      <c r="L11">
        <v>108.3</v>
      </c>
      <c r="M11">
        <v>139.19999999999999</v>
      </c>
      <c r="N11">
        <v>137.4</v>
      </c>
      <c r="O11">
        <v>156.19999999999999</v>
      </c>
      <c r="P11">
        <v>137.19999999999999</v>
      </c>
      <c r="Q11">
        <f>AVERAGE(Q12:Q13)</f>
        <v>148.5</v>
      </c>
      <c r="R11">
        <v>145.30000000000001</v>
      </c>
      <c r="S11">
        <v>150.1</v>
      </c>
      <c r="T11">
        <v>149.9</v>
      </c>
      <c r="U11">
        <v>129.19999999999999</v>
      </c>
      <c r="V11">
        <v>143.4</v>
      </c>
      <c r="W11">
        <v>155.5</v>
      </c>
      <c r="X11">
        <v>134.9</v>
      </c>
      <c r="Y11">
        <v>142.19999999999999</v>
      </c>
      <c r="Z11">
        <v>141</v>
      </c>
      <c r="AA11" s="1">
        <f>SUM(Table15[[#This Row],[Cereals and products]:[Food and beverages]])/13</f>
        <v>135.3692307692308</v>
      </c>
      <c r="AB11" s="1">
        <f>SUM(Table15[[#This Row],[Fuel and light]])</f>
        <v>145.30000000000001</v>
      </c>
      <c r="AC11" s="1">
        <f>SUM(Table15[[#This Row],[Transport and communication]])</f>
        <v>129.19999999999999</v>
      </c>
      <c r="AD11" s="1">
        <f>SUM(Table15[[#This Row],[Housing]],Table15[[#This Row],[Household goods and services]])/2</f>
        <v>149.30000000000001</v>
      </c>
      <c r="AE11" s="1">
        <f>SUM(Table15[[#This Row],[Health]])</f>
        <v>149.9</v>
      </c>
      <c r="AF11" s="1">
        <f>SUM(Table15[[#This Row],[Recreation and amusement]],Table15[[#This Row],[Education]])/2</f>
        <v>149.44999999999999</v>
      </c>
      <c r="AG11" s="1">
        <f>SUM(Table15[[#This Row],[Miscellaneous]],Table15[[#This Row],[Personal care and effects]])/2</f>
        <v>138.55000000000001</v>
      </c>
    </row>
    <row r="12" spans="1:33" x14ac:dyDescent="0.3">
      <c r="A12" t="s">
        <v>35</v>
      </c>
      <c r="B12">
        <v>2019</v>
      </c>
      <c r="C12" t="s">
        <v>39</v>
      </c>
      <c r="D12">
        <v>137.6</v>
      </c>
      <c r="E12">
        <v>152</v>
      </c>
      <c r="F12">
        <v>141.5</v>
      </c>
      <c r="G12">
        <v>142.19999999999999</v>
      </c>
      <c r="H12">
        <v>122</v>
      </c>
      <c r="I12">
        <v>136.4</v>
      </c>
      <c r="J12">
        <v>129.69999999999999</v>
      </c>
      <c r="K12">
        <v>121</v>
      </c>
      <c r="L12">
        <v>109</v>
      </c>
      <c r="M12">
        <v>139.69999999999999</v>
      </c>
      <c r="N12">
        <v>133.6</v>
      </c>
      <c r="O12">
        <v>154.9</v>
      </c>
      <c r="P12">
        <v>137.5</v>
      </c>
      <c r="Q12">
        <v>148.5</v>
      </c>
      <c r="R12">
        <v>138.4</v>
      </c>
      <c r="S12">
        <v>143.69999999999999</v>
      </c>
      <c r="T12">
        <v>145.6</v>
      </c>
      <c r="U12">
        <v>123.9</v>
      </c>
      <c r="V12">
        <v>137.1</v>
      </c>
      <c r="W12">
        <v>150.30000000000001</v>
      </c>
      <c r="X12">
        <v>134.1</v>
      </c>
      <c r="Y12">
        <v>137.4</v>
      </c>
      <c r="Z12">
        <v>139.9</v>
      </c>
      <c r="AA12" s="1">
        <f>SUM(Table15[[#This Row],[Cereals and products]:[Food and beverages]])/13</f>
        <v>135.16153846153844</v>
      </c>
      <c r="AB12" s="1">
        <f>SUM(Table15[[#This Row],[Fuel and light]])</f>
        <v>138.4</v>
      </c>
      <c r="AC12" s="1">
        <f>SUM(Table15[[#This Row],[Transport and communication]])</f>
        <v>123.9</v>
      </c>
      <c r="AD12" s="1">
        <f>SUM(Table15[[#This Row],[Housing]],Table15[[#This Row],[Household goods and services]])/2</f>
        <v>146.1</v>
      </c>
      <c r="AE12" s="1">
        <f>SUM(Table15[[#This Row],[Health]])</f>
        <v>145.6</v>
      </c>
      <c r="AF12" s="1">
        <f>SUM(Table15[[#This Row],[Recreation and amusement]],Table15[[#This Row],[Education]])/2</f>
        <v>143.69999999999999</v>
      </c>
      <c r="AG12" s="1">
        <f>SUM(Table15[[#This Row],[Miscellaneous]],Table15[[#This Row],[Personal care and effects]])/2</f>
        <v>135.75</v>
      </c>
    </row>
    <row r="13" spans="1:33" x14ac:dyDescent="0.3">
      <c r="A13" t="s">
        <v>36</v>
      </c>
      <c r="B13">
        <v>2019</v>
      </c>
      <c r="C13" t="s">
        <v>39</v>
      </c>
      <c r="D13">
        <v>139.4</v>
      </c>
      <c r="E13">
        <v>150.1</v>
      </c>
      <c r="F13">
        <v>145.30000000000001</v>
      </c>
      <c r="G13">
        <v>141.69999999999999</v>
      </c>
      <c r="H13">
        <v>118.4</v>
      </c>
      <c r="I13">
        <v>137</v>
      </c>
      <c r="J13">
        <v>131.6</v>
      </c>
      <c r="K13">
        <v>119.9</v>
      </c>
      <c r="L13">
        <v>110.4</v>
      </c>
      <c r="M13">
        <v>140.80000000000001</v>
      </c>
      <c r="N13">
        <v>128.30000000000001</v>
      </c>
      <c r="O13">
        <v>153.5</v>
      </c>
      <c r="P13">
        <v>138</v>
      </c>
      <c r="Q13">
        <v>148.5</v>
      </c>
      <c r="R13">
        <v>127.1</v>
      </c>
      <c r="S13">
        <v>136.6</v>
      </c>
      <c r="T13">
        <v>138.5</v>
      </c>
      <c r="U13">
        <v>119.2</v>
      </c>
      <c r="V13">
        <v>132.19999999999999</v>
      </c>
      <c r="W13">
        <v>146.6</v>
      </c>
      <c r="X13">
        <v>133</v>
      </c>
      <c r="Y13">
        <v>132.4</v>
      </c>
      <c r="Z13">
        <v>138.6</v>
      </c>
      <c r="AA13" s="1">
        <f>SUM(Table15[[#This Row],[Cereals and products]:[Food and beverages]])/13</f>
        <v>134.95384615384617</v>
      </c>
      <c r="AB13" s="1">
        <f>SUM(Table15[[#This Row],[Fuel and light]])</f>
        <v>127.1</v>
      </c>
      <c r="AC13" s="1">
        <f>SUM(Table15[[#This Row],[Transport and communication]])</f>
        <v>119.2</v>
      </c>
      <c r="AD13" s="1">
        <f>SUM(Table15[[#This Row],[Housing]],Table15[[#This Row],[Household goods and services]])/2</f>
        <v>142.55000000000001</v>
      </c>
      <c r="AE13" s="1">
        <f>SUM(Table15[[#This Row],[Health]])</f>
        <v>138.5</v>
      </c>
      <c r="AF13" s="1">
        <f>SUM(Table15[[#This Row],[Recreation and amusement]],Table15[[#This Row],[Education]])/2</f>
        <v>139.39999999999998</v>
      </c>
      <c r="AG13" s="1">
        <f>SUM(Table15[[#This Row],[Miscellaneous]],Table15[[#This Row],[Personal care and effects]])/2</f>
        <v>132.69999999999999</v>
      </c>
    </row>
    <row r="14" spans="1:33" x14ac:dyDescent="0.3">
      <c r="A14" t="s">
        <v>36</v>
      </c>
      <c r="B14">
        <v>2018</v>
      </c>
      <c r="C14" t="s">
        <v>34</v>
      </c>
      <c r="D14">
        <v>137</v>
      </c>
      <c r="E14">
        <v>143.1</v>
      </c>
      <c r="F14">
        <v>132.80000000000001</v>
      </c>
      <c r="G14">
        <v>141.5</v>
      </c>
      <c r="H14">
        <v>117.8</v>
      </c>
      <c r="I14">
        <v>140</v>
      </c>
      <c r="J14">
        <v>151.30000000000001</v>
      </c>
      <c r="K14">
        <v>113.5</v>
      </c>
      <c r="L14">
        <v>112.3</v>
      </c>
      <c r="M14">
        <v>141.19999999999999</v>
      </c>
      <c r="N14">
        <v>127.7</v>
      </c>
      <c r="O14">
        <v>151.30000000000001</v>
      </c>
      <c r="P14">
        <v>138.9</v>
      </c>
      <c r="Q14">
        <v>145.30000000000001</v>
      </c>
      <c r="R14">
        <v>131.19999999999999</v>
      </c>
      <c r="S14">
        <v>134.9</v>
      </c>
      <c r="T14">
        <v>135.69999999999999</v>
      </c>
      <c r="U14">
        <v>122.5</v>
      </c>
      <c r="V14">
        <v>130.19999999999999</v>
      </c>
      <c r="W14">
        <v>145.19999999999999</v>
      </c>
      <c r="X14">
        <v>129.30000000000001</v>
      </c>
      <c r="Y14">
        <v>131.9</v>
      </c>
      <c r="Z14">
        <v>138.1</v>
      </c>
      <c r="AA14" s="1">
        <f>SUM(Table15[[#This Row],[Cereals and products]:[Food and beverages]])/13</f>
        <v>134.49230769230769</v>
      </c>
      <c r="AB14" s="1">
        <f>SUM(Table15[[#This Row],[Fuel and light]])</f>
        <v>131.19999999999999</v>
      </c>
      <c r="AC14" s="1">
        <f>SUM(Table15[[#This Row],[Transport and communication]])</f>
        <v>122.5</v>
      </c>
      <c r="AD14" s="1">
        <f>SUM(Table15[[#This Row],[Housing]],Table15[[#This Row],[Household goods and services]])/2</f>
        <v>140.10000000000002</v>
      </c>
      <c r="AE14" s="1">
        <f>SUM(Table15[[#This Row],[Health]])</f>
        <v>135.69999999999999</v>
      </c>
      <c r="AF14" s="1">
        <f>SUM(Table15[[#This Row],[Recreation and amusement]],Table15[[#This Row],[Education]])/2</f>
        <v>137.69999999999999</v>
      </c>
      <c r="AG14" s="1">
        <f>SUM(Table15[[#This Row],[Miscellaneous]],Table15[[#This Row],[Personal care and effects]])/2</f>
        <v>130.60000000000002</v>
      </c>
    </row>
    <row r="15" spans="1:33" x14ac:dyDescent="0.3">
      <c r="A15" t="s">
        <v>35</v>
      </c>
      <c r="B15">
        <v>2018</v>
      </c>
      <c r="C15" t="s">
        <v>34</v>
      </c>
      <c r="D15">
        <v>138.6</v>
      </c>
      <c r="E15">
        <v>145.80000000000001</v>
      </c>
      <c r="F15">
        <v>135.1</v>
      </c>
      <c r="G15">
        <v>142.9</v>
      </c>
      <c r="H15">
        <v>122.1</v>
      </c>
      <c r="I15">
        <v>145.4</v>
      </c>
      <c r="J15">
        <v>150</v>
      </c>
      <c r="K15">
        <v>121.4</v>
      </c>
      <c r="L15">
        <v>113.7</v>
      </c>
      <c r="M15">
        <v>139.5</v>
      </c>
      <c r="N15">
        <v>130.80000000000001</v>
      </c>
      <c r="O15">
        <v>153.80000000000001</v>
      </c>
      <c r="P15">
        <v>140.4</v>
      </c>
      <c r="Q15">
        <v>145.30000000000001</v>
      </c>
      <c r="R15">
        <v>142.30000000000001</v>
      </c>
      <c r="S15">
        <v>139.69999999999999</v>
      </c>
      <c r="T15">
        <v>138.4</v>
      </c>
      <c r="U15">
        <v>126</v>
      </c>
      <c r="V15">
        <v>134.5</v>
      </c>
      <c r="W15">
        <v>146.19999999999999</v>
      </c>
      <c r="X15">
        <v>130.9</v>
      </c>
      <c r="Y15">
        <v>134.69999999999999</v>
      </c>
      <c r="Z15">
        <v>140.19999999999999</v>
      </c>
      <c r="AA15" s="1">
        <f>SUM(Table15[[#This Row],[Cereals and products]:[Food and beverages]])/13</f>
        <v>136.88461538461539</v>
      </c>
      <c r="AB15" s="1">
        <f>SUM(Table15[[#This Row],[Fuel and light]])</f>
        <v>142.30000000000001</v>
      </c>
      <c r="AC15" s="1">
        <f>SUM(Table15[[#This Row],[Transport and communication]])</f>
        <v>126</v>
      </c>
      <c r="AD15" s="1">
        <f>SUM(Table15[[#This Row],[Housing]],Table15[[#This Row],[Household goods and services]])/2</f>
        <v>142.5</v>
      </c>
      <c r="AE15" s="1">
        <f>SUM(Table15[[#This Row],[Health]])</f>
        <v>138.4</v>
      </c>
      <c r="AF15" s="1">
        <f>SUM(Table15[[#This Row],[Recreation and amusement]],Table15[[#This Row],[Education]])/2</f>
        <v>140.35</v>
      </c>
      <c r="AG15" s="1">
        <f>SUM(Table15[[#This Row],[Miscellaneous]],Table15[[#This Row],[Personal care and effects]])/2</f>
        <v>132.80000000000001</v>
      </c>
    </row>
    <row r="16" spans="1:33" x14ac:dyDescent="0.3">
      <c r="A16" t="s">
        <v>33</v>
      </c>
      <c r="B16">
        <v>2018</v>
      </c>
      <c r="C16" t="s">
        <v>34</v>
      </c>
      <c r="D16">
        <v>139.4</v>
      </c>
      <c r="E16">
        <v>147.19999999999999</v>
      </c>
      <c r="F16">
        <v>136.6</v>
      </c>
      <c r="G16">
        <v>143.69999999999999</v>
      </c>
      <c r="H16">
        <v>124.6</v>
      </c>
      <c r="I16">
        <v>150.1</v>
      </c>
      <c r="J16">
        <v>149.4</v>
      </c>
      <c r="K16">
        <v>125.4</v>
      </c>
      <c r="L16">
        <v>114.4</v>
      </c>
      <c r="M16">
        <v>138.69999999999999</v>
      </c>
      <c r="N16">
        <v>133.1</v>
      </c>
      <c r="O16">
        <v>155.9</v>
      </c>
      <c r="P16">
        <v>141.30000000000001</v>
      </c>
      <c r="Q16">
        <v>145.30000000000001</v>
      </c>
      <c r="R16">
        <v>149</v>
      </c>
      <c r="S16">
        <v>144</v>
      </c>
      <c r="T16">
        <v>140</v>
      </c>
      <c r="U16">
        <v>129.9</v>
      </c>
      <c r="V16">
        <v>140</v>
      </c>
      <c r="W16">
        <v>147.6</v>
      </c>
      <c r="X16">
        <v>132</v>
      </c>
      <c r="Y16">
        <v>137.4</v>
      </c>
      <c r="Z16">
        <v>142.1</v>
      </c>
      <c r="AA16" s="1">
        <f>SUM(Table15[[#This Row],[Cereals and products]:[Food and beverages]])/13</f>
        <v>138.44615384615386</v>
      </c>
      <c r="AB16" s="1">
        <f>SUM(Table15[[#This Row],[Fuel and light]])</f>
        <v>149</v>
      </c>
      <c r="AC16" s="1">
        <f>SUM(Table15[[#This Row],[Transport and communication]])</f>
        <v>129.9</v>
      </c>
      <c r="AD16" s="1">
        <f>SUM(Table15[[#This Row],[Housing]],Table15[[#This Row],[Household goods and services]])/2</f>
        <v>144.65</v>
      </c>
      <c r="AE16" s="1">
        <f>SUM(Table15[[#This Row],[Health]])</f>
        <v>140</v>
      </c>
      <c r="AF16" s="1">
        <f>SUM(Table15[[#This Row],[Recreation and amusement]],Table15[[#This Row],[Education]])/2</f>
        <v>143.80000000000001</v>
      </c>
      <c r="AG16" s="1">
        <f>SUM(Table15[[#This Row],[Miscellaneous]],Table15[[#This Row],[Personal care and effects]])/2</f>
        <v>134.69999999999999</v>
      </c>
    </row>
    <row r="17" spans="1:33" x14ac:dyDescent="0.3">
      <c r="A17" t="s">
        <v>36</v>
      </c>
      <c r="B17">
        <v>2017</v>
      </c>
      <c r="C17" t="s">
        <v>34</v>
      </c>
      <c r="D17">
        <v>133.6</v>
      </c>
      <c r="E17">
        <v>143</v>
      </c>
      <c r="F17">
        <v>129.69999999999999</v>
      </c>
      <c r="G17">
        <v>138.69999999999999</v>
      </c>
      <c r="H17">
        <v>114.5</v>
      </c>
      <c r="I17">
        <v>137.5</v>
      </c>
      <c r="J17">
        <v>160.69999999999999</v>
      </c>
      <c r="K17">
        <v>124.5</v>
      </c>
      <c r="L17">
        <v>122.4</v>
      </c>
      <c r="M17">
        <v>137.30000000000001</v>
      </c>
      <c r="N17">
        <v>124.8</v>
      </c>
      <c r="O17">
        <v>145</v>
      </c>
      <c r="P17">
        <v>138</v>
      </c>
      <c r="Q17">
        <v>135.69999999999999</v>
      </c>
      <c r="R17">
        <v>120.6</v>
      </c>
      <c r="S17">
        <v>128.1</v>
      </c>
      <c r="T17">
        <v>126.1</v>
      </c>
      <c r="U17">
        <v>115.7</v>
      </c>
      <c r="V17">
        <v>124.5</v>
      </c>
      <c r="W17">
        <v>135.9</v>
      </c>
      <c r="X17">
        <v>124.4</v>
      </c>
      <c r="Y17">
        <v>124.5</v>
      </c>
      <c r="Z17">
        <v>132.4</v>
      </c>
      <c r="AA17" s="1">
        <f>SUM(Table15[[#This Row],[Cereals and products]:[Food and beverages]])/13</f>
        <v>134.59230769230768</v>
      </c>
      <c r="AB17" s="1">
        <f>SUM(Table15[[#This Row],[Fuel and light]])</f>
        <v>120.6</v>
      </c>
      <c r="AC17" s="1">
        <f>SUM(Table15[[#This Row],[Transport and communication]])</f>
        <v>115.7</v>
      </c>
      <c r="AD17" s="1">
        <f>SUM(Table15[[#This Row],[Housing]],Table15[[#This Row],[Household goods and services]])/2</f>
        <v>131.89999999999998</v>
      </c>
      <c r="AE17" s="1">
        <f>SUM(Table15[[#This Row],[Health]])</f>
        <v>126.1</v>
      </c>
      <c r="AF17" s="1">
        <f>SUM(Table15[[#This Row],[Recreation and amusement]],Table15[[#This Row],[Education]])/2</f>
        <v>130.19999999999999</v>
      </c>
      <c r="AG17" s="1">
        <f>SUM(Table15[[#This Row],[Miscellaneous]],Table15[[#This Row],[Personal care and effects]])/2</f>
        <v>124.45</v>
      </c>
    </row>
    <row r="18" spans="1:33" x14ac:dyDescent="0.3">
      <c r="A18" t="s">
        <v>35</v>
      </c>
      <c r="B18">
        <v>2017</v>
      </c>
      <c r="C18" t="s">
        <v>34</v>
      </c>
      <c r="D18">
        <v>134.69999999999999</v>
      </c>
      <c r="E18">
        <v>142.4</v>
      </c>
      <c r="F18">
        <v>130.19999999999999</v>
      </c>
      <c r="G18">
        <v>139.6</v>
      </c>
      <c r="H18">
        <v>118.4</v>
      </c>
      <c r="I18">
        <v>143</v>
      </c>
      <c r="J18">
        <v>156.6</v>
      </c>
      <c r="K18">
        <v>132.9</v>
      </c>
      <c r="L18">
        <v>121.5</v>
      </c>
      <c r="M18">
        <v>135.6</v>
      </c>
      <c r="N18">
        <v>128.80000000000001</v>
      </c>
      <c r="O18">
        <v>147.30000000000001</v>
      </c>
      <c r="P18">
        <v>139</v>
      </c>
      <c r="Q18">
        <v>135.69999999999999</v>
      </c>
      <c r="R18">
        <v>131</v>
      </c>
      <c r="S18">
        <v>133.30000000000001</v>
      </c>
      <c r="T18">
        <v>130.6</v>
      </c>
      <c r="U18">
        <v>118.3</v>
      </c>
      <c r="V18">
        <v>127.9</v>
      </c>
      <c r="W18">
        <v>137.4</v>
      </c>
      <c r="X18">
        <v>125.7</v>
      </c>
      <c r="Y18">
        <v>127.5</v>
      </c>
      <c r="Z18">
        <v>135.19999999999999</v>
      </c>
      <c r="AA18" s="1">
        <f>SUM(Table15[[#This Row],[Cereals and products]:[Food and beverages]])/13</f>
        <v>136.15384615384613</v>
      </c>
      <c r="AB18" s="1">
        <f>SUM(Table15[[#This Row],[Fuel and light]])</f>
        <v>131</v>
      </c>
      <c r="AC18" s="1">
        <f>SUM(Table15[[#This Row],[Transport and communication]])</f>
        <v>118.3</v>
      </c>
      <c r="AD18" s="1">
        <f>SUM(Table15[[#This Row],[Housing]],Table15[[#This Row],[Household goods and services]])/2</f>
        <v>134.5</v>
      </c>
      <c r="AE18" s="1">
        <f>SUM(Table15[[#This Row],[Health]])</f>
        <v>130.6</v>
      </c>
      <c r="AF18" s="1">
        <f>SUM(Table15[[#This Row],[Recreation and amusement]],Table15[[#This Row],[Education]])/2</f>
        <v>132.65</v>
      </c>
      <c r="AG18" s="1">
        <f>SUM(Table15[[#This Row],[Miscellaneous]],Table15[[#This Row],[Personal care and effects]])/2</f>
        <v>126.6</v>
      </c>
    </row>
    <row r="19" spans="1:33" x14ac:dyDescent="0.3">
      <c r="A19" t="s">
        <v>33</v>
      </c>
      <c r="B19">
        <v>2017</v>
      </c>
      <c r="C19" t="s">
        <v>34</v>
      </c>
      <c r="D19">
        <v>135.19999999999999</v>
      </c>
      <c r="E19">
        <v>142</v>
      </c>
      <c r="F19">
        <v>130.5</v>
      </c>
      <c r="G19">
        <v>140.19999999999999</v>
      </c>
      <c r="H19">
        <v>120.7</v>
      </c>
      <c r="I19">
        <v>147.80000000000001</v>
      </c>
      <c r="J19">
        <v>154.5</v>
      </c>
      <c r="K19">
        <v>137.1</v>
      </c>
      <c r="L19">
        <v>121</v>
      </c>
      <c r="M19">
        <v>134.69999999999999</v>
      </c>
      <c r="N19">
        <v>131.69999999999999</v>
      </c>
      <c r="O19">
        <v>149.30000000000001</v>
      </c>
      <c r="P19">
        <v>139.6</v>
      </c>
      <c r="Q19">
        <v>135.69999999999999</v>
      </c>
      <c r="R19">
        <v>137.4</v>
      </c>
      <c r="S19">
        <v>137.9</v>
      </c>
      <c r="T19">
        <v>133.4</v>
      </c>
      <c r="U19">
        <v>121.2</v>
      </c>
      <c r="V19">
        <v>132.30000000000001</v>
      </c>
      <c r="W19">
        <v>139.6</v>
      </c>
      <c r="X19">
        <v>126.7</v>
      </c>
      <c r="Y19">
        <v>130.30000000000001</v>
      </c>
      <c r="Z19">
        <v>137.6</v>
      </c>
      <c r="AA19" s="1">
        <f>SUM(Table15[[#This Row],[Cereals and products]:[Food and beverages]])/13</f>
        <v>137.25384615384615</v>
      </c>
      <c r="AB19" s="1">
        <f>SUM(Table15[[#This Row],[Fuel and light]])</f>
        <v>137.4</v>
      </c>
      <c r="AC19" s="1">
        <f>SUM(Table15[[#This Row],[Transport and communication]])</f>
        <v>121.2</v>
      </c>
      <c r="AD19" s="1">
        <f>SUM(Table15[[#This Row],[Housing]],Table15[[#This Row],[Household goods and services]])/2</f>
        <v>136.80000000000001</v>
      </c>
      <c r="AE19" s="1">
        <f>SUM(Table15[[#This Row],[Health]])</f>
        <v>133.4</v>
      </c>
      <c r="AF19" s="1">
        <f>SUM(Table15[[#This Row],[Recreation and amusement]],Table15[[#This Row],[Education]])/2</f>
        <v>135.94999999999999</v>
      </c>
      <c r="AG19" s="1">
        <f>SUM(Table15[[#This Row],[Miscellaneous]],Table15[[#This Row],[Personal care and effects]])/2</f>
        <v>128.5</v>
      </c>
    </row>
    <row r="20" spans="1:33" x14ac:dyDescent="0.3">
      <c r="A20" t="s">
        <v>36</v>
      </c>
      <c r="B20">
        <v>2016</v>
      </c>
      <c r="C20" t="s">
        <v>34</v>
      </c>
      <c r="D20">
        <v>128.1</v>
      </c>
      <c r="E20">
        <v>137.69999999999999</v>
      </c>
      <c r="F20">
        <v>130.6</v>
      </c>
      <c r="G20">
        <v>132.6</v>
      </c>
      <c r="H20">
        <v>111.9</v>
      </c>
      <c r="I20">
        <v>132.5</v>
      </c>
      <c r="J20">
        <v>152.9</v>
      </c>
      <c r="K20">
        <v>173.6</v>
      </c>
      <c r="L20">
        <v>115.1</v>
      </c>
      <c r="M20">
        <v>144.80000000000001</v>
      </c>
      <c r="N20">
        <v>122.1</v>
      </c>
      <c r="O20">
        <v>138.80000000000001</v>
      </c>
      <c r="P20">
        <v>135.69999999999999</v>
      </c>
      <c r="Q20">
        <v>127.9</v>
      </c>
      <c r="R20">
        <v>114.8</v>
      </c>
      <c r="S20">
        <v>124.3</v>
      </c>
      <c r="T20">
        <v>121.4</v>
      </c>
      <c r="U20">
        <v>111.8</v>
      </c>
      <c r="V20">
        <v>120.8</v>
      </c>
      <c r="W20">
        <v>131.6</v>
      </c>
      <c r="X20">
        <v>121.2</v>
      </c>
      <c r="Y20">
        <v>120.5</v>
      </c>
      <c r="Z20">
        <v>128</v>
      </c>
      <c r="AA20" s="1">
        <f>SUM(Table15[[#This Row],[Cereals and products]:[Food and beverages]])/13</f>
        <v>135.10769230769228</v>
      </c>
      <c r="AB20" s="1">
        <f>SUM(Table15[[#This Row],[Fuel and light]])</f>
        <v>114.8</v>
      </c>
      <c r="AC20" s="1">
        <f>SUM(Table15[[#This Row],[Transport and communication]])</f>
        <v>111.8</v>
      </c>
      <c r="AD20" s="1">
        <f>SUM(Table15[[#This Row],[Housing]],Table15[[#This Row],[Household goods and services]])/2</f>
        <v>126.1</v>
      </c>
      <c r="AE20" s="1">
        <f>SUM(Table15[[#This Row],[Health]])</f>
        <v>121.4</v>
      </c>
      <c r="AF20" s="1">
        <f>SUM(Table15[[#This Row],[Recreation and amusement]],Table15[[#This Row],[Education]])/2</f>
        <v>126.19999999999999</v>
      </c>
      <c r="AG20" s="1">
        <f>SUM(Table15[[#This Row],[Miscellaneous]],Table15[[#This Row],[Personal care and effects]])/2</f>
        <v>120.85</v>
      </c>
    </row>
    <row r="21" spans="1:33" x14ac:dyDescent="0.3">
      <c r="A21" t="s">
        <v>35</v>
      </c>
      <c r="B21">
        <v>2016</v>
      </c>
      <c r="C21" t="s">
        <v>34</v>
      </c>
      <c r="D21">
        <v>129.9</v>
      </c>
      <c r="E21">
        <v>138</v>
      </c>
      <c r="F21">
        <v>130.5</v>
      </c>
      <c r="G21">
        <v>134.4</v>
      </c>
      <c r="H21">
        <v>117.2</v>
      </c>
      <c r="I21">
        <v>136.1</v>
      </c>
      <c r="J21">
        <v>150.69999999999999</v>
      </c>
      <c r="K21">
        <v>171.5</v>
      </c>
      <c r="L21">
        <v>113.8</v>
      </c>
      <c r="M21">
        <v>138.80000000000001</v>
      </c>
      <c r="N21">
        <v>126</v>
      </c>
      <c r="O21">
        <v>140.19999999999999</v>
      </c>
      <c r="P21">
        <v>136.6</v>
      </c>
      <c r="Q21">
        <v>127.9</v>
      </c>
      <c r="R21">
        <v>124.1</v>
      </c>
      <c r="S21">
        <v>127.9</v>
      </c>
      <c r="T21">
        <v>125.4</v>
      </c>
      <c r="U21">
        <v>114.3</v>
      </c>
      <c r="V21">
        <v>122.9</v>
      </c>
      <c r="W21">
        <v>131.80000000000001</v>
      </c>
      <c r="X21">
        <v>122.1</v>
      </c>
      <c r="Y21">
        <v>122.8</v>
      </c>
      <c r="Z21">
        <v>130.9</v>
      </c>
      <c r="AA21" s="1">
        <f>SUM(Table15[[#This Row],[Cereals and products]:[Food and beverages]])/13</f>
        <v>135.66923076923075</v>
      </c>
      <c r="AB21" s="1">
        <f>SUM(Table15[[#This Row],[Fuel and light]])</f>
        <v>124.1</v>
      </c>
      <c r="AC21" s="1">
        <f>SUM(Table15[[#This Row],[Transport and communication]])</f>
        <v>114.3</v>
      </c>
      <c r="AD21" s="1">
        <f>SUM(Table15[[#This Row],[Housing]],Table15[[#This Row],[Household goods and services]])/2</f>
        <v>127.9</v>
      </c>
      <c r="AE21" s="1">
        <f>SUM(Table15[[#This Row],[Health]])</f>
        <v>125.4</v>
      </c>
      <c r="AF21" s="1">
        <f>SUM(Table15[[#This Row],[Recreation and amusement]],Table15[[#This Row],[Education]])/2</f>
        <v>127.35000000000001</v>
      </c>
      <c r="AG21" s="1">
        <f>SUM(Table15[[#This Row],[Miscellaneous]],Table15[[#This Row],[Personal care and effects]])/2</f>
        <v>122.44999999999999</v>
      </c>
    </row>
    <row r="22" spans="1:33" x14ac:dyDescent="0.3">
      <c r="A22" t="s">
        <v>33</v>
      </c>
      <c r="B22">
        <v>2016</v>
      </c>
      <c r="C22" t="s">
        <v>34</v>
      </c>
      <c r="D22">
        <v>130.80000000000001</v>
      </c>
      <c r="E22">
        <v>138.19999999999999</v>
      </c>
      <c r="F22">
        <v>130.5</v>
      </c>
      <c r="G22">
        <v>135.5</v>
      </c>
      <c r="H22">
        <v>120.2</v>
      </c>
      <c r="I22">
        <v>139.19999999999999</v>
      </c>
      <c r="J22">
        <v>149.5</v>
      </c>
      <c r="K22">
        <v>170.4</v>
      </c>
      <c r="L22">
        <v>113.1</v>
      </c>
      <c r="M22">
        <v>135.80000000000001</v>
      </c>
      <c r="N22">
        <v>128.80000000000001</v>
      </c>
      <c r="O22">
        <v>141.5</v>
      </c>
      <c r="P22">
        <v>137.19999999999999</v>
      </c>
      <c r="Q22">
        <v>127.9</v>
      </c>
      <c r="R22">
        <v>129.69999999999999</v>
      </c>
      <c r="S22">
        <v>131.1</v>
      </c>
      <c r="T22">
        <v>127.8</v>
      </c>
      <c r="U22">
        <v>117</v>
      </c>
      <c r="V22">
        <v>125.7</v>
      </c>
      <c r="W22">
        <v>132.19999999999999</v>
      </c>
      <c r="X22">
        <v>122.8</v>
      </c>
      <c r="Y22">
        <v>124.9</v>
      </c>
      <c r="Z22">
        <v>133.4</v>
      </c>
      <c r="AA22" s="1">
        <f>SUM(Table15[[#This Row],[Cereals and products]:[Food and beverages]])/13</f>
        <v>136.2076923076923</v>
      </c>
      <c r="AB22" s="1">
        <f>SUM(Table15[[#This Row],[Fuel and light]])</f>
        <v>129.69999999999999</v>
      </c>
      <c r="AC22" s="1">
        <f>SUM(Table15[[#This Row],[Transport and communication]])</f>
        <v>117</v>
      </c>
      <c r="AD22" s="1">
        <f>SUM(Table15[[#This Row],[Housing]],Table15[[#This Row],[Household goods and services]])/2</f>
        <v>129.5</v>
      </c>
      <c r="AE22" s="1">
        <f>SUM(Table15[[#This Row],[Health]])</f>
        <v>127.8</v>
      </c>
      <c r="AF22" s="1">
        <f>SUM(Table15[[#This Row],[Recreation and amusement]],Table15[[#This Row],[Education]])/2</f>
        <v>128.94999999999999</v>
      </c>
      <c r="AG22" s="1">
        <f>SUM(Table15[[#This Row],[Miscellaneous]],Table15[[#This Row],[Personal care and effects]])/2</f>
        <v>123.85</v>
      </c>
    </row>
    <row r="23" spans="1:33" x14ac:dyDescent="0.3">
      <c r="A23" t="s">
        <v>36</v>
      </c>
      <c r="B23">
        <v>2015</v>
      </c>
      <c r="C23" t="s">
        <v>34</v>
      </c>
      <c r="D23">
        <v>123.4</v>
      </c>
      <c r="E23">
        <v>129</v>
      </c>
      <c r="F23">
        <v>115.6</v>
      </c>
      <c r="G23">
        <v>128.30000000000001</v>
      </c>
      <c r="H23">
        <v>107</v>
      </c>
      <c r="I23">
        <v>124</v>
      </c>
      <c r="J23">
        <v>168.5</v>
      </c>
      <c r="K23">
        <v>165.4</v>
      </c>
      <c r="L23">
        <v>86.3</v>
      </c>
      <c r="M23">
        <v>134.4</v>
      </c>
      <c r="N23">
        <v>119.1</v>
      </c>
      <c r="O23">
        <v>132.30000000000001</v>
      </c>
      <c r="P23">
        <v>131.5</v>
      </c>
      <c r="Q23">
        <v>121.6</v>
      </c>
      <c r="R23">
        <v>115.1</v>
      </c>
      <c r="S23">
        <v>120.4</v>
      </c>
      <c r="T23">
        <v>117.1</v>
      </c>
      <c r="U23">
        <v>109.1</v>
      </c>
      <c r="V23">
        <v>117.3</v>
      </c>
      <c r="W23">
        <v>126.5</v>
      </c>
      <c r="X23">
        <v>112.9</v>
      </c>
      <c r="Y23">
        <v>116.2</v>
      </c>
      <c r="Z23">
        <v>123.5</v>
      </c>
      <c r="AA23" s="1">
        <f>SUM(Table15[[#This Row],[Cereals and products]:[Food and beverages]])/13</f>
        <v>128.06153846153845</v>
      </c>
      <c r="AB23" s="1">
        <f>SUM(Table15[[#This Row],[Fuel and light]])</f>
        <v>115.1</v>
      </c>
      <c r="AC23" s="1">
        <f>SUM(Table15[[#This Row],[Transport and communication]])</f>
        <v>109.1</v>
      </c>
      <c r="AD23" s="1">
        <f>SUM(Table15[[#This Row],[Housing]],Table15[[#This Row],[Household goods and services]])/2</f>
        <v>121</v>
      </c>
      <c r="AE23" s="1">
        <f>SUM(Table15[[#This Row],[Health]])</f>
        <v>117.1</v>
      </c>
      <c r="AF23" s="1">
        <f>SUM(Table15[[#This Row],[Recreation and amusement]],Table15[[#This Row],[Education]])/2</f>
        <v>121.9</v>
      </c>
      <c r="AG23" s="1">
        <f>SUM(Table15[[#This Row],[Miscellaneous]],Table15[[#This Row],[Personal care and effects]])/2</f>
        <v>114.55000000000001</v>
      </c>
    </row>
    <row r="24" spans="1:33" x14ac:dyDescent="0.3">
      <c r="A24" t="s">
        <v>35</v>
      </c>
      <c r="B24">
        <v>2015</v>
      </c>
      <c r="C24" t="s">
        <v>34</v>
      </c>
      <c r="D24">
        <v>124.6</v>
      </c>
      <c r="E24">
        <v>130.4</v>
      </c>
      <c r="F24">
        <v>118.7</v>
      </c>
      <c r="G24">
        <v>128.9</v>
      </c>
      <c r="H24">
        <v>111.9</v>
      </c>
      <c r="I24">
        <v>128.4</v>
      </c>
      <c r="J24">
        <v>162.19999999999999</v>
      </c>
      <c r="K24">
        <v>150</v>
      </c>
      <c r="L24">
        <v>90.4</v>
      </c>
      <c r="M24">
        <v>128.4</v>
      </c>
      <c r="N24">
        <v>120.7</v>
      </c>
      <c r="O24">
        <v>132.5</v>
      </c>
      <c r="P24">
        <v>131.19999999999999</v>
      </c>
      <c r="Q24">
        <v>121.6</v>
      </c>
      <c r="R24">
        <v>120.4</v>
      </c>
      <c r="S24">
        <v>122.6</v>
      </c>
      <c r="T24">
        <v>119.8</v>
      </c>
      <c r="U24">
        <v>111.3</v>
      </c>
      <c r="V24">
        <v>118.3</v>
      </c>
      <c r="W24">
        <v>125.7</v>
      </c>
      <c r="X24">
        <v>113.4</v>
      </c>
      <c r="Y24">
        <v>117.5</v>
      </c>
      <c r="Z24">
        <v>125.4</v>
      </c>
      <c r="AA24" s="1">
        <f>SUM(Table15[[#This Row],[Cereals and products]:[Food and beverages]])/13</f>
        <v>127.56153846153848</v>
      </c>
      <c r="AB24" s="1">
        <f>SUM(Table15[[#This Row],[Fuel and light]])</f>
        <v>120.4</v>
      </c>
      <c r="AC24" s="1">
        <f>SUM(Table15[[#This Row],[Transport and communication]])</f>
        <v>111.3</v>
      </c>
      <c r="AD24" s="1">
        <f>SUM(Table15[[#This Row],[Housing]],Table15[[#This Row],[Household goods and services]])/2</f>
        <v>122.1</v>
      </c>
      <c r="AE24" s="1">
        <f>SUM(Table15[[#This Row],[Health]])</f>
        <v>119.8</v>
      </c>
      <c r="AF24" s="1">
        <f>SUM(Table15[[#This Row],[Recreation and amusement]],Table15[[#This Row],[Education]])/2</f>
        <v>122</v>
      </c>
      <c r="AG24" s="1">
        <f>SUM(Table15[[#This Row],[Miscellaneous]],Table15[[#This Row],[Personal care and effects]])/2</f>
        <v>115.45</v>
      </c>
    </row>
    <row r="25" spans="1:33" x14ac:dyDescent="0.3">
      <c r="A25" t="s">
        <v>33</v>
      </c>
      <c r="B25">
        <v>2015</v>
      </c>
      <c r="C25" t="s">
        <v>34</v>
      </c>
      <c r="D25">
        <v>125.1</v>
      </c>
      <c r="E25">
        <v>131.1</v>
      </c>
      <c r="F25">
        <v>120.7</v>
      </c>
      <c r="G25">
        <v>129.19999999999999</v>
      </c>
      <c r="H25">
        <v>114.7</v>
      </c>
      <c r="I25">
        <v>132.30000000000001</v>
      </c>
      <c r="J25">
        <v>158.9</v>
      </c>
      <c r="K25">
        <v>142.1</v>
      </c>
      <c r="L25">
        <v>92.5</v>
      </c>
      <c r="M25">
        <v>125.4</v>
      </c>
      <c r="N25">
        <v>121.9</v>
      </c>
      <c r="O25">
        <v>132.69999999999999</v>
      </c>
      <c r="P25">
        <v>131</v>
      </c>
      <c r="Q25">
        <v>121.6</v>
      </c>
      <c r="R25">
        <v>123.7</v>
      </c>
      <c r="S25">
        <v>124.5</v>
      </c>
      <c r="T25">
        <v>121.4</v>
      </c>
      <c r="U25">
        <v>113.8</v>
      </c>
      <c r="V25">
        <v>119.6</v>
      </c>
      <c r="W25">
        <v>124.5</v>
      </c>
      <c r="X25">
        <v>113.7</v>
      </c>
      <c r="Y25">
        <v>118.8</v>
      </c>
      <c r="Z25">
        <v>127</v>
      </c>
      <c r="AA25" s="1">
        <f>SUM(Table15[[#This Row],[Cereals and products]:[Food and beverages]])/13</f>
        <v>127.50769230769232</v>
      </c>
      <c r="AB25" s="1">
        <f>SUM(Table15[[#This Row],[Fuel and light]])</f>
        <v>123.7</v>
      </c>
      <c r="AC25" s="1">
        <f>SUM(Table15[[#This Row],[Transport and communication]])</f>
        <v>113.8</v>
      </c>
      <c r="AD25" s="1">
        <f>SUM(Table15[[#This Row],[Housing]],Table15[[#This Row],[Household goods and services]])/2</f>
        <v>123.05</v>
      </c>
      <c r="AE25" s="1">
        <f>SUM(Table15[[#This Row],[Health]])</f>
        <v>121.4</v>
      </c>
      <c r="AF25" s="1">
        <f>SUM(Table15[[#This Row],[Recreation and amusement]],Table15[[#This Row],[Education]])/2</f>
        <v>122.05</v>
      </c>
      <c r="AG25" s="1">
        <f>SUM(Table15[[#This Row],[Miscellaneous]],Table15[[#This Row],[Personal care and effects]])/2</f>
        <v>116.25</v>
      </c>
    </row>
    <row r="26" spans="1:33" x14ac:dyDescent="0.3">
      <c r="A26" t="s">
        <v>33</v>
      </c>
      <c r="B26">
        <v>2014</v>
      </c>
      <c r="C26" t="s">
        <v>34</v>
      </c>
      <c r="D26">
        <v>122.3</v>
      </c>
      <c r="E26">
        <v>122.4</v>
      </c>
      <c r="F26">
        <v>117.8</v>
      </c>
      <c r="G26">
        <v>122.7</v>
      </c>
      <c r="H26">
        <v>110.4</v>
      </c>
      <c r="I26">
        <v>129.80000000000001</v>
      </c>
      <c r="J26">
        <v>158.80000000000001</v>
      </c>
      <c r="K26">
        <v>115</v>
      </c>
      <c r="L26">
        <v>104.7</v>
      </c>
      <c r="M26">
        <v>114.9</v>
      </c>
      <c r="N26">
        <v>116.5</v>
      </c>
      <c r="O26">
        <v>122.6</v>
      </c>
      <c r="P26">
        <v>125.3</v>
      </c>
      <c r="Q26">
        <v>109.7</v>
      </c>
      <c r="R26">
        <v>115.8</v>
      </c>
      <c r="S26">
        <v>116.7</v>
      </c>
      <c r="T26">
        <v>114.5</v>
      </c>
      <c r="U26">
        <v>112.8</v>
      </c>
      <c r="V26">
        <v>112.6</v>
      </c>
      <c r="W26">
        <v>116.6</v>
      </c>
      <c r="X26">
        <v>109.1</v>
      </c>
      <c r="Y26">
        <v>113.7</v>
      </c>
      <c r="Z26">
        <v>120.9</v>
      </c>
      <c r="AA26" s="1">
        <f>SUM(Table15[[#This Row],[Cereals and products]:[Food and beverages]])/13</f>
        <v>121.78461538461539</v>
      </c>
      <c r="AB26" s="1">
        <f>SUM(Table15[[#This Row],[Fuel and light]])</f>
        <v>115.8</v>
      </c>
      <c r="AC26" s="1">
        <f>SUM(Table15[[#This Row],[Transport and communication]])</f>
        <v>112.8</v>
      </c>
      <c r="AD26" s="1">
        <f>SUM(Table15[[#This Row],[Housing]],Table15[[#This Row],[Household goods and services]])/2</f>
        <v>113.2</v>
      </c>
      <c r="AE26" s="1">
        <f>SUM(Table15[[#This Row],[Health]])</f>
        <v>114.5</v>
      </c>
      <c r="AF26" s="1">
        <f>SUM(Table15[[#This Row],[Recreation and amusement]],Table15[[#This Row],[Education]])/2</f>
        <v>114.6</v>
      </c>
      <c r="AG26" s="1">
        <f>SUM(Table15[[#This Row],[Miscellaneous]],Table15[[#This Row],[Personal care and effects]])/2</f>
        <v>111.4</v>
      </c>
    </row>
    <row r="27" spans="1:33" x14ac:dyDescent="0.3">
      <c r="A27" t="s">
        <v>35</v>
      </c>
      <c r="B27">
        <v>2014</v>
      </c>
      <c r="C27" t="s">
        <v>34</v>
      </c>
      <c r="D27">
        <v>122.9</v>
      </c>
      <c r="E27">
        <v>123.5</v>
      </c>
      <c r="F27">
        <v>117.3</v>
      </c>
      <c r="G27">
        <v>122.7</v>
      </c>
      <c r="H27">
        <v>107.9</v>
      </c>
      <c r="I27">
        <v>127.3</v>
      </c>
      <c r="J27">
        <v>162.1</v>
      </c>
      <c r="K27">
        <v>115.6</v>
      </c>
      <c r="L27">
        <v>103.8</v>
      </c>
      <c r="M27">
        <v>117.6</v>
      </c>
      <c r="N27">
        <v>115.8</v>
      </c>
      <c r="O27">
        <v>123.8</v>
      </c>
      <c r="P27">
        <v>125.8</v>
      </c>
      <c r="Q27">
        <v>116.1</v>
      </c>
      <c r="R27">
        <v>114.3</v>
      </c>
      <c r="S27">
        <v>116.1</v>
      </c>
      <c r="T27">
        <v>113.7</v>
      </c>
      <c r="U27">
        <v>112</v>
      </c>
      <c r="V27">
        <v>113.1</v>
      </c>
      <c r="W27">
        <v>118.6</v>
      </c>
      <c r="X27">
        <v>109.5</v>
      </c>
      <c r="Y27">
        <v>113.7</v>
      </c>
      <c r="Z27">
        <v>120.1</v>
      </c>
      <c r="AA27" s="1">
        <f>SUM(Table15[[#This Row],[Cereals and products]:[Food and beverages]])/13</f>
        <v>122.00769230769228</v>
      </c>
      <c r="AB27" s="1">
        <f>SUM(Table15[[#This Row],[Fuel and light]])</f>
        <v>114.3</v>
      </c>
      <c r="AC27" s="1">
        <f>SUM(Table15[[#This Row],[Transport and communication]])</f>
        <v>112</v>
      </c>
      <c r="AD27" s="1">
        <f>SUM(Table15[[#This Row],[Housing]],Table15[[#This Row],[Household goods and services]])/2</f>
        <v>116.1</v>
      </c>
      <c r="AE27" s="1">
        <f>SUM(Table15[[#This Row],[Health]])</f>
        <v>113.7</v>
      </c>
      <c r="AF27" s="1">
        <f>SUM(Table15[[#This Row],[Recreation and amusement]],Table15[[#This Row],[Education]])/2</f>
        <v>115.85</v>
      </c>
      <c r="AG27" s="1">
        <f>SUM(Table15[[#This Row],[Miscellaneous]],Table15[[#This Row],[Personal care and effects]])/2</f>
        <v>111.6</v>
      </c>
    </row>
    <row r="28" spans="1:33" x14ac:dyDescent="0.3">
      <c r="A28" t="s">
        <v>36</v>
      </c>
      <c r="B28">
        <v>2014</v>
      </c>
      <c r="C28" t="s">
        <v>34</v>
      </c>
      <c r="D28">
        <v>124.2</v>
      </c>
      <c r="E28">
        <v>125.4</v>
      </c>
      <c r="F28">
        <v>116.4</v>
      </c>
      <c r="G28">
        <v>122.7</v>
      </c>
      <c r="H28">
        <v>103.5</v>
      </c>
      <c r="I28">
        <v>124.5</v>
      </c>
      <c r="J28">
        <v>168.6</v>
      </c>
      <c r="K28">
        <v>116.9</v>
      </c>
      <c r="L28">
        <v>101.9</v>
      </c>
      <c r="M28">
        <v>122.9</v>
      </c>
      <c r="N28">
        <v>114.8</v>
      </c>
      <c r="O28">
        <v>125.2</v>
      </c>
      <c r="P28">
        <v>126.7</v>
      </c>
      <c r="Q28">
        <v>116.1</v>
      </c>
      <c r="R28">
        <v>111.8</v>
      </c>
      <c r="S28">
        <v>115.5</v>
      </c>
      <c r="T28">
        <v>112.3</v>
      </c>
      <c r="U28">
        <v>111.2</v>
      </c>
      <c r="V28">
        <v>113.4</v>
      </c>
      <c r="W28">
        <v>120</v>
      </c>
      <c r="X28">
        <v>110</v>
      </c>
      <c r="Y28">
        <v>113.6</v>
      </c>
      <c r="Z28">
        <v>119.2</v>
      </c>
      <c r="AA28" s="1">
        <f>SUM(Table15[[#This Row],[Cereals and products]:[Food and beverages]])/13</f>
        <v>122.59230769230771</v>
      </c>
      <c r="AB28" s="1">
        <f>SUM(Table15[[#This Row],[Fuel and light]])</f>
        <v>111.8</v>
      </c>
      <c r="AC28" s="1">
        <f>SUM(Table15[[#This Row],[Transport and communication]])</f>
        <v>111.2</v>
      </c>
      <c r="AD28" s="1">
        <f>SUM(Table15[[#This Row],[Housing]],Table15[[#This Row],[Household goods and services]])/2</f>
        <v>115.8</v>
      </c>
      <c r="AE28" s="1">
        <f>SUM(Table15[[#This Row],[Health]])</f>
        <v>112.3</v>
      </c>
      <c r="AF28" s="1">
        <f>SUM(Table15[[#This Row],[Recreation and amusement]],Table15[[#This Row],[Education]])/2</f>
        <v>116.7</v>
      </c>
      <c r="AG28" s="1">
        <f>SUM(Table15[[#This Row],[Miscellaneous]],Table15[[#This Row],[Personal care and effects]])/2</f>
        <v>111.8</v>
      </c>
    </row>
    <row r="29" spans="1:33" x14ac:dyDescent="0.3">
      <c r="A29" t="s">
        <v>33</v>
      </c>
      <c r="B29">
        <v>2013</v>
      </c>
      <c r="C29" t="s">
        <v>34</v>
      </c>
      <c r="D29">
        <v>115.4</v>
      </c>
      <c r="E29">
        <v>115.7</v>
      </c>
      <c r="F29">
        <v>111.7</v>
      </c>
      <c r="G29">
        <v>111</v>
      </c>
      <c r="H29">
        <v>107.4</v>
      </c>
      <c r="I29">
        <v>110.9</v>
      </c>
      <c r="J29">
        <v>154</v>
      </c>
      <c r="K29">
        <v>108.1</v>
      </c>
      <c r="L29">
        <v>104.2</v>
      </c>
      <c r="M29">
        <v>107.9</v>
      </c>
      <c r="N29">
        <v>110.4</v>
      </c>
      <c r="O29">
        <v>114</v>
      </c>
      <c r="P29">
        <v>117.8</v>
      </c>
      <c r="Q29">
        <v>109.7</v>
      </c>
      <c r="R29">
        <v>111.1</v>
      </c>
      <c r="S29">
        <v>109.6</v>
      </c>
      <c r="T29">
        <v>108.3</v>
      </c>
      <c r="U29">
        <v>109.3</v>
      </c>
      <c r="V29">
        <v>107.7</v>
      </c>
      <c r="W29">
        <v>109.8</v>
      </c>
      <c r="X29">
        <v>106.7</v>
      </c>
      <c r="Y29">
        <v>108.7</v>
      </c>
      <c r="Z29">
        <v>114.2</v>
      </c>
      <c r="AA29" s="1">
        <f>SUM(Table15[[#This Row],[Cereals and products]:[Food and beverages]])/13</f>
        <v>114.50000000000001</v>
      </c>
      <c r="AB29" s="1">
        <f>SUM(Table15[[#This Row],[Fuel and light]])</f>
        <v>111.1</v>
      </c>
      <c r="AC29" s="1">
        <f>SUM(Table15[[#This Row],[Transport and communication]])</f>
        <v>109.3</v>
      </c>
      <c r="AD29" s="1">
        <f>SUM(Table15[[#This Row],[Housing]],Table15[[#This Row],[Household goods and services]])/2</f>
        <v>109.65</v>
      </c>
      <c r="AE29" s="1">
        <f>SUM(Table15[[#This Row],[Health]])</f>
        <v>108.3</v>
      </c>
      <c r="AF29" s="1">
        <f>SUM(Table15[[#This Row],[Recreation and amusement]],Table15[[#This Row],[Education]])/2</f>
        <v>108.75</v>
      </c>
      <c r="AG29" s="1">
        <f>SUM(Table15[[#This Row],[Miscellaneous]],Table15[[#This Row],[Personal care and effects]])/2</f>
        <v>107.7</v>
      </c>
    </row>
    <row r="30" spans="1:33" x14ac:dyDescent="0.3">
      <c r="A30" t="s">
        <v>35</v>
      </c>
      <c r="B30">
        <v>2013</v>
      </c>
      <c r="C30" t="s">
        <v>34</v>
      </c>
      <c r="D30">
        <v>116.4</v>
      </c>
      <c r="E30">
        <v>116.9</v>
      </c>
      <c r="F30">
        <v>112.3</v>
      </c>
      <c r="G30">
        <v>110.5</v>
      </c>
      <c r="H30">
        <v>105.3</v>
      </c>
      <c r="I30">
        <v>107.3</v>
      </c>
      <c r="J30">
        <v>160.9</v>
      </c>
      <c r="K30">
        <v>107.1</v>
      </c>
      <c r="L30">
        <v>103.1</v>
      </c>
      <c r="M30">
        <v>108.3</v>
      </c>
      <c r="N30">
        <v>110.7</v>
      </c>
      <c r="O30">
        <v>114.6</v>
      </c>
      <c r="P30">
        <v>118.3</v>
      </c>
      <c r="Q30">
        <v>109.7</v>
      </c>
      <c r="R30">
        <v>110.5</v>
      </c>
      <c r="S30">
        <v>109.6</v>
      </c>
      <c r="T30">
        <v>108.1</v>
      </c>
      <c r="U30">
        <v>109.9</v>
      </c>
      <c r="V30">
        <v>107.5</v>
      </c>
      <c r="W30">
        <v>110.6</v>
      </c>
      <c r="X30">
        <v>106.8</v>
      </c>
      <c r="Y30">
        <v>109</v>
      </c>
      <c r="Z30">
        <v>113.7</v>
      </c>
      <c r="AA30" s="1">
        <f>SUM(Table15[[#This Row],[Cereals and products]:[Food and beverages]])/13</f>
        <v>114.74615384615383</v>
      </c>
      <c r="AB30" s="1">
        <f>SUM(Table15[[#This Row],[Fuel and light]])</f>
        <v>110.5</v>
      </c>
      <c r="AC30" s="1">
        <f>SUM(Table15[[#This Row],[Transport and communication]])</f>
        <v>109.9</v>
      </c>
      <c r="AD30" s="1">
        <f>SUM(Table15[[#This Row],[Housing]],Table15[[#This Row],[Household goods and services]])/2</f>
        <v>109.65</v>
      </c>
      <c r="AE30" s="1">
        <f>SUM(Table15[[#This Row],[Health]])</f>
        <v>108.1</v>
      </c>
      <c r="AF30" s="1">
        <f>SUM(Table15[[#This Row],[Recreation and amusement]],Table15[[#This Row],[Education]])/2</f>
        <v>109.05</v>
      </c>
      <c r="AG30" s="1">
        <f>SUM(Table15[[#This Row],[Miscellaneous]],Table15[[#This Row],[Personal care and effects]])/2</f>
        <v>107.9</v>
      </c>
    </row>
    <row r="31" spans="1:33" x14ac:dyDescent="0.3">
      <c r="A31" t="s">
        <v>36</v>
      </c>
      <c r="B31">
        <v>2013</v>
      </c>
      <c r="C31" t="s">
        <v>34</v>
      </c>
      <c r="D31">
        <v>118.6</v>
      </c>
      <c r="E31">
        <v>119.1</v>
      </c>
      <c r="F31">
        <v>113.2</v>
      </c>
      <c r="G31">
        <v>109.6</v>
      </c>
      <c r="H31">
        <v>101.7</v>
      </c>
      <c r="I31">
        <v>103.2</v>
      </c>
      <c r="J31">
        <v>174.3</v>
      </c>
      <c r="K31">
        <v>105.1</v>
      </c>
      <c r="L31">
        <v>100.8</v>
      </c>
      <c r="M31">
        <v>109.1</v>
      </c>
      <c r="N31">
        <v>111.1</v>
      </c>
      <c r="O31">
        <v>115.4</v>
      </c>
      <c r="P31">
        <v>119.2</v>
      </c>
      <c r="Q31">
        <v>109.7</v>
      </c>
      <c r="R31">
        <v>109.5</v>
      </c>
      <c r="S31">
        <v>109.6</v>
      </c>
      <c r="T31">
        <v>107.9</v>
      </c>
      <c r="U31">
        <v>110.4</v>
      </c>
      <c r="V31">
        <v>107.4</v>
      </c>
      <c r="W31">
        <v>111.2</v>
      </c>
      <c r="X31">
        <v>106.9</v>
      </c>
      <c r="Y31">
        <v>109.4</v>
      </c>
      <c r="Z31">
        <v>113.2</v>
      </c>
      <c r="AA31" s="1">
        <f>SUM(Table15[[#This Row],[Cereals and products]:[Food and beverages]])/13</f>
        <v>115.41538461538462</v>
      </c>
      <c r="AB31" s="1">
        <f>SUM(Table15[[#This Row],[Fuel and light]])</f>
        <v>109.5</v>
      </c>
      <c r="AC31" s="1">
        <f>SUM(Table15[[#This Row],[Transport and communication]])</f>
        <v>110.4</v>
      </c>
      <c r="AD31" s="1">
        <f>SUM(Table15[[#This Row],[Housing]],Table15[[#This Row],[Household goods and services]])/2</f>
        <v>109.65</v>
      </c>
      <c r="AE31" s="1">
        <f>SUM(Table15[[#This Row],[Health]])</f>
        <v>107.9</v>
      </c>
      <c r="AF31" s="1">
        <f>SUM(Table15[[#This Row],[Recreation and amusement]],Table15[[#This Row],[Education]])/2</f>
        <v>109.30000000000001</v>
      </c>
      <c r="AG31" s="1">
        <f>SUM(Table15[[#This Row],[Miscellaneous]],Table15[[#This Row],[Personal care and effects]])/2</f>
        <v>108.15</v>
      </c>
    </row>
    <row r="32" spans="1:33" x14ac:dyDescent="0.3">
      <c r="A32" t="s">
        <v>33</v>
      </c>
      <c r="B32">
        <v>2022</v>
      </c>
      <c r="C32" t="s">
        <v>40</v>
      </c>
      <c r="D32">
        <v>164.7</v>
      </c>
      <c r="E32">
        <v>208.8</v>
      </c>
      <c r="F32">
        <v>170.3</v>
      </c>
      <c r="G32">
        <v>170.9</v>
      </c>
      <c r="H32">
        <v>191.6</v>
      </c>
      <c r="I32">
        <v>162.19999999999999</v>
      </c>
      <c r="J32">
        <v>184.8</v>
      </c>
      <c r="K32">
        <v>169.7</v>
      </c>
      <c r="L32">
        <v>121.1</v>
      </c>
      <c r="M32">
        <v>201.6</v>
      </c>
      <c r="N32">
        <v>175.8</v>
      </c>
      <c r="O32">
        <v>185.6</v>
      </c>
      <c r="P32">
        <v>177.4</v>
      </c>
      <c r="Q32">
        <v>163.6</v>
      </c>
      <c r="R32">
        <v>180.8</v>
      </c>
      <c r="S32">
        <v>174.4</v>
      </c>
      <c r="T32">
        <v>181.2</v>
      </c>
      <c r="U32">
        <v>167.4</v>
      </c>
      <c r="V32">
        <v>170.6</v>
      </c>
      <c r="W32">
        <v>176.5</v>
      </c>
      <c r="X32">
        <v>172</v>
      </c>
      <c r="Y32">
        <v>173.9</v>
      </c>
      <c r="Z32">
        <v>177.9</v>
      </c>
      <c r="AA32" s="1">
        <f>SUM(Table15[[#This Row],[Cereals and products]:[Food and beverages]])/13</f>
        <v>175.73076923076923</v>
      </c>
      <c r="AB32" s="1">
        <f>SUM(Table15[[#This Row],[Fuel and light]])</f>
        <v>180.8</v>
      </c>
      <c r="AC32" s="1">
        <f>SUM(Table15[[#This Row],[Transport and communication]])</f>
        <v>167.4</v>
      </c>
      <c r="AD32" s="1">
        <f>SUM(Table15[[#This Row],[Housing]],Table15[[#This Row],[Household goods and services]])/2</f>
        <v>169</v>
      </c>
      <c r="AE32" s="1">
        <f>SUM(Table15[[#This Row],[Health]])</f>
        <v>181.2</v>
      </c>
      <c r="AF32" s="1">
        <f>SUM(Table15[[#This Row],[Recreation and amusement]],Table15[[#This Row],[Education]])/2</f>
        <v>173.55</v>
      </c>
      <c r="AG32" s="1">
        <f>SUM(Table15[[#This Row],[Miscellaneous]],Table15[[#This Row],[Personal care and effects]])/2</f>
        <v>172.95</v>
      </c>
    </row>
    <row r="33" spans="1:33" x14ac:dyDescent="0.3">
      <c r="A33" t="s">
        <v>35</v>
      </c>
      <c r="B33">
        <v>2022</v>
      </c>
      <c r="C33" t="s">
        <v>40</v>
      </c>
      <c r="D33">
        <v>165.2</v>
      </c>
      <c r="E33">
        <v>210.9</v>
      </c>
      <c r="F33">
        <v>170.9</v>
      </c>
      <c r="G33">
        <v>170.9</v>
      </c>
      <c r="H33">
        <v>186.5</v>
      </c>
      <c r="I33">
        <v>163.80000000000001</v>
      </c>
      <c r="J33">
        <v>199.7</v>
      </c>
      <c r="K33">
        <v>169.8</v>
      </c>
      <c r="L33">
        <v>121.9</v>
      </c>
      <c r="M33">
        <v>199.9</v>
      </c>
      <c r="N33">
        <v>169.9</v>
      </c>
      <c r="O33">
        <v>188.3</v>
      </c>
      <c r="P33">
        <v>179.6</v>
      </c>
      <c r="Q33">
        <v>171.2</v>
      </c>
      <c r="R33">
        <v>180.5</v>
      </c>
      <c r="S33">
        <v>170.4</v>
      </c>
      <c r="T33">
        <v>178.7</v>
      </c>
      <c r="U33">
        <v>162.9</v>
      </c>
      <c r="V33">
        <v>168.2</v>
      </c>
      <c r="W33">
        <v>173.4</v>
      </c>
      <c r="X33">
        <v>172.1</v>
      </c>
      <c r="Y33">
        <v>170.5</v>
      </c>
      <c r="Z33">
        <v>176.7</v>
      </c>
      <c r="AA33" s="1">
        <f>SUM(Table15[[#This Row],[Cereals and products]:[Food and beverages]])/13</f>
        <v>176.71538461538464</v>
      </c>
      <c r="AB33" s="1">
        <f>SUM(Table15[[#This Row],[Fuel and light]])</f>
        <v>180.5</v>
      </c>
      <c r="AC33" s="1">
        <f>SUM(Table15[[#This Row],[Transport and communication]])</f>
        <v>162.9</v>
      </c>
      <c r="AD33" s="1">
        <f>SUM(Table15[[#This Row],[Housing]],Table15[[#This Row],[Household goods and services]])/2</f>
        <v>170.8</v>
      </c>
      <c r="AE33" s="1">
        <f>SUM(Table15[[#This Row],[Health]])</f>
        <v>178.7</v>
      </c>
      <c r="AF33" s="1">
        <f>SUM(Table15[[#This Row],[Recreation and amusement]],Table15[[#This Row],[Education]])/2</f>
        <v>170.8</v>
      </c>
      <c r="AG33" s="1">
        <f>SUM(Table15[[#This Row],[Miscellaneous]],Table15[[#This Row],[Personal care and effects]])/2</f>
        <v>171.3</v>
      </c>
    </row>
    <row r="34" spans="1:33" x14ac:dyDescent="0.3">
      <c r="A34" t="s">
        <v>36</v>
      </c>
      <c r="B34">
        <v>2022</v>
      </c>
      <c r="C34" t="s">
        <v>40</v>
      </c>
      <c r="D34">
        <v>166.4</v>
      </c>
      <c r="E34">
        <v>214.9</v>
      </c>
      <c r="F34">
        <v>171.9</v>
      </c>
      <c r="G34">
        <v>171</v>
      </c>
      <c r="H34">
        <v>177.7</v>
      </c>
      <c r="I34">
        <v>165.7</v>
      </c>
      <c r="J34">
        <v>228.6</v>
      </c>
      <c r="K34">
        <v>169.9</v>
      </c>
      <c r="L34">
        <v>123.4</v>
      </c>
      <c r="M34">
        <v>196.4</v>
      </c>
      <c r="N34">
        <v>161.6</v>
      </c>
      <c r="O34">
        <v>191.5</v>
      </c>
      <c r="P34">
        <v>183.3</v>
      </c>
      <c r="Q34">
        <v>171.2</v>
      </c>
      <c r="R34">
        <v>180</v>
      </c>
      <c r="S34">
        <v>166</v>
      </c>
      <c r="T34">
        <v>174.7</v>
      </c>
      <c r="U34">
        <v>158.80000000000001</v>
      </c>
      <c r="V34">
        <v>166.3</v>
      </c>
      <c r="W34">
        <v>171.2</v>
      </c>
      <c r="X34">
        <v>172.3</v>
      </c>
      <c r="Y34">
        <v>166.8</v>
      </c>
      <c r="Z34">
        <v>175.3</v>
      </c>
      <c r="AA34" s="1">
        <f>SUM(Table15[[#This Row],[Cereals and products]:[Food and beverages]])/13</f>
        <v>178.63846153846154</v>
      </c>
      <c r="AB34" s="1">
        <f>SUM(Table15[[#This Row],[Fuel and light]])</f>
        <v>180</v>
      </c>
      <c r="AC34" s="1">
        <f>SUM(Table15[[#This Row],[Transport and communication]])</f>
        <v>158.80000000000001</v>
      </c>
      <c r="AD34" s="1">
        <f>SUM(Table15[[#This Row],[Housing]],Table15[[#This Row],[Household goods and services]])/2</f>
        <v>168.6</v>
      </c>
      <c r="AE34" s="1">
        <f>SUM(Table15[[#This Row],[Health]])</f>
        <v>174.7</v>
      </c>
      <c r="AF34" s="1">
        <f>SUM(Table15[[#This Row],[Recreation and amusement]],Table15[[#This Row],[Education]])/2</f>
        <v>168.75</v>
      </c>
      <c r="AG34" s="1">
        <f>SUM(Table15[[#This Row],[Miscellaneous]],Table15[[#This Row],[Personal care and effects]])/2</f>
        <v>169.55</v>
      </c>
    </row>
    <row r="35" spans="1:33" x14ac:dyDescent="0.3">
      <c r="A35" t="s">
        <v>33</v>
      </c>
      <c r="B35">
        <v>2019</v>
      </c>
      <c r="C35" t="s">
        <v>41</v>
      </c>
      <c r="D35">
        <v>136.6</v>
      </c>
      <c r="E35">
        <v>152.5</v>
      </c>
      <c r="F35">
        <v>138.19999999999999</v>
      </c>
      <c r="G35">
        <v>142.4</v>
      </c>
      <c r="H35">
        <v>123.9</v>
      </c>
      <c r="I35">
        <v>135.5</v>
      </c>
      <c r="J35">
        <v>131.69999999999999</v>
      </c>
      <c r="K35">
        <v>121.3</v>
      </c>
      <c r="L35">
        <v>108.4</v>
      </c>
      <c r="M35">
        <v>138.9</v>
      </c>
      <c r="N35">
        <v>137</v>
      </c>
      <c r="O35">
        <v>155.80000000000001</v>
      </c>
      <c r="P35">
        <v>137.4</v>
      </c>
      <c r="Q35">
        <f>AVERAGE(Q36:Q37)</f>
        <v>147.69999999999999</v>
      </c>
      <c r="R35">
        <v>146.19999999999999</v>
      </c>
      <c r="S35">
        <v>150.1</v>
      </c>
      <c r="T35">
        <v>149.6</v>
      </c>
      <c r="U35">
        <v>128.6</v>
      </c>
      <c r="V35">
        <v>142.9</v>
      </c>
      <c r="W35">
        <v>155.19999999999999</v>
      </c>
      <c r="X35">
        <v>133.5</v>
      </c>
      <c r="Y35">
        <v>141.69999999999999</v>
      </c>
      <c r="Z35">
        <v>141</v>
      </c>
      <c r="AA35" s="1">
        <f>SUM(Table15[[#This Row],[Cereals and products]:[Food and beverages]])/13</f>
        <v>135.35384615384618</v>
      </c>
      <c r="AB35" s="1">
        <f>SUM(Table15[[#This Row],[Fuel and light]])</f>
        <v>146.19999999999999</v>
      </c>
      <c r="AC35" s="1">
        <f>SUM(Table15[[#This Row],[Transport and communication]])</f>
        <v>128.6</v>
      </c>
      <c r="AD35" s="1">
        <f>SUM(Table15[[#This Row],[Housing]],Table15[[#This Row],[Household goods and services]])/2</f>
        <v>148.89999999999998</v>
      </c>
      <c r="AE35" s="1">
        <f>SUM(Table15[[#This Row],[Health]])</f>
        <v>149.6</v>
      </c>
      <c r="AF35" s="1">
        <f>SUM(Table15[[#This Row],[Recreation and amusement]],Table15[[#This Row],[Education]])/2</f>
        <v>149.05000000000001</v>
      </c>
      <c r="AG35" s="1">
        <f>SUM(Table15[[#This Row],[Miscellaneous]],Table15[[#This Row],[Personal care and effects]])/2</f>
        <v>137.6</v>
      </c>
    </row>
    <row r="36" spans="1:33" x14ac:dyDescent="0.3">
      <c r="A36" t="s">
        <v>35</v>
      </c>
      <c r="B36">
        <v>2019</v>
      </c>
      <c r="C36" t="s">
        <v>41</v>
      </c>
      <c r="D36">
        <v>137.1</v>
      </c>
      <c r="E36">
        <v>151.4</v>
      </c>
      <c r="F36">
        <v>140.19999999999999</v>
      </c>
      <c r="G36">
        <v>142.1</v>
      </c>
      <c r="H36">
        <v>121.8</v>
      </c>
      <c r="I36">
        <v>135.4</v>
      </c>
      <c r="J36">
        <v>131.30000000000001</v>
      </c>
      <c r="K36">
        <v>120.3</v>
      </c>
      <c r="L36">
        <v>109.1</v>
      </c>
      <c r="M36">
        <v>139.4</v>
      </c>
      <c r="N36">
        <v>133.30000000000001</v>
      </c>
      <c r="O36">
        <v>154.6</v>
      </c>
      <c r="P36">
        <v>137.4</v>
      </c>
      <c r="Q36">
        <v>147.69999999999999</v>
      </c>
      <c r="R36">
        <v>139.5</v>
      </c>
      <c r="S36">
        <v>143.6</v>
      </c>
      <c r="T36">
        <v>145.1</v>
      </c>
      <c r="U36">
        <v>123.3</v>
      </c>
      <c r="V36">
        <v>136.69999999999999</v>
      </c>
      <c r="W36">
        <v>150.19999999999999</v>
      </c>
      <c r="X36">
        <v>132.80000000000001</v>
      </c>
      <c r="Y36">
        <v>136.9</v>
      </c>
      <c r="Z36">
        <v>139.6</v>
      </c>
      <c r="AA36" s="1">
        <f>SUM(Table15[[#This Row],[Cereals and products]:[Food and beverages]])/13</f>
        <v>134.87692307692308</v>
      </c>
      <c r="AB36" s="1">
        <f>SUM(Table15[[#This Row],[Fuel and light]])</f>
        <v>139.5</v>
      </c>
      <c r="AC36" s="1">
        <f>SUM(Table15[[#This Row],[Transport and communication]])</f>
        <v>123.3</v>
      </c>
      <c r="AD36" s="1">
        <f>SUM(Table15[[#This Row],[Housing]],Table15[[#This Row],[Household goods and services]])/2</f>
        <v>145.64999999999998</v>
      </c>
      <c r="AE36" s="1">
        <f>SUM(Table15[[#This Row],[Health]])</f>
        <v>145.1</v>
      </c>
      <c r="AF36" s="1">
        <f>SUM(Table15[[#This Row],[Recreation and amusement]],Table15[[#This Row],[Education]])/2</f>
        <v>143.44999999999999</v>
      </c>
      <c r="AG36" s="1">
        <f>SUM(Table15[[#This Row],[Miscellaneous]],Table15[[#This Row],[Personal care and effects]])/2</f>
        <v>134.85000000000002</v>
      </c>
    </row>
    <row r="37" spans="1:33" x14ac:dyDescent="0.3">
      <c r="A37" t="s">
        <v>36</v>
      </c>
      <c r="B37">
        <v>2019</v>
      </c>
      <c r="C37" t="s">
        <v>41</v>
      </c>
      <c r="D37">
        <v>138.30000000000001</v>
      </c>
      <c r="E37">
        <v>149.4</v>
      </c>
      <c r="F37">
        <v>143.5</v>
      </c>
      <c r="G37">
        <v>141.69999999999999</v>
      </c>
      <c r="H37">
        <v>118.1</v>
      </c>
      <c r="I37">
        <v>135.19999999999999</v>
      </c>
      <c r="J37">
        <v>130.5</v>
      </c>
      <c r="K37">
        <v>118.2</v>
      </c>
      <c r="L37">
        <v>110.4</v>
      </c>
      <c r="M37">
        <v>140.4</v>
      </c>
      <c r="N37">
        <v>128.1</v>
      </c>
      <c r="O37">
        <v>153.19999999999999</v>
      </c>
      <c r="P37">
        <v>137.30000000000001</v>
      </c>
      <c r="Q37">
        <v>147.69999999999999</v>
      </c>
      <c r="R37">
        <v>128.6</v>
      </c>
      <c r="S37">
        <v>136.30000000000001</v>
      </c>
      <c r="T37">
        <v>137.80000000000001</v>
      </c>
      <c r="U37">
        <v>118.6</v>
      </c>
      <c r="V37">
        <v>131.9</v>
      </c>
      <c r="W37">
        <v>146.6</v>
      </c>
      <c r="X37">
        <v>131.69999999999999</v>
      </c>
      <c r="Y37">
        <v>131.80000000000001</v>
      </c>
      <c r="Z37">
        <v>138</v>
      </c>
      <c r="AA37" s="1">
        <f>SUM(Table15[[#This Row],[Cereals and products]:[Food and beverages]])/13</f>
        <v>134.17692307692309</v>
      </c>
      <c r="AB37" s="1">
        <f>SUM(Table15[[#This Row],[Fuel and light]])</f>
        <v>128.6</v>
      </c>
      <c r="AC37" s="1">
        <f>SUM(Table15[[#This Row],[Transport and communication]])</f>
        <v>118.6</v>
      </c>
      <c r="AD37" s="1">
        <f>SUM(Table15[[#This Row],[Housing]],Table15[[#This Row],[Household goods and services]])/2</f>
        <v>142</v>
      </c>
      <c r="AE37" s="1">
        <f>SUM(Table15[[#This Row],[Health]])</f>
        <v>137.80000000000001</v>
      </c>
      <c r="AF37" s="1">
        <f>SUM(Table15[[#This Row],[Recreation and amusement]],Table15[[#This Row],[Education]])/2</f>
        <v>139.25</v>
      </c>
      <c r="AG37" s="1">
        <f>SUM(Table15[[#This Row],[Miscellaneous]],Table15[[#This Row],[Personal care and effects]])/2</f>
        <v>131.75</v>
      </c>
    </row>
    <row r="38" spans="1:33" x14ac:dyDescent="0.3">
      <c r="A38" t="s">
        <v>33</v>
      </c>
      <c r="B38">
        <v>2019</v>
      </c>
      <c r="C38" t="s">
        <v>42</v>
      </c>
      <c r="D38">
        <v>138.4</v>
      </c>
      <c r="E38">
        <v>164</v>
      </c>
      <c r="F38">
        <v>138.4</v>
      </c>
      <c r="G38">
        <v>143.9</v>
      </c>
      <c r="H38">
        <v>124.4</v>
      </c>
      <c r="I38">
        <v>146.4</v>
      </c>
      <c r="J38">
        <v>150.1</v>
      </c>
      <c r="K38">
        <v>130.6</v>
      </c>
      <c r="L38">
        <v>110.8</v>
      </c>
      <c r="M38">
        <v>141.69999999999999</v>
      </c>
      <c r="N38">
        <v>138.5</v>
      </c>
      <c r="O38">
        <v>156.69999999999999</v>
      </c>
      <c r="P38">
        <v>143</v>
      </c>
      <c r="Q38">
        <f>AVERAGE(Q39:Q40)</f>
        <v>150.6</v>
      </c>
      <c r="R38">
        <v>146.80000000000001</v>
      </c>
      <c r="S38">
        <v>150</v>
      </c>
      <c r="T38">
        <v>152.19999999999999</v>
      </c>
      <c r="U38">
        <v>131.19999999999999</v>
      </c>
      <c r="V38">
        <v>147.5</v>
      </c>
      <c r="W38">
        <v>159.1</v>
      </c>
      <c r="X38">
        <v>136.1</v>
      </c>
      <c r="Y38">
        <v>144.19999999999999</v>
      </c>
      <c r="Z38">
        <v>144.9</v>
      </c>
      <c r="AA38" s="1">
        <f>SUM(Table15[[#This Row],[Cereals and products]:[Food and beverages]])/13</f>
        <v>140.53076923076921</v>
      </c>
      <c r="AB38" s="1">
        <f>SUM(Table15[[#This Row],[Fuel and light]])</f>
        <v>146.80000000000001</v>
      </c>
      <c r="AC38" s="1">
        <f>SUM(Table15[[#This Row],[Transport and communication]])</f>
        <v>131.19999999999999</v>
      </c>
      <c r="AD38" s="1">
        <f>SUM(Table15[[#This Row],[Housing]],Table15[[#This Row],[Household goods and services]])/2</f>
        <v>150.30000000000001</v>
      </c>
      <c r="AE38" s="1">
        <f>SUM(Table15[[#This Row],[Health]])</f>
        <v>152.19999999999999</v>
      </c>
      <c r="AF38" s="1">
        <f>SUM(Table15[[#This Row],[Recreation and amusement]],Table15[[#This Row],[Education]])/2</f>
        <v>153.30000000000001</v>
      </c>
      <c r="AG38" s="1">
        <f>SUM(Table15[[#This Row],[Miscellaneous]],Table15[[#This Row],[Personal care and effects]])/2</f>
        <v>140.14999999999998</v>
      </c>
    </row>
    <row r="39" spans="1:33" x14ac:dyDescent="0.3">
      <c r="A39" t="s">
        <v>35</v>
      </c>
      <c r="B39">
        <v>2019</v>
      </c>
      <c r="C39" t="s">
        <v>42</v>
      </c>
      <c r="D39">
        <v>139.30000000000001</v>
      </c>
      <c r="E39">
        <v>162.69999999999999</v>
      </c>
      <c r="F39">
        <v>140</v>
      </c>
      <c r="G39">
        <v>144</v>
      </c>
      <c r="H39">
        <v>122.5</v>
      </c>
      <c r="I39">
        <v>150.30000000000001</v>
      </c>
      <c r="J39">
        <v>160.30000000000001</v>
      </c>
      <c r="K39">
        <v>130</v>
      </c>
      <c r="L39">
        <v>111.1</v>
      </c>
      <c r="M39">
        <v>141.69999999999999</v>
      </c>
      <c r="N39">
        <v>134.69999999999999</v>
      </c>
      <c r="O39">
        <v>156.19999999999999</v>
      </c>
      <c r="P39">
        <v>144.69999999999999</v>
      </c>
      <c r="Q39">
        <v>150.6</v>
      </c>
      <c r="R39">
        <v>139.30000000000001</v>
      </c>
      <c r="S39">
        <v>144.19999999999999</v>
      </c>
      <c r="T39">
        <v>147.9</v>
      </c>
      <c r="U39">
        <v>125.6</v>
      </c>
      <c r="V39">
        <v>140.5</v>
      </c>
      <c r="W39">
        <v>154</v>
      </c>
      <c r="X39">
        <v>135.69999999999999</v>
      </c>
      <c r="Y39">
        <v>139.5</v>
      </c>
      <c r="Z39">
        <v>144.19999999999999</v>
      </c>
      <c r="AA39" s="1">
        <f>SUM(Table15[[#This Row],[Cereals and products]:[Food and beverages]])/13</f>
        <v>141.34615384615384</v>
      </c>
      <c r="AB39" s="1">
        <f>SUM(Table15[[#This Row],[Fuel and light]])</f>
        <v>139.30000000000001</v>
      </c>
      <c r="AC39" s="1">
        <f>SUM(Table15[[#This Row],[Transport and communication]])</f>
        <v>125.6</v>
      </c>
      <c r="AD39" s="1">
        <f>SUM(Table15[[#This Row],[Housing]],Table15[[#This Row],[Household goods and services]])/2</f>
        <v>147.39999999999998</v>
      </c>
      <c r="AE39" s="1">
        <f>SUM(Table15[[#This Row],[Health]])</f>
        <v>147.9</v>
      </c>
      <c r="AF39" s="1">
        <f>SUM(Table15[[#This Row],[Recreation and amusement]],Table15[[#This Row],[Education]])/2</f>
        <v>147.25</v>
      </c>
      <c r="AG39" s="1">
        <f>SUM(Table15[[#This Row],[Miscellaneous]],Table15[[#This Row],[Personal care and effects]])/2</f>
        <v>137.6</v>
      </c>
    </row>
    <row r="40" spans="1:33" x14ac:dyDescent="0.3">
      <c r="A40" t="s">
        <v>36</v>
      </c>
      <c r="B40">
        <v>2019</v>
      </c>
      <c r="C40" t="s">
        <v>42</v>
      </c>
      <c r="D40">
        <v>141.4</v>
      </c>
      <c r="E40">
        <v>160.19999999999999</v>
      </c>
      <c r="F40">
        <v>142.5</v>
      </c>
      <c r="G40">
        <v>144.1</v>
      </c>
      <c r="H40">
        <v>119.3</v>
      </c>
      <c r="I40">
        <v>154.69999999999999</v>
      </c>
      <c r="J40">
        <v>180.1</v>
      </c>
      <c r="K40">
        <v>128.9</v>
      </c>
      <c r="L40">
        <v>111.8</v>
      </c>
      <c r="M40">
        <v>141.6</v>
      </c>
      <c r="N40">
        <v>129.5</v>
      </c>
      <c r="O40">
        <v>155.6</v>
      </c>
      <c r="P40">
        <v>147.69999999999999</v>
      </c>
      <c r="Q40">
        <v>150.6</v>
      </c>
      <c r="R40">
        <v>127</v>
      </c>
      <c r="S40">
        <v>137.69999999999999</v>
      </c>
      <c r="T40">
        <v>140.80000000000001</v>
      </c>
      <c r="U40">
        <v>120.6</v>
      </c>
      <c r="V40">
        <v>135</v>
      </c>
      <c r="W40">
        <v>150.4</v>
      </c>
      <c r="X40">
        <v>135.1</v>
      </c>
      <c r="Y40">
        <v>134.5</v>
      </c>
      <c r="Z40">
        <v>143.30000000000001</v>
      </c>
      <c r="AA40" s="1">
        <f>SUM(Table15[[#This Row],[Cereals and products]:[Food and beverages]])/13</f>
        <v>142.87692307692308</v>
      </c>
      <c r="AB40" s="1">
        <f>SUM(Table15[[#This Row],[Fuel and light]])</f>
        <v>127</v>
      </c>
      <c r="AC40" s="1">
        <f>SUM(Table15[[#This Row],[Transport and communication]])</f>
        <v>120.6</v>
      </c>
      <c r="AD40" s="1">
        <f>SUM(Table15[[#This Row],[Housing]],Table15[[#This Row],[Household goods and services]])/2</f>
        <v>144.14999999999998</v>
      </c>
      <c r="AE40" s="1">
        <f>SUM(Table15[[#This Row],[Health]])</f>
        <v>140.80000000000001</v>
      </c>
      <c r="AF40" s="1">
        <f>SUM(Table15[[#This Row],[Recreation and amusement]],Table15[[#This Row],[Education]])/2</f>
        <v>142.69999999999999</v>
      </c>
      <c r="AG40" s="1">
        <f>SUM(Table15[[#This Row],[Miscellaneous]],Table15[[#This Row],[Personal care and effects]])/2</f>
        <v>134.80000000000001</v>
      </c>
    </row>
    <row r="41" spans="1:33" x14ac:dyDescent="0.3">
      <c r="A41" t="s">
        <v>33</v>
      </c>
      <c r="B41">
        <v>2019</v>
      </c>
      <c r="C41" t="s">
        <v>43</v>
      </c>
      <c r="D41">
        <v>137.80000000000001</v>
      </c>
      <c r="E41">
        <v>163.5</v>
      </c>
      <c r="F41">
        <v>136.19999999999999</v>
      </c>
      <c r="G41">
        <v>143.19999999999999</v>
      </c>
      <c r="H41">
        <v>124.3</v>
      </c>
      <c r="I41">
        <v>143.30000000000001</v>
      </c>
      <c r="J41">
        <v>140.6</v>
      </c>
      <c r="K41">
        <v>128.69999999999999</v>
      </c>
      <c r="L41">
        <v>110.6</v>
      </c>
      <c r="M41">
        <v>140.4</v>
      </c>
      <c r="N41">
        <v>138</v>
      </c>
      <c r="O41">
        <v>156.6</v>
      </c>
      <c r="P41">
        <v>141</v>
      </c>
      <c r="Q41">
        <f>AVERAGE(Q42:Q43)</f>
        <v>149.4</v>
      </c>
      <c r="R41">
        <v>147.80000000000001</v>
      </c>
      <c r="S41">
        <v>149.6</v>
      </c>
      <c r="T41">
        <v>151.69999999999999</v>
      </c>
      <c r="U41">
        <v>130.19999999999999</v>
      </c>
      <c r="V41">
        <v>146.4</v>
      </c>
      <c r="W41">
        <v>157.69999999999999</v>
      </c>
      <c r="X41">
        <v>134.80000000000001</v>
      </c>
      <c r="Y41">
        <v>143.30000000000001</v>
      </c>
      <c r="Z41">
        <v>143.6</v>
      </c>
      <c r="AA41" s="1">
        <f>SUM(Table15[[#This Row],[Cereals and products]:[Food and beverages]])/13</f>
        <v>138.78461538461536</v>
      </c>
      <c r="AB41" s="1">
        <f>SUM(Table15[[#This Row],[Fuel and light]])</f>
        <v>147.80000000000001</v>
      </c>
      <c r="AC41" s="1">
        <f>SUM(Table15[[#This Row],[Transport and communication]])</f>
        <v>130.19999999999999</v>
      </c>
      <c r="AD41" s="1">
        <f>SUM(Table15[[#This Row],[Housing]],Table15[[#This Row],[Household goods and services]])/2</f>
        <v>149.5</v>
      </c>
      <c r="AE41" s="1">
        <f>SUM(Table15[[#This Row],[Health]])</f>
        <v>151.69999999999999</v>
      </c>
      <c r="AF41" s="1">
        <f>SUM(Table15[[#This Row],[Recreation and amusement]],Table15[[#This Row],[Education]])/2</f>
        <v>152.05000000000001</v>
      </c>
      <c r="AG41" s="1">
        <f>SUM(Table15[[#This Row],[Miscellaneous]],Table15[[#This Row],[Personal care and effects]])/2</f>
        <v>139.05000000000001</v>
      </c>
    </row>
    <row r="42" spans="1:33" x14ac:dyDescent="0.3">
      <c r="A42" t="s">
        <v>35</v>
      </c>
      <c r="B42">
        <v>2019</v>
      </c>
      <c r="C42" t="s">
        <v>43</v>
      </c>
      <c r="D42">
        <v>138.69999999999999</v>
      </c>
      <c r="E42">
        <v>162.1</v>
      </c>
      <c r="F42">
        <v>137.80000000000001</v>
      </c>
      <c r="G42">
        <v>143.30000000000001</v>
      </c>
      <c r="H42">
        <v>122.2</v>
      </c>
      <c r="I42">
        <v>146.80000000000001</v>
      </c>
      <c r="J42">
        <v>150.5</v>
      </c>
      <c r="K42">
        <v>128.30000000000001</v>
      </c>
      <c r="L42">
        <v>111</v>
      </c>
      <c r="M42">
        <v>140.6</v>
      </c>
      <c r="N42">
        <v>134.19999999999999</v>
      </c>
      <c r="O42">
        <v>155.9</v>
      </c>
      <c r="P42">
        <v>142.69999999999999</v>
      </c>
      <c r="Q42">
        <v>149.4</v>
      </c>
      <c r="R42">
        <v>141.19999999999999</v>
      </c>
      <c r="S42">
        <v>143.80000000000001</v>
      </c>
      <c r="T42">
        <v>147.4</v>
      </c>
      <c r="U42">
        <v>124.6</v>
      </c>
      <c r="V42">
        <v>139.6</v>
      </c>
      <c r="W42">
        <v>152.5</v>
      </c>
      <c r="X42">
        <v>134.30000000000001</v>
      </c>
      <c r="Y42">
        <v>138.6</v>
      </c>
      <c r="Z42">
        <v>142.9</v>
      </c>
      <c r="AA42" s="1">
        <f>SUM(Table15[[#This Row],[Cereals and products]:[Food and beverages]])/13</f>
        <v>139.54615384615386</v>
      </c>
      <c r="AB42" s="1">
        <f>SUM(Table15[[#This Row],[Fuel and light]])</f>
        <v>141.19999999999999</v>
      </c>
      <c r="AC42" s="1">
        <f>SUM(Table15[[#This Row],[Transport and communication]])</f>
        <v>124.6</v>
      </c>
      <c r="AD42" s="1">
        <f>SUM(Table15[[#This Row],[Housing]],Table15[[#This Row],[Household goods and services]])/2</f>
        <v>146.60000000000002</v>
      </c>
      <c r="AE42" s="1">
        <f>SUM(Table15[[#This Row],[Health]])</f>
        <v>147.4</v>
      </c>
      <c r="AF42" s="1">
        <f>SUM(Table15[[#This Row],[Recreation and amusement]],Table15[[#This Row],[Education]])/2</f>
        <v>146.05000000000001</v>
      </c>
      <c r="AG42" s="1">
        <f>SUM(Table15[[#This Row],[Miscellaneous]],Table15[[#This Row],[Personal care and effects]])/2</f>
        <v>136.44999999999999</v>
      </c>
    </row>
    <row r="43" spans="1:33" x14ac:dyDescent="0.3">
      <c r="A43" t="s">
        <v>36</v>
      </c>
      <c r="B43">
        <v>2019</v>
      </c>
      <c r="C43" t="s">
        <v>43</v>
      </c>
      <c r="D43">
        <v>140.69999999999999</v>
      </c>
      <c r="E43">
        <v>159.6</v>
      </c>
      <c r="F43">
        <v>140.4</v>
      </c>
      <c r="G43">
        <v>143.4</v>
      </c>
      <c r="H43">
        <v>118.6</v>
      </c>
      <c r="I43">
        <v>150.9</v>
      </c>
      <c r="J43">
        <v>169.8</v>
      </c>
      <c r="K43">
        <v>127.4</v>
      </c>
      <c r="L43">
        <v>111.8</v>
      </c>
      <c r="M43">
        <v>141</v>
      </c>
      <c r="N43">
        <v>129</v>
      </c>
      <c r="O43">
        <v>155.1</v>
      </c>
      <c r="P43">
        <v>145.6</v>
      </c>
      <c r="Q43">
        <v>149.4</v>
      </c>
      <c r="R43">
        <v>130.5</v>
      </c>
      <c r="S43">
        <v>137.4</v>
      </c>
      <c r="T43">
        <v>140.30000000000001</v>
      </c>
      <c r="U43">
        <v>119.6</v>
      </c>
      <c r="V43">
        <v>134.30000000000001</v>
      </c>
      <c r="W43">
        <v>148.9</v>
      </c>
      <c r="X43">
        <v>133.69999999999999</v>
      </c>
      <c r="Y43">
        <v>133.6</v>
      </c>
      <c r="Z43">
        <v>142.1</v>
      </c>
      <c r="AA43" s="1">
        <f>SUM(Table15[[#This Row],[Cereals and products]:[Food and beverages]])/13</f>
        <v>141.0230769230769</v>
      </c>
      <c r="AB43" s="1">
        <f>SUM(Table15[[#This Row],[Fuel and light]])</f>
        <v>130.5</v>
      </c>
      <c r="AC43" s="1">
        <f>SUM(Table15[[#This Row],[Transport and communication]])</f>
        <v>119.6</v>
      </c>
      <c r="AD43" s="1">
        <f>SUM(Table15[[#This Row],[Housing]],Table15[[#This Row],[Household goods and services]])/2</f>
        <v>143.4</v>
      </c>
      <c r="AE43" s="1">
        <f>SUM(Table15[[#This Row],[Health]])</f>
        <v>140.30000000000001</v>
      </c>
      <c r="AF43" s="1">
        <f>SUM(Table15[[#This Row],[Recreation and amusement]],Table15[[#This Row],[Education]])/2</f>
        <v>141.60000000000002</v>
      </c>
      <c r="AG43" s="1">
        <f>SUM(Table15[[#This Row],[Miscellaneous]],Table15[[#This Row],[Personal care and effects]])/2</f>
        <v>133.64999999999998</v>
      </c>
    </row>
    <row r="44" spans="1:33" x14ac:dyDescent="0.3">
      <c r="A44" t="s">
        <v>35</v>
      </c>
      <c r="B44">
        <v>2018</v>
      </c>
      <c r="C44" t="s">
        <v>40</v>
      </c>
      <c r="D44">
        <v>137.4</v>
      </c>
      <c r="E44">
        <v>149.5</v>
      </c>
      <c r="F44">
        <v>137.30000000000001</v>
      </c>
      <c r="G44">
        <v>141.9</v>
      </c>
      <c r="H44">
        <v>121.1</v>
      </c>
      <c r="I44">
        <v>142.5</v>
      </c>
      <c r="J44">
        <v>146.69999999999999</v>
      </c>
      <c r="K44">
        <v>119.1</v>
      </c>
      <c r="L44">
        <v>111.9</v>
      </c>
      <c r="M44">
        <v>141</v>
      </c>
      <c r="N44">
        <v>133.6</v>
      </c>
      <c r="O44">
        <v>154.5</v>
      </c>
      <c r="P44">
        <v>139.69999999999999</v>
      </c>
      <c r="Q44">
        <v>146.9</v>
      </c>
      <c r="R44">
        <v>145.30000000000001</v>
      </c>
      <c r="S44">
        <v>142.19999999999999</v>
      </c>
      <c r="T44">
        <v>142.1</v>
      </c>
      <c r="U44">
        <v>125.5</v>
      </c>
      <c r="V44">
        <v>136.5</v>
      </c>
      <c r="W44">
        <v>147.80000000000001</v>
      </c>
      <c r="X44">
        <v>132</v>
      </c>
      <c r="Y44">
        <v>136.30000000000001</v>
      </c>
      <c r="Z44">
        <v>140.80000000000001</v>
      </c>
      <c r="AA44" s="1">
        <f>SUM(Table15[[#This Row],[Cereals and products]:[Food and beverages]])/13</f>
        <v>136.63076923076923</v>
      </c>
      <c r="AB44" s="1">
        <f>SUM(Table15[[#This Row],[Fuel and light]])</f>
        <v>145.30000000000001</v>
      </c>
      <c r="AC44" s="1">
        <f>SUM(Table15[[#This Row],[Transport and communication]])</f>
        <v>125.5</v>
      </c>
      <c r="AD44" s="1">
        <f>SUM(Table15[[#This Row],[Housing]],Table15[[#This Row],[Household goods and services]])/2</f>
        <v>144.55000000000001</v>
      </c>
      <c r="AE44" s="1">
        <f>SUM(Table15[[#This Row],[Health]])</f>
        <v>142.1</v>
      </c>
      <c r="AF44" s="1">
        <f>SUM(Table15[[#This Row],[Recreation and amusement]],Table15[[#This Row],[Education]])/2</f>
        <v>142.15</v>
      </c>
      <c r="AG44" s="1">
        <f>SUM(Table15[[#This Row],[Miscellaneous]],Table15[[#This Row],[Personal care and effects]])/2</f>
        <v>134.15</v>
      </c>
    </row>
    <row r="45" spans="1:33" x14ac:dyDescent="0.3">
      <c r="A45" t="s">
        <v>36</v>
      </c>
      <c r="B45">
        <v>2018</v>
      </c>
      <c r="C45" t="s">
        <v>40</v>
      </c>
      <c r="D45">
        <v>137.6</v>
      </c>
      <c r="E45">
        <v>144.9</v>
      </c>
      <c r="F45">
        <v>133.5</v>
      </c>
      <c r="G45">
        <v>141.5</v>
      </c>
      <c r="H45">
        <v>118</v>
      </c>
      <c r="I45">
        <v>139.5</v>
      </c>
      <c r="J45">
        <v>153</v>
      </c>
      <c r="K45">
        <v>113.2</v>
      </c>
      <c r="L45">
        <v>112.8</v>
      </c>
      <c r="M45">
        <v>141.1</v>
      </c>
      <c r="N45">
        <v>127.6</v>
      </c>
      <c r="O45">
        <v>152</v>
      </c>
      <c r="P45">
        <v>139.4</v>
      </c>
      <c r="Q45">
        <v>146.30000000000001</v>
      </c>
      <c r="R45">
        <v>133.4</v>
      </c>
      <c r="S45">
        <v>135.1</v>
      </c>
      <c r="T45">
        <v>136.19999999999999</v>
      </c>
      <c r="U45">
        <v>123.3</v>
      </c>
      <c r="V45">
        <v>130.69999999999999</v>
      </c>
      <c r="W45">
        <v>145.5</v>
      </c>
      <c r="X45">
        <v>130.4</v>
      </c>
      <c r="Y45">
        <v>132.5</v>
      </c>
      <c r="Z45">
        <v>138.9</v>
      </c>
      <c r="AA45" s="1">
        <f>SUM(Table15[[#This Row],[Cereals and products]:[Food and beverages]])/13</f>
        <v>134.93076923076922</v>
      </c>
      <c r="AB45" s="1">
        <f>SUM(Table15[[#This Row],[Fuel and light]])</f>
        <v>133.4</v>
      </c>
      <c r="AC45" s="1">
        <f>SUM(Table15[[#This Row],[Transport and communication]])</f>
        <v>123.3</v>
      </c>
      <c r="AD45" s="1">
        <f>SUM(Table15[[#This Row],[Housing]],Table15[[#This Row],[Household goods and services]])/2</f>
        <v>140.69999999999999</v>
      </c>
      <c r="AE45" s="1">
        <f>SUM(Table15[[#This Row],[Health]])</f>
        <v>136.19999999999999</v>
      </c>
      <c r="AF45" s="1">
        <f>SUM(Table15[[#This Row],[Recreation and amusement]],Table15[[#This Row],[Education]])/2</f>
        <v>138.1</v>
      </c>
      <c r="AG45" s="1">
        <f>SUM(Table15[[#This Row],[Miscellaneous]],Table15[[#This Row],[Personal care and effects]])/2</f>
        <v>131.44999999999999</v>
      </c>
    </row>
    <row r="46" spans="1:33" x14ac:dyDescent="0.3">
      <c r="A46" t="s">
        <v>33</v>
      </c>
      <c r="B46">
        <v>2018</v>
      </c>
      <c r="C46" t="s">
        <v>40</v>
      </c>
      <c r="D46">
        <v>139.30000000000001</v>
      </c>
      <c r="E46">
        <v>147.6</v>
      </c>
      <c r="F46">
        <v>134.6</v>
      </c>
      <c r="G46">
        <v>141.9</v>
      </c>
      <c r="H46">
        <v>123.5</v>
      </c>
      <c r="I46">
        <v>144.5</v>
      </c>
      <c r="J46">
        <v>147.6</v>
      </c>
      <c r="K46">
        <v>121.4</v>
      </c>
      <c r="L46">
        <v>112.3</v>
      </c>
      <c r="M46">
        <v>139.5</v>
      </c>
      <c r="N46">
        <v>134.6</v>
      </c>
      <c r="O46">
        <v>155.19999999999999</v>
      </c>
      <c r="P46">
        <v>140.19999999999999</v>
      </c>
      <c r="Q46">
        <v>146.6</v>
      </c>
      <c r="R46">
        <v>149.69999999999999</v>
      </c>
      <c r="S46">
        <v>147.5</v>
      </c>
      <c r="T46">
        <v>144.80000000000001</v>
      </c>
      <c r="U46">
        <v>130.80000000000001</v>
      </c>
      <c r="V46">
        <v>140.1</v>
      </c>
      <c r="W46">
        <v>148</v>
      </c>
      <c r="X46">
        <v>134.4</v>
      </c>
      <c r="Y46">
        <v>139.80000000000001</v>
      </c>
      <c r="Z46">
        <v>142.19999999999999</v>
      </c>
      <c r="AA46" s="1">
        <f>SUM(Table15[[#This Row],[Cereals and products]:[Food and beverages]])/13</f>
        <v>137.09230769230768</v>
      </c>
      <c r="AB46" s="1">
        <f>SUM(Table15[[#This Row],[Fuel and light]])</f>
        <v>149.69999999999999</v>
      </c>
      <c r="AC46" s="1">
        <f>SUM(Table15[[#This Row],[Transport and communication]])</f>
        <v>130.80000000000001</v>
      </c>
      <c r="AD46" s="1">
        <f>SUM(Table15[[#This Row],[Housing]],Table15[[#This Row],[Household goods and services]])/2</f>
        <v>147.05000000000001</v>
      </c>
      <c r="AE46" s="1">
        <f>SUM(Table15[[#This Row],[Health]])</f>
        <v>144.80000000000001</v>
      </c>
      <c r="AF46" s="1">
        <f>SUM(Table15[[#This Row],[Recreation and amusement]],Table15[[#This Row],[Education]])/2</f>
        <v>144.05000000000001</v>
      </c>
      <c r="AG46" s="1">
        <f>SUM(Table15[[#This Row],[Miscellaneous]],Table15[[#This Row],[Personal care and effects]])/2</f>
        <v>137.10000000000002</v>
      </c>
    </row>
    <row r="47" spans="1:33" x14ac:dyDescent="0.3">
      <c r="A47" t="s">
        <v>36</v>
      </c>
      <c r="B47">
        <v>2017</v>
      </c>
      <c r="C47" t="s">
        <v>40</v>
      </c>
      <c r="D47">
        <v>133.9</v>
      </c>
      <c r="E47">
        <v>142.80000000000001</v>
      </c>
      <c r="F47">
        <v>131.4</v>
      </c>
      <c r="G47">
        <v>139.1</v>
      </c>
      <c r="H47">
        <v>114.9</v>
      </c>
      <c r="I47">
        <v>135.6</v>
      </c>
      <c r="J47">
        <v>173.2</v>
      </c>
      <c r="K47">
        <v>124.1</v>
      </c>
      <c r="L47">
        <v>122.6</v>
      </c>
      <c r="M47">
        <v>137.80000000000001</v>
      </c>
      <c r="N47">
        <v>125.1</v>
      </c>
      <c r="O47">
        <v>145.5</v>
      </c>
      <c r="P47">
        <v>139.69999999999999</v>
      </c>
      <c r="Q47">
        <v>137.30000000000001</v>
      </c>
      <c r="R47">
        <v>122.6</v>
      </c>
      <c r="S47">
        <v>128.30000000000001</v>
      </c>
      <c r="T47">
        <v>126.6</v>
      </c>
      <c r="U47">
        <v>115</v>
      </c>
      <c r="V47">
        <v>124.8</v>
      </c>
      <c r="W47">
        <v>136.30000000000001</v>
      </c>
      <c r="X47">
        <v>124.6</v>
      </c>
      <c r="Y47">
        <v>124.5</v>
      </c>
      <c r="Z47">
        <v>133.5</v>
      </c>
      <c r="AA47" s="1">
        <f>SUM(Table15[[#This Row],[Cereals and products]:[Food and beverages]])/13</f>
        <v>135.82307692307691</v>
      </c>
      <c r="AB47" s="1">
        <f>SUM(Table15[[#This Row],[Fuel and light]])</f>
        <v>122.6</v>
      </c>
      <c r="AC47" s="1">
        <f>SUM(Table15[[#This Row],[Transport and communication]])</f>
        <v>115</v>
      </c>
      <c r="AD47" s="1">
        <f>SUM(Table15[[#This Row],[Housing]],Table15[[#This Row],[Household goods and services]])/2</f>
        <v>132.80000000000001</v>
      </c>
      <c r="AE47" s="1">
        <f>SUM(Table15[[#This Row],[Health]])</f>
        <v>126.6</v>
      </c>
      <c r="AF47" s="1">
        <f>SUM(Table15[[#This Row],[Recreation and amusement]],Table15[[#This Row],[Education]])/2</f>
        <v>130.55000000000001</v>
      </c>
      <c r="AG47" s="1">
        <f>SUM(Table15[[#This Row],[Miscellaneous]],Table15[[#This Row],[Personal care and effects]])/2</f>
        <v>124.55</v>
      </c>
    </row>
    <row r="48" spans="1:33" x14ac:dyDescent="0.3">
      <c r="A48" t="s">
        <v>35</v>
      </c>
      <c r="B48">
        <v>2017</v>
      </c>
      <c r="C48" t="s">
        <v>40</v>
      </c>
      <c r="D48">
        <v>135.30000000000001</v>
      </c>
      <c r="E48">
        <v>142.19999999999999</v>
      </c>
      <c r="F48">
        <v>131.19999999999999</v>
      </c>
      <c r="G48">
        <v>140.6</v>
      </c>
      <c r="H48">
        <v>119</v>
      </c>
      <c r="I48">
        <v>141.5</v>
      </c>
      <c r="J48">
        <v>162.6</v>
      </c>
      <c r="K48">
        <v>132.30000000000001</v>
      </c>
      <c r="L48">
        <v>121.8</v>
      </c>
      <c r="M48">
        <v>136.30000000000001</v>
      </c>
      <c r="N48">
        <v>128.69999999999999</v>
      </c>
      <c r="O48">
        <v>148.1</v>
      </c>
      <c r="P48">
        <v>140.1</v>
      </c>
      <c r="Q48">
        <v>137.30000000000001</v>
      </c>
      <c r="R48">
        <v>132.19999999999999</v>
      </c>
      <c r="S48">
        <v>133.6</v>
      </c>
      <c r="T48">
        <v>131.30000000000001</v>
      </c>
      <c r="U48">
        <v>117.8</v>
      </c>
      <c r="V48">
        <v>128.4</v>
      </c>
      <c r="W48">
        <v>137.9</v>
      </c>
      <c r="X48">
        <v>126.2</v>
      </c>
      <c r="Y48">
        <v>127.7</v>
      </c>
      <c r="Z48">
        <v>136.1</v>
      </c>
      <c r="AA48" s="1">
        <f>SUM(Table15[[#This Row],[Cereals and products]:[Food and beverages]])/13</f>
        <v>136.89999999999998</v>
      </c>
      <c r="AB48" s="1">
        <f>SUM(Table15[[#This Row],[Fuel and light]])</f>
        <v>132.19999999999999</v>
      </c>
      <c r="AC48" s="1">
        <f>SUM(Table15[[#This Row],[Transport and communication]])</f>
        <v>117.8</v>
      </c>
      <c r="AD48" s="1">
        <f>SUM(Table15[[#This Row],[Housing]],Table15[[#This Row],[Household goods and services]])/2</f>
        <v>135.44999999999999</v>
      </c>
      <c r="AE48" s="1">
        <f>SUM(Table15[[#This Row],[Health]])</f>
        <v>131.30000000000001</v>
      </c>
      <c r="AF48" s="1">
        <f>SUM(Table15[[#This Row],[Recreation and amusement]],Table15[[#This Row],[Education]])/2</f>
        <v>133.15</v>
      </c>
      <c r="AG48" s="1">
        <f>SUM(Table15[[#This Row],[Miscellaneous]],Table15[[#This Row],[Personal care and effects]])/2</f>
        <v>126.95</v>
      </c>
    </row>
    <row r="49" spans="1:33" x14ac:dyDescent="0.3">
      <c r="A49" t="s">
        <v>33</v>
      </c>
      <c r="B49">
        <v>2017</v>
      </c>
      <c r="C49" t="s">
        <v>40</v>
      </c>
      <c r="D49">
        <v>135.9</v>
      </c>
      <c r="E49">
        <v>141.9</v>
      </c>
      <c r="F49">
        <v>131</v>
      </c>
      <c r="G49">
        <v>141.5</v>
      </c>
      <c r="H49">
        <v>121.4</v>
      </c>
      <c r="I49">
        <v>146.69999999999999</v>
      </c>
      <c r="J49">
        <v>157.1</v>
      </c>
      <c r="K49">
        <v>136.4</v>
      </c>
      <c r="L49">
        <v>121.4</v>
      </c>
      <c r="M49">
        <v>135.6</v>
      </c>
      <c r="N49">
        <v>131.30000000000001</v>
      </c>
      <c r="O49">
        <v>150.30000000000001</v>
      </c>
      <c r="P49">
        <v>140.4</v>
      </c>
      <c r="Q49">
        <v>137.30000000000001</v>
      </c>
      <c r="R49">
        <v>138.1</v>
      </c>
      <c r="S49">
        <v>138.4</v>
      </c>
      <c r="T49">
        <v>134.19999999999999</v>
      </c>
      <c r="U49">
        <v>121</v>
      </c>
      <c r="V49">
        <v>133</v>
      </c>
      <c r="W49">
        <v>140.1</v>
      </c>
      <c r="X49">
        <v>127.4</v>
      </c>
      <c r="Y49">
        <v>130.69999999999999</v>
      </c>
      <c r="Z49">
        <v>138.30000000000001</v>
      </c>
      <c r="AA49" s="1">
        <f>SUM(Table15[[#This Row],[Cereals and products]:[Food and beverages]])/13</f>
        <v>137.76153846153846</v>
      </c>
      <c r="AB49" s="1">
        <f>SUM(Table15[[#This Row],[Fuel and light]])</f>
        <v>138.1</v>
      </c>
      <c r="AC49" s="1">
        <f>SUM(Table15[[#This Row],[Transport and communication]])</f>
        <v>121</v>
      </c>
      <c r="AD49" s="1">
        <f>SUM(Table15[[#This Row],[Housing]],Table15[[#This Row],[Household goods and services]])/2</f>
        <v>137.85000000000002</v>
      </c>
      <c r="AE49" s="1">
        <f>SUM(Table15[[#This Row],[Health]])</f>
        <v>134.19999999999999</v>
      </c>
      <c r="AF49" s="1">
        <f>SUM(Table15[[#This Row],[Recreation and amusement]],Table15[[#This Row],[Education]])/2</f>
        <v>136.55000000000001</v>
      </c>
      <c r="AG49" s="1">
        <f>SUM(Table15[[#This Row],[Miscellaneous]],Table15[[#This Row],[Personal care and effects]])/2</f>
        <v>129.05000000000001</v>
      </c>
    </row>
    <row r="50" spans="1:33" x14ac:dyDescent="0.3">
      <c r="A50" t="s">
        <v>36</v>
      </c>
      <c r="B50">
        <v>2016</v>
      </c>
      <c r="C50" t="s">
        <v>40</v>
      </c>
      <c r="D50">
        <v>128.69999999999999</v>
      </c>
      <c r="E50">
        <v>138.4</v>
      </c>
      <c r="F50">
        <v>130.30000000000001</v>
      </c>
      <c r="G50">
        <v>132.69999999999999</v>
      </c>
      <c r="H50">
        <v>112.5</v>
      </c>
      <c r="I50">
        <v>130.4</v>
      </c>
      <c r="J50">
        <v>155.1</v>
      </c>
      <c r="K50">
        <v>175.7</v>
      </c>
      <c r="L50">
        <v>115.4</v>
      </c>
      <c r="M50">
        <v>145.30000000000001</v>
      </c>
      <c r="N50">
        <v>122.5</v>
      </c>
      <c r="O50">
        <v>139.6</v>
      </c>
      <c r="P50">
        <v>136.30000000000001</v>
      </c>
      <c r="Q50">
        <v>128.69999999999999</v>
      </c>
      <c r="R50">
        <v>115.2</v>
      </c>
      <c r="S50">
        <v>124.5</v>
      </c>
      <c r="T50">
        <v>121.8</v>
      </c>
      <c r="U50">
        <v>112.8</v>
      </c>
      <c r="V50">
        <v>121.2</v>
      </c>
      <c r="W50">
        <v>131.9</v>
      </c>
      <c r="X50">
        <v>120.8</v>
      </c>
      <c r="Y50">
        <v>120.9</v>
      </c>
      <c r="Z50">
        <v>128.6</v>
      </c>
      <c r="AA50" s="1">
        <f>SUM(Table15[[#This Row],[Cereals and products]:[Food and beverages]])/13</f>
        <v>135.6076923076923</v>
      </c>
      <c r="AB50" s="1">
        <f>SUM(Table15[[#This Row],[Fuel and light]])</f>
        <v>115.2</v>
      </c>
      <c r="AC50" s="1">
        <f>SUM(Table15[[#This Row],[Transport and communication]])</f>
        <v>112.8</v>
      </c>
      <c r="AD50" s="1">
        <f>SUM(Table15[[#This Row],[Housing]],Table15[[#This Row],[Household goods and services]])/2</f>
        <v>126.6</v>
      </c>
      <c r="AE50" s="1">
        <f>SUM(Table15[[#This Row],[Health]])</f>
        <v>121.8</v>
      </c>
      <c r="AF50" s="1">
        <f>SUM(Table15[[#This Row],[Recreation and amusement]],Table15[[#This Row],[Education]])/2</f>
        <v>126.55000000000001</v>
      </c>
      <c r="AG50" s="1">
        <f>SUM(Table15[[#This Row],[Miscellaneous]],Table15[[#This Row],[Personal care and effects]])/2</f>
        <v>120.85</v>
      </c>
    </row>
    <row r="51" spans="1:33" x14ac:dyDescent="0.3">
      <c r="A51" t="s">
        <v>35</v>
      </c>
      <c r="B51">
        <v>2016</v>
      </c>
      <c r="C51" t="s">
        <v>40</v>
      </c>
      <c r="D51">
        <v>130.5</v>
      </c>
      <c r="E51">
        <v>137.9</v>
      </c>
      <c r="F51">
        <v>130.19999999999999</v>
      </c>
      <c r="G51">
        <v>134.80000000000001</v>
      </c>
      <c r="H51">
        <v>117.8</v>
      </c>
      <c r="I51">
        <v>134.69999999999999</v>
      </c>
      <c r="J51">
        <v>151.19999999999999</v>
      </c>
      <c r="K51">
        <v>172.1</v>
      </c>
      <c r="L51">
        <v>114.1</v>
      </c>
      <c r="M51">
        <v>139.30000000000001</v>
      </c>
      <c r="N51">
        <v>126.1</v>
      </c>
      <c r="O51">
        <v>141.1</v>
      </c>
      <c r="P51">
        <v>137</v>
      </c>
      <c r="Q51">
        <v>128.69999999999999</v>
      </c>
      <c r="R51">
        <v>124.3</v>
      </c>
      <c r="S51">
        <v>128.4</v>
      </c>
      <c r="T51">
        <v>126.1</v>
      </c>
      <c r="U51">
        <v>115.2</v>
      </c>
      <c r="V51">
        <v>123.5</v>
      </c>
      <c r="W51">
        <v>132.4</v>
      </c>
      <c r="X51">
        <v>122.1</v>
      </c>
      <c r="Y51">
        <v>123.4</v>
      </c>
      <c r="Z51">
        <v>131.4</v>
      </c>
      <c r="AA51" s="1">
        <f>SUM(Table15[[#This Row],[Cereals and products]:[Food and beverages]])/13</f>
        <v>135.90769230769226</v>
      </c>
      <c r="AB51" s="1">
        <f>SUM(Table15[[#This Row],[Fuel and light]])</f>
        <v>124.3</v>
      </c>
      <c r="AC51" s="1">
        <f>SUM(Table15[[#This Row],[Transport and communication]])</f>
        <v>115.2</v>
      </c>
      <c r="AD51" s="1">
        <f>SUM(Table15[[#This Row],[Housing]],Table15[[#This Row],[Household goods and services]])/2</f>
        <v>128.55000000000001</v>
      </c>
      <c r="AE51" s="1">
        <f>SUM(Table15[[#This Row],[Health]])</f>
        <v>126.1</v>
      </c>
      <c r="AF51" s="1">
        <f>SUM(Table15[[#This Row],[Recreation and amusement]],Table15[[#This Row],[Education]])/2</f>
        <v>127.95</v>
      </c>
      <c r="AG51" s="1">
        <f>SUM(Table15[[#This Row],[Miscellaneous]],Table15[[#This Row],[Personal care and effects]])/2</f>
        <v>122.75</v>
      </c>
    </row>
    <row r="52" spans="1:33" x14ac:dyDescent="0.3">
      <c r="A52" t="s">
        <v>33</v>
      </c>
      <c r="B52">
        <v>2016</v>
      </c>
      <c r="C52" t="s">
        <v>40</v>
      </c>
      <c r="D52">
        <v>131.30000000000001</v>
      </c>
      <c r="E52">
        <v>137.6</v>
      </c>
      <c r="F52">
        <v>130.1</v>
      </c>
      <c r="G52">
        <v>136</v>
      </c>
      <c r="H52">
        <v>120.8</v>
      </c>
      <c r="I52">
        <v>138.4</v>
      </c>
      <c r="J52">
        <v>149.19999999999999</v>
      </c>
      <c r="K52">
        <v>170.2</v>
      </c>
      <c r="L52">
        <v>113.4</v>
      </c>
      <c r="M52">
        <v>136.30000000000001</v>
      </c>
      <c r="N52">
        <v>128.69999999999999</v>
      </c>
      <c r="O52">
        <v>142.4</v>
      </c>
      <c r="P52">
        <v>137.4</v>
      </c>
      <c r="Q52">
        <v>128.69999999999999</v>
      </c>
      <c r="R52">
        <v>129.80000000000001</v>
      </c>
      <c r="S52">
        <v>131.80000000000001</v>
      </c>
      <c r="T52">
        <v>128.69999999999999</v>
      </c>
      <c r="U52">
        <v>117.8</v>
      </c>
      <c r="V52">
        <v>126.5</v>
      </c>
      <c r="W52">
        <v>133</v>
      </c>
      <c r="X52">
        <v>123</v>
      </c>
      <c r="Y52">
        <v>125.7</v>
      </c>
      <c r="Z52">
        <v>133.80000000000001</v>
      </c>
      <c r="AA52" s="1">
        <f>SUM(Table15[[#This Row],[Cereals and products]:[Food and beverages]])/13</f>
        <v>136.2923076923077</v>
      </c>
      <c r="AB52" s="1">
        <f>SUM(Table15[[#This Row],[Fuel and light]])</f>
        <v>129.80000000000001</v>
      </c>
      <c r="AC52" s="1">
        <f>SUM(Table15[[#This Row],[Transport and communication]])</f>
        <v>117.8</v>
      </c>
      <c r="AD52" s="1">
        <f>SUM(Table15[[#This Row],[Housing]],Table15[[#This Row],[Household goods and services]])/2</f>
        <v>130.25</v>
      </c>
      <c r="AE52" s="1">
        <f>SUM(Table15[[#This Row],[Health]])</f>
        <v>128.69999999999999</v>
      </c>
      <c r="AF52" s="1">
        <f>SUM(Table15[[#This Row],[Recreation and amusement]],Table15[[#This Row],[Education]])/2</f>
        <v>129.75</v>
      </c>
      <c r="AG52" s="1">
        <f>SUM(Table15[[#This Row],[Miscellaneous]],Table15[[#This Row],[Personal care and effects]])/2</f>
        <v>124.35</v>
      </c>
    </row>
    <row r="53" spans="1:33" x14ac:dyDescent="0.3">
      <c r="A53" t="s">
        <v>36</v>
      </c>
      <c r="B53">
        <v>2015</v>
      </c>
      <c r="C53" t="s">
        <v>40</v>
      </c>
      <c r="D53">
        <v>123.6</v>
      </c>
      <c r="E53">
        <v>128.6</v>
      </c>
      <c r="F53">
        <v>115.9</v>
      </c>
      <c r="G53">
        <v>128.5</v>
      </c>
      <c r="H53">
        <v>109</v>
      </c>
      <c r="I53">
        <v>124.1</v>
      </c>
      <c r="J53">
        <v>165.8</v>
      </c>
      <c r="K53">
        <v>187.2</v>
      </c>
      <c r="L53">
        <v>89.4</v>
      </c>
      <c r="M53">
        <v>135.80000000000001</v>
      </c>
      <c r="N53">
        <v>119.4</v>
      </c>
      <c r="O53">
        <v>132.9</v>
      </c>
      <c r="P53">
        <v>132.6</v>
      </c>
      <c r="Q53">
        <v>122.4</v>
      </c>
      <c r="R53">
        <v>114.9</v>
      </c>
      <c r="S53">
        <v>120.7</v>
      </c>
      <c r="T53">
        <v>117.7</v>
      </c>
      <c r="U53">
        <v>109.3</v>
      </c>
      <c r="V53">
        <v>117.7</v>
      </c>
      <c r="W53">
        <v>126.5</v>
      </c>
      <c r="X53">
        <v>113.5</v>
      </c>
      <c r="Y53">
        <v>116.5</v>
      </c>
      <c r="Z53">
        <v>124.2</v>
      </c>
      <c r="AA53" s="1">
        <f>SUM(Table15[[#This Row],[Cereals and products]:[Food and beverages]])/13</f>
        <v>130.21538461538464</v>
      </c>
      <c r="AB53" s="1">
        <f>SUM(Table15[[#This Row],[Fuel and light]])</f>
        <v>114.9</v>
      </c>
      <c r="AC53" s="1">
        <f>SUM(Table15[[#This Row],[Transport and communication]])</f>
        <v>109.3</v>
      </c>
      <c r="AD53" s="1">
        <f>SUM(Table15[[#This Row],[Housing]],Table15[[#This Row],[Household goods and services]])/2</f>
        <v>121.55000000000001</v>
      </c>
      <c r="AE53" s="1">
        <f>SUM(Table15[[#This Row],[Health]])</f>
        <v>117.7</v>
      </c>
      <c r="AF53" s="1">
        <f>SUM(Table15[[#This Row],[Recreation and amusement]],Table15[[#This Row],[Education]])/2</f>
        <v>122.1</v>
      </c>
      <c r="AG53" s="1">
        <f>SUM(Table15[[#This Row],[Miscellaneous]],Table15[[#This Row],[Personal care and effects]])/2</f>
        <v>115</v>
      </c>
    </row>
    <row r="54" spans="1:33" x14ac:dyDescent="0.3">
      <c r="A54" t="s">
        <v>35</v>
      </c>
      <c r="B54">
        <v>2015</v>
      </c>
      <c r="C54" t="s">
        <v>40</v>
      </c>
      <c r="D54">
        <v>125</v>
      </c>
      <c r="E54">
        <v>129.80000000000001</v>
      </c>
      <c r="F54">
        <v>118.9</v>
      </c>
      <c r="G54">
        <v>129.1</v>
      </c>
      <c r="H54">
        <v>113.3</v>
      </c>
      <c r="I54">
        <v>129</v>
      </c>
      <c r="J54">
        <v>160.4</v>
      </c>
      <c r="K54">
        <v>165.3</v>
      </c>
      <c r="L54">
        <v>92.3</v>
      </c>
      <c r="M54">
        <v>129.69999999999999</v>
      </c>
      <c r="N54">
        <v>121.1</v>
      </c>
      <c r="O54">
        <v>133</v>
      </c>
      <c r="P54">
        <v>132.1</v>
      </c>
      <c r="Q54">
        <v>122.4</v>
      </c>
      <c r="R54">
        <v>120.8</v>
      </c>
      <c r="S54">
        <v>123</v>
      </c>
      <c r="T54">
        <v>120.4</v>
      </c>
      <c r="U54">
        <v>111.4</v>
      </c>
      <c r="V54">
        <v>118.7</v>
      </c>
      <c r="W54">
        <v>125.9</v>
      </c>
      <c r="X54">
        <v>113.9</v>
      </c>
      <c r="Y54">
        <v>117.9</v>
      </c>
      <c r="Z54">
        <v>126.1</v>
      </c>
      <c r="AA54" s="1">
        <f>SUM(Table15[[#This Row],[Cereals and products]:[Food and beverages]])/13</f>
        <v>129.15384615384613</v>
      </c>
      <c r="AB54" s="1">
        <f>SUM(Table15[[#This Row],[Fuel and light]])</f>
        <v>120.8</v>
      </c>
      <c r="AC54" s="1">
        <f>SUM(Table15[[#This Row],[Transport and communication]])</f>
        <v>111.4</v>
      </c>
      <c r="AD54" s="1">
        <f>SUM(Table15[[#This Row],[Housing]],Table15[[#This Row],[Household goods and services]])/2</f>
        <v>122.7</v>
      </c>
      <c r="AE54" s="1">
        <f>SUM(Table15[[#This Row],[Health]])</f>
        <v>120.4</v>
      </c>
      <c r="AF54" s="1">
        <f>SUM(Table15[[#This Row],[Recreation and amusement]],Table15[[#This Row],[Education]])/2</f>
        <v>122.30000000000001</v>
      </c>
      <c r="AG54" s="1">
        <f>SUM(Table15[[#This Row],[Miscellaneous]],Table15[[#This Row],[Personal care and effects]])/2</f>
        <v>115.9</v>
      </c>
    </row>
    <row r="55" spans="1:33" x14ac:dyDescent="0.3">
      <c r="A55" t="s">
        <v>33</v>
      </c>
      <c r="B55">
        <v>2015</v>
      </c>
      <c r="C55" t="s">
        <v>40</v>
      </c>
      <c r="D55">
        <v>125.6</v>
      </c>
      <c r="E55">
        <v>130.4</v>
      </c>
      <c r="F55">
        <v>120.8</v>
      </c>
      <c r="G55">
        <v>129.4</v>
      </c>
      <c r="H55">
        <v>115.8</v>
      </c>
      <c r="I55">
        <v>133.19999999999999</v>
      </c>
      <c r="J55">
        <v>157.69999999999999</v>
      </c>
      <c r="K55">
        <v>154.19999999999999</v>
      </c>
      <c r="L55">
        <v>93.7</v>
      </c>
      <c r="M55">
        <v>126.6</v>
      </c>
      <c r="N55">
        <v>122.3</v>
      </c>
      <c r="O55">
        <v>133.1</v>
      </c>
      <c r="P55">
        <v>131.80000000000001</v>
      </c>
      <c r="Q55">
        <v>122.4</v>
      </c>
      <c r="R55">
        <v>124.4</v>
      </c>
      <c r="S55">
        <v>125.1</v>
      </c>
      <c r="T55">
        <v>122</v>
      </c>
      <c r="U55">
        <v>113.8</v>
      </c>
      <c r="V55">
        <v>120.1</v>
      </c>
      <c r="W55">
        <v>125.1</v>
      </c>
      <c r="X55">
        <v>114.2</v>
      </c>
      <c r="Y55">
        <v>119.2</v>
      </c>
      <c r="Z55">
        <v>127.7</v>
      </c>
      <c r="AA55" s="1">
        <f>SUM(Table15[[#This Row],[Cereals and products]:[Food and beverages]])/13</f>
        <v>128.8153846153846</v>
      </c>
      <c r="AB55" s="1">
        <f>SUM(Table15[[#This Row],[Fuel and light]])</f>
        <v>124.4</v>
      </c>
      <c r="AC55" s="1">
        <f>SUM(Table15[[#This Row],[Transport and communication]])</f>
        <v>113.8</v>
      </c>
      <c r="AD55" s="1">
        <f>SUM(Table15[[#This Row],[Housing]],Table15[[#This Row],[Household goods and services]])/2</f>
        <v>123.75</v>
      </c>
      <c r="AE55" s="1">
        <f>SUM(Table15[[#This Row],[Health]])</f>
        <v>122</v>
      </c>
      <c r="AF55" s="1">
        <f>SUM(Table15[[#This Row],[Recreation and amusement]],Table15[[#This Row],[Education]])/2</f>
        <v>122.6</v>
      </c>
      <c r="AG55" s="1">
        <f>SUM(Table15[[#This Row],[Miscellaneous]],Table15[[#This Row],[Personal care and effects]])/2</f>
        <v>116.7</v>
      </c>
    </row>
    <row r="56" spans="1:33" x14ac:dyDescent="0.3">
      <c r="A56" t="s">
        <v>33</v>
      </c>
      <c r="B56">
        <v>2014</v>
      </c>
      <c r="C56" t="s">
        <v>40</v>
      </c>
      <c r="D56">
        <v>122.6</v>
      </c>
      <c r="E56">
        <v>122.5</v>
      </c>
      <c r="F56">
        <v>118.3</v>
      </c>
      <c r="G56">
        <v>123.2</v>
      </c>
      <c r="H56">
        <v>110.5</v>
      </c>
      <c r="I56">
        <v>128.9</v>
      </c>
      <c r="J56">
        <v>155.30000000000001</v>
      </c>
      <c r="K56">
        <v>115.5</v>
      </c>
      <c r="L56">
        <v>104</v>
      </c>
      <c r="M56">
        <v>115.3</v>
      </c>
      <c r="N56">
        <v>116.8</v>
      </c>
      <c r="O56">
        <v>123.2</v>
      </c>
      <c r="P56">
        <v>125.1</v>
      </c>
      <c r="Q56">
        <v>110.5</v>
      </c>
      <c r="R56">
        <v>116.4</v>
      </c>
      <c r="S56">
        <v>117.5</v>
      </c>
      <c r="T56">
        <v>115.3</v>
      </c>
      <c r="U56">
        <v>112.6</v>
      </c>
      <c r="V56">
        <v>113</v>
      </c>
      <c r="W56">
        <v>116.9</v>
      </c>
      <c r="X56">
        <v>109.3</v>
      </c>
      <c r="Y56">
        <v>114</v>
      </c>
      <c r="Z56">
        <v>121</v>
      </c>
      <c r="AA56" s="1">
        <f>SUM(Table15[[#This Row],[Cereals and products]:[Food and beverages]])/13</f>
        <v>121.63076923076922</v>
      </c>
      <c r="AB56" s="1">
        <f>SUM(Table15[[#This Row],[Fuel and light]])</f>
        <v>116.4</v>
      </c>
      <c r="AC56" s="1">
        <f>SUM(Table15[[#This Row],[Transport and communication]])</f>
        <v>112.6</v>
      </c>
      <c r="AD56" s="1">
        <f>SUM(Table15[[#This Row],[Housing]],Table15[[#This Row],[Household goods and services]])/2</f>
        <v>114</v>
      </c>
      <c r="AE56" s="1">
        <f>SUM(Table15[[#This Row],[Health]])</f>
        <v>115.3</v>
      </c>
      <c r="AF56" s="1">
        <f>SUM(Table15[[#This Row],[Recreation and amusement]],Table15[[#This Row],[Education]])/2</f>
        <v>114.95</v>
      </c>
      <c r="AG56" s="1">
        <f>SUM(Table15[[#This Row],[Miscellaneous]],Table15[[#This Row],[Personal care and effects]])/2</f>
        <v>111.65</v>
      </c>
    </row>
    <row r="57" spans="1:33" x14ac:dyDescent="0.3">
      <c r="A57" t="s">
        <v>35</v>
      </c>
      <c r="B57">
        <v>2014</v>
      </c>
      <c r="C57" t="s">
        <v>40</v>
      </c>
      <c r="D57">
        <v>123.2</v>
      </c>
      <c r="E57">
        <v>123.8</v>
      </c>
      <c r="F57">
        <v>118.1</v>
      </c>
      <c r="G57">
        <v>123.2</v>
      </c>
      <c r="H57">
        <v>107.9</v>
      </c>
      <c r="I57">
        <v>126.4</v>
      </c>
      <c r="J57">
        <v>156.80000000000001</v>
      </c>
      <c r="K57">
        <v>116.1</v>
      </c>
      <c r="L57">
        <v>103.1</v>
      </c>
      <c r="M57">
        <v>118.1</v>
      </c>
      <c r="N57">
        <v>116.1</v>
      </c>
      <c r="O57">
        <v>124.5</v>
      </c>
      <c r="P57">
        <v>125.4</v>
      </c>
      <c r="Q57">
        <v>116.7</v>
      </c>
      <c r="R57">
        <v>114.7</v>
      </c>
      <c r="S57">
        <v>116.7</v>
      </c>
      <c r="T57">
        <v>114.3</v>
      </c>
      <c r="U57">
        <v>111.8</v>
      </c>
      <c r="V57">
        <v>113.3</v>
      </c>
      <c r="W57">
        <v>118.8</v>
      </c>
      <c r="X57">
        <v>109.6</v>
      </c>
      <c r="Y57">
        <v>113.9</v>
      </c>
      <c r="Z57">
        <v>120.1</v>
      </c>
      <c r="AA57" s="1">
        <f>SUM(Table15[[#This Row],[Cereals and products]:[Food and beverages]])/13</f>
        <v>121.74615384615385</v>
      </c>
      <c r="AB57" s="1">
        <f>SUM(Table15[[#This Row],[Fuel and light]])</f>
        <v>114.7</v>
      </c>
      <c r="AC57" s="1">
        <f>SUM(Table15[[#This Row],[Transport and communication]])</f>
        <v>111.8</v>
      </c>
      <c r="AD57" s="1">
        <f>SUM(Table15[[#This Row],[Housing]],Table15[[#This Row],[Household goods and services]])/2</f>
        <v>116.7</v>
      </c>
      <c r="AE57" s="1">
        <f>SUM(Table15[[#This Row],[Health]])</f>
        <v>114.3</v>
      </c>
      <c r="AF57" s="1">
        <f>SUM(Table15[[#This Row],[Recreation and amusement]],Table15[[#This Row],[Education]])/2</f>
        <v>116.05</v>
      </c>
      <c r="AG57" s="1">
        <f>SUM(Table15[[#This Row],[Miscellaneous]],Table15[[#This Row],[Personal care and effects]])/2</f>
        <v>111.75</v>
      </c>
    </row>
    <row r="58" spans="1:33" x14ac:dyDescent="0.3">
      <c r="A58" t="s">
        <v>36</v>
      </c>
      <c r="B58">
        <v>2014</v>
      </c>
      <c r="C58" t="s">
        <v>40</v>
      </c>
      <c r="D58">
        <v>124.6</v>
      </c>
      <c r="E58">
        <v>126.1</v>
      </c>
      <c r="F58">
        <v>117.8</v>
      </c>
      <c r="G58">
        <v>123.1</v>
      </c>
      <c r="H58">
        <v>103.5</v>
      </c>
      <c r="I58">
        <v>123.5</v>
      </c>
      <c r="J58">
        <v>159.6</v>
      </c>
      <c r="K58">
        <v>117.4</v>
      </c>
      <c r="L58">
        <v>101.2</v>
      </c>
      <c r="M58">
        <v>123.8</v>
      </c>
      <c r="N58">
        <v>115.2</v>
      </c>
      <c r="O58">
        <v>125.9</v>
      </c>
      <c r="P58">
        <v>125.8</v>
      </c>
      <c r="Q58">
        <v>116.7</v>
      </c>
      <c r="R58">
        <v>112</v>
      </c>
      <c r="S58">
        <v>115.8</v>
      </c>
      <c r="T58">
        <v>112.6</v>
      </c>
      <c r="U58">
        <v>111</v>
      </c>
      <c r="V58">
        <v>113.6</v>
      </c>
      <c r="W58">
        <v>120.2</v>
      </c>
      <c r="X58">
        <v>110.1</v>
      </c>
      <c r="Y58">
        <v>113.7</v>
      </c>
      <c r="Z58">
        <v>119.1</v>
      </c>
      <c r="AA58" s="1">
        <f>SUM(Table15[[#This Row],[Cereals and products]:[Food and beverages]])/13</f>
        <v>122.11538461538461</v>
      </c>
      <c r="AB58" s="1">
        <f>SUM(Table15[[#This Row],[Fuel and light]])</f>
        <v>112</v>
      </c>
      <c r="AC58" s="1">
        <f>SUM(Table15[[#This Row],[Transport and communication]])</f>
        <v>111</v>
      </c>
      <c r="AD58" s="1">
        <f>SUM(Table15[[#This Row],[Housing]],Table15[[#This Row],[Household goods and services]])/2</f>
        <v>116.25</v>
      </c>
      <c r="AE58" s="1">
        <f>SUM(Table15[[#This Row],[Health]])</f>
        <v>112.6</v>
      </c>
      <c r="AF58" s="1">
        <f>SUM(Table15[[#This Row],[Recreation and amusement]],Table15[[#This Row],[Education]])/2</f>
        <v>116.9</v>
      </c>
      <c r="AG58" s="1">
        <f>SUM(Table15[[#This Row],[Miscellaneous]],Table15[[#This Row],[Personal care and effects]])/2</f>
        <v>111.9</v>
      </c>
    </row>
    <row r="59" spans="1:33" x14ac:dyDescent="0.3">
      <c r="A59" t="s">
        <v>33</v>
      </c>
      <c r="B59">
        <v>2013</v>
      </c>
      <c r="C59" t="s">
        <v>40</v>
      </c>
      <c r="D59">
        <v>116.3</v>
      </c>
      <c r="E59">
        <v>115.4</v>
      </c>
      <c r="F59">
        <v>112.6</v>
      </c>
      <c r="G59">
        <v>111.7</v>
      </c>
      <c r="H59">
        <v>107.7</v>
      </c>
      <c r="I59">
        <v>113.2</v>
      </c>
      <c r="J59">
        <v>164.9</v>
      </c>
      <c r="K59">
        <v>108.3</v>
      </c>
      <c r="L59">
        <v>103.9</v>
      </c>
      <c r="M59">
        <v>108.2</v>
      </c>
      <c r="N59">
        <v>111.1</v>
      </c>
      <c r="O59">
        <v>114.9</v>
      </c>
      <c r="P59">
        <v>119.8</v>
      </c>
      <c r="Q59">
        <v>169.5</v>
      </c>
      <c r="R59">
        <v>111.6</v>
      </c>
      <c r="S59">
        <v>110.4</v>
      </c>
      <c r="T59">
        <v>108.9</v>
      </c>
      <c r="U59">
        <v>109.3</v>
      </c>
      <c r="V59">
        <v>108.3</v>
      </c>
      <c r="W59">
        <v>110.2</v>
      </c>
      <c r="X59">
        <v>107.5</v>
      </c>
      <c r="Y59">
        <v>109.1</v>
      </c>
      <c r="Z59">
        <v>115.5</v>
      </c>
      <c r="AA59" s="1">
        <f>SUM(Table15[[#This Row],[Cereals and products]:[Food and beverages]])/13</f>
        <v>116</v>
      </c>
      <c r="AB59" s="1">
        <f>SUM(Table15[[#This Row],[Fuel and light]])</f>
        <v>111.6</v>
      </c>
      <c r="AC59" s="1">
        <f>SUM(Table15[[#This Row],[Transport and communication]])</f>
        <v>109.3</v>
      </c>
      <c r="AD59" s="1">
        <f>SUM(Table15[[#This Row],[Housing]],Table15[[#This Row],[Household goods and services]])/2</f>
        <v>139.94999999999999</v>
      </c>
      <c r="AE59" s="1">
        <f>SUM(Table15[[#This Row],[Health]])</f>
        <v>108.9</v>
      </c>
      <c r="AF59" s="1">
        <f>SUM(Table15[[#This Row],[Recreation and amusement]],Table15[[#This Row],[Education]])/2</f>
        <v>109.25</v>
      </c>
      <c r="AG59" s="1">
        <f>SUM(Table15[[#This Row],[Miscellaneous]],Table15[[#This Row],[Personal care and effects]])/2</f>
        <v>108.3</v>
      </c>
    </row>
    <row r="60" spans="1:33" x14ac:dyDescent="0.3">
      <c r="A60" t="s">
        <v>35</v>
      </c>
      <c r="B60">
        <v>2013</v>
      </c>
      <c r="C60" t="s">
        <v>40</v>
      </c>
      <c r="D60">
        <v>117.1</v>
      </c>
      <c r="E60">
        <v>116.3</v>
      </c>
      <c r="F60">
        <v>113.3</v>
      </c>
      <c r="G60">
        <v>111.2</v>
      </c>
      <c r="H60">
        <v>105.7</v>
      </c>
      <c r="I60">
        <v>109.9</v>
      </c>
      <c r="J60">
        <v>171.2</v>
      </c>
      <c r="K60">
        <v>107.3</v>
      </c>
      <c r="L60">
        <v>102.7</v>
      </c>
      <c r="M60">
        <v>108.7</v>
      </c>
      <c r="N60">
        <v>111.2</v>
      </c>
      <c r="O60">
        <v>115.4</v>
      </c>
      <c r="P60">
        <v>120.2</v>
      </c>
      <c r="Q60">
        <v>110.5</v>
      </c>
      <c r="R60">
        <v>110.9</v>
      </c>
      <c r="S60">
        <v>110.3</v>
      </c>
      <c r="T60">
        <v>108.6</v>
      </c>
      <c r="U60">
        <v>109.5</v>
      </c>
      <c r="V60">
        <v>108.1</v>
      </c>
      <c r="W60">
        <v>110.8</v>
      </c>
      <c r="X60">
        <v>107.4</v>
      </c>
      <c r="Y60">
        <v>109.2</v>
      </c>
      <c r="Z60">
        <v>114.8</v>
      </c>
      <c r="AA60" s="1">
        <f>SUM(Table15[[#This Row],[Cereals and products]:[Food and beverages]])/13</f>
        <v>116.16923076923079</v>
      </c>
      <c r="AB60" s="1">
        <f>SUM(Table15[[#This Row],[Fuel and light]])</f>
        <v>110.9</v>
      </c>
      <c r="AC60" s="1">
        <f>SUM(Table15[[#This Row],[Transport and communication]])</f>
        <v>109.5</v>
      </c>
      <c r="AD60" s="1">
        <f>SUM(Table15[[#This Row],[Housing]],Table15[[#This Row],[Household goods and services]])/2</f>
        <v>110.4</v>
      </c>
      <c r="AE60" s="1">
        <f>SUM(Table15[[#This Row],[Health]])</f>
        <v>108.6</v>
      </c>
      <c r="AF60" s="1">
        <f>SUM(Table15[[#This Row],[Recreation and amusement]],Table15[[#This Row],[Education]])/2</f>
        <v>109.44999999999999</v>
      </c>
      <c r="AG60" s="1">
        <f>SUM(Table15[[#This Row],[Miscellaneous]],Table15[[#This Row],[Personal care and effects]])/2</f>
        <v>108.30000000000001</v>
      </c>
    </row>
    <row r="61" spans="1:33" x14ac:dyDescent="0.3">
      <c r="A61" t="s">
        <v>36</v>
      </c>
      <c r="B61">
        <v>2013</v>
      </c>
      <c r="C61" t="s">
        <v>40</v>
      </c>
      <c r="D61">
        <v>118.9</v>
      </c>
      <c r="E61">
        <v>118.1</v>
      </c>
      <c r="F61">
        <v>114.5</v>
      </c>
      <c r="G61">
        <v>110.4</v>
      </c>
      <c r="H61">
        <v>102.3</v>
      </c>
      <c r="I61">
        <v>106.2</v>
      </c>
      <c r="J61">
        <v>183.5</v>
      </c>
      <c r="K61">
        <v>105.3</v>
      </c>
      <c r="L61">
        <v>100.2</v>
      </c>
      <c r="M61">
        <v>109.6</v>
      </c>
      <c r="N61">
        <v>111.4</v>
      </c>
      <c r="O61">
        <v>116</v>
      </c>
      <c r="P61">
        <v>120.8</v>
      </c>
      <c r="Q61">
        <v>110.5</v>
      </c>
      <c r="R61">
        <v>109.7</v>
      </c>
      <c r="S61">
        <v>110.2</v>
      </c>
      <c r="T61">
        <v>108.2</v>
      </c>
      <c r="U61">
        <v>109.7</v>
      </c>
      <c r="V61">
        <v>108</v>
      </c>
      <c r="W61">
        <v>111.3</v>
      </c>
      <c r="X61">
        <v>107.3</v>
      </c>
      <c r="Y61">
        <v>109.4</v>
      </c>
      <c r="Z61">
        <v>114</v>
      </c>
      <c r="AA61" s="1">
        <f>SUM(Table15[[#This Row],[Cereals and products]:[Food and beverages]])/13</f>
        <v>116.7076923076923</v>
      </c>
      <c r="AB61" s="1">
        <f>SUM(Table15[[#This Row],[Fuel and light]])</f>
        <v>109.7</v>
      </c>
      <c r="AC61" s="1">
        <f>SUM(Table15[[#This Row],[Transport and communication]])</f>
        <v>109.7</v>
      </c>
      <c r="AD61" s="1">
        <f>SUM(Table15[[#This Row],[Housing]],Table15[[#This Row],[Household goods and services]])/2</f>
        <v>110.35</v>
      </c>
      <c r="AE61" s="1">
        <f>SUM(Table15[[#This Row],[Health]])</f>
        <v>108.2</v>
      </c>
      <c r="AF61" s="1">
        <f>SUM(Table15[[#This Row],[Recreation and amusement]],Table15[[#This Row],[Education]])/2</f>
        <v>109.65</v>
      </c>
      <c r="AG61" s="1">
        <f>SUM(Table15[[#This Row],[Miscellaneous]],Table15[[#This Row],[Personal care and effects]])/2</f>
        <v>108.35</v>
      </c>
    </row>
    <row r="62" spans="1:33" x14ac:dyDescent="0.3">
      <c r="A62" t="s">
        <v>33</v>
      </c>
      <c r="B62">
        <v>2013</v>
      </c>
      <c r="C62" t="s">
        <v>44</v>
      </c>
      <c r="D62">
        <v>117.3</v>
      </c>
      <c r="E62">
        <v>114.9</v>
      </c>
      <c r="F62">
        <v>116.2</v>
      </c>
      <c r="G62">
        <v>112.8</v>
      </c>
      <c r="H62">
        <v>108.9</v>
      </c>
      <c r="I62">
        <v>116.6</v>
      </c>
      <c r="J62">
        <v>178.1</v>
      </c>
      <c r="K62">
        <v>109.1</v>
      </c>
      <c r="L62">
        <v>103.6</v>
      </c>
      <c r="M62">
        <v>109</v>
      </c>
      <c r="N62">
        <v>111.8</v>
      </c>
      <c r="O62">
        <v>116</v>
      </c>
      <c r="P62">
        <v>122.5</v>
      </c>
      <c r="Q62">
        <v>171.2</v>
      </c>
      <c r="R62">
        <v>112.6</v>
      </c>
      <c r="S62">
        <v>111.3</v>
      </c>
      <c r="T62">
        <v>109.7</v>
      </c>
      <c r="U62">
        <v>109.6</v>
      </c>
      <c r="V62">
        <v>108.7</v>
      </c>
      <c r="W62">
        <v>111</v>
      </c>
      <c r="X62">
        <v>108.2</v>
      </c>
      <c r="Y62">
        <v>109.8</v>
      </c>
      <c r="Z62">
        <v>117.4</v>
      </c>
      <c r="AA62" s="1">
        <f>SUM(Table15[[#This Row],[Cereals and products]:[Food and beverages]])/13</f>
        <v>118.21538461538461</v>
      </c>
      <c r="AB62" s="1">
        <f>SUM(Table15[[#This Row],[Fuel and light]])</f>
        <v>112.6</v>
      </c>
      <c r="AC62" s="1">
        <f>SUM(Table15[[#This Row],[Transport and communication]])</f>
        <v>109.6</v>
      </c>
      <c r="AD62" s="1">
        <f>SUM(Table15[[#This Row],[Housing]],Table15[[#This Row],[Household goods and services]])/2</f>
        <v>141.25</v>
      </c>
      <c r="AE62" s="1">
        <f>SUM(Table15[[#This Row],[Health]])</f>
        <v>109.7</v>
      </c>
      <c r="AF62" s="1">
        <f>SUM(Table15[[#This Row],[Recreation and amusement]],Table15[[#This Row],[Education]])/2</f>
        <v>109.85</v>
      </c>
      <c r="AG62" s="1">
        <f>SUM(Table15[[#This Row],[Miscellaneous]],Table15[[#This Row],[Personal care and effects]])/2</f>
        <v>109</v>
      </c>
    </row>
    <row r="63" spans="1:33" x14ac:dyDescent="0.3">
      <c r="A63" t="s">
        <v>33</v>
      </c>
      <c r="B63">
        <v>2022</v>
      </c>
      <c r="C63" t="s">
        <v>45</v>
      </c>
      <c r="D63">
        <v>166.9</v>
      </c>
      <c r="E63">
        <v>207.2</v>
      </c>
      <c r="F63">
        <v>180.2</v>
      </c>
      <c r="G63">
        <v>172.3</v>
      </c>
      <c r="H63">
        <v>194</v>
      </c>
      <c r="I63">
        <v>159.1</v>
      </c>
      <c r="J63">
        <v>171.6</v>
      </c>
      <c r="K63">
        <v>170.2</v>
      </c>
      <c r="L63">
        <v>121.5</v>
      </c>
      <c r="M63">
        <v>204.8</v>
      </c>
      <c r="N63">
        <v>176.4</v>
      </c>
      <c r="O63">
        <v>186.9</v>
      </c>
      <c r="P63">
        <v>176.6</v>
      </c>
      <c r="Q63">
        <v>164.2</v>
      </c>
      <c r="R63">
        <v>181.9</v>
      </c>
      <c r="S63">
        <v>175.5</v>
      </c>
      <c r="T63">
        <v>182.3</v>
      </c>
      <c r="U63">
        <v>167.5</v>
      </c>
      <c r="V63">
        <v>170.8</v>
      </c>
      <c r="W63">
        <v>176.9</v>
      </c>
      <c r="X63">
        <v>173.4</v>
      </c>
      <c r="Y63">
        <v>174.6</v>
      </c>
      <c r="Z63">
        <v>177.8</v>
      </c>
      <c r="AA63" s="1">
        <f>SUM(Table15[[#This Row],[Cereals and products]:[Food and beverages]])/13</f>
        <v>175.97692307692307</v>
      </c>
      <c r="AB63" s="1">
        <f>SUM(Table15[[#This Row],[Fuel and light]])</f>
        <v>181.9</v>
      </c>
      <c r="AC63" s="1">
        <f>SUM(Table15[[#This Row],[Transport and communication]])</f>
        <v>167.5</v>
      </c>
      <c r="AD63" s="1">
        <f>SUM(Table15[[#This Row],[Housing]],Table15[[#This Row],[Household goods and services]])/2</f>
        <v>169.85</v>
      </c>
      <c r="AE63" s="1">
        <f>SUM(Table15[[#This Row],[Health]])</f>
        <v>182.3</v>
      </c>
      <c r="AF63" s="1">
        <f>SUM(Table15[[#This Row],[Recreation and amusement]],Table15[[#This Row],[Education]])/2</f>
        <v>173.85000000000002</v>
      </c>
      <c r="AG63" s="1">
        <f>SUM(Table15[[#This Row],[Miscellaneous]],Table15[[#This Row],[Personal care and effects]])/2</f>
        <v>174</v>
      </c>
    </row>
    <row r="64" spans="1:33" x14ac:dyDescent="0.3">
      <c r="A64" t="s">
        <v>35</v>
      </c>
      <c r="B64">
        <v>2022</v>
      </c>
      <c r="C64" t="s">
        <v>45</v>
      </c>
      <c r="D64">
        <v>167.4</v>
      </c>
      <c r="E64">
        <v>209.4</v>
      </c>
      <c r="F64">
        <v>181.4</v>
      </c>
      <c r="G64">
        <v>172.3</v>
      </c>
      <c r="H64">
        <v>188.9</v>
      </c>
      <c r="I64">
        <v>160.69999999999999</v>
      </c>
      <c r="J64">
        <v>183.1</v>
      </c>
      <c r="K64">
        <v>170.5</v>
      </c>
      <c r="L64">
        <v>122.1</v>
      </c>
      <c r="M64">
        <v>202.8</v>
      </c>
      <c r="N64">
        <v>170.4</v>
      </c>
      <c r="O64">
        <v>189.5</v>
      </c>
      <c r="P64">
        <v>178.3</v>
      </c>
      <c r="Q64">
        <v>171.8</v>
      </c>
      <c r="R64">
        <v>181.3</v>
      </c>
      <c r="S64">
        <v>171.4</v>
      </c>
      <c r="T64">
        <v>179.8</v>
      </c>
      <c r="U64">
        <v>163</v>
      </c>
      <c r="V64">
        <v>168.5</v>
      </c>
      <c r="W64">
        <v>173.7</v>
      </c>
      <c r="X64">
        <v>173.6</v>
      </c>
      <c r="Y64">
        <v>171.1</v>
      </c>
      <c r="Z64">
        <v>176.5</v>
      </c>
      <c r="AA64" s="1">
        <f>SUM(Table15[[#This Row],[Cereals and products]:[Food and beverages]])/13</f>
        <v>176.67692307692309</v>
      </c>
      <c r="AB64" s="1">
        <f>SUM(Table15[[#This Row],[Fuel and light]])</f>
        <v>181.3</v>
      </c>
      <c r="AC64" s="1">
        <f>SUM(Table15[[#This Row],[Transport and communication]])</f>
        <v>163</v>
      </c>
      <c r="AD64" s="1">
        <f>SUM(Table15[[#This Row],[Housing]],Table15[[#This Row],[Household goods and services]])/2</f>
        <v>171.60000000000002</v>
      </c>
      <c r="AE64" s="1">
        <f>SUM(Table15[[#This Row],[Health]])</f>
        <v>179.8</v>
      </c>
      <c r="AF64" s="1">
        <f>SUM(Table15[[#This Row],[Recreation and amusement]],Table15[[#This Row],[Education]])/2</f>
        <v>171.1</v>
      </c>
      <c r="AG64" s="1">
        <f>SUM(Table15[[#This Row],[Miscellaneous]],Table15[[#This Row],[Personal care and effects]])/2</f>
        <v>172.35</v>
      </c>
    </row>
    <row r="65" spans="1:33" x14ac:dyDescent="0.3">
      <c r="A65" t="s">
        <v>36</v>
      </c>
      <c r="B65">
        <v>2022</v>
      </c>
      <c r="C65" t="s">
        <v>45</v>
      </c>
      <c r="D65">
        <v>168.4</v>
      </c>
      <c r="E65">
        <v>213.4</v>
      </c>
      <c r="F65">
        <v>183.2</v>
      </c>
      <c r="G65">
        <v>172.3</v>
      </c>
      <c r="H65">
        <v>180</v>
      </c>
      <c r="I65">
        <v>162.6</v>
      </c>
      <c r="J65">
        <v>205.5</v>
      </c>
      <c r="K65">
        <v>171</v>
      </c>
      <c r="L65">
        <v>123.4</v>
      </c>
      <c r="M65">
        <v>198.8</v>
      </c>
      <c r="N65">
        <v>162.1</v>
      </c>
      <c r="O65">
        <v>192.4</v>
      </c>
      <c r="P65">
        <v>181.3</v>
      </c>
      <c r="Q65">
        <v>171.8</v>
      </c>
      <c r="R65">
        <v>180.3</v>
      </c>
      <c r="S65">
        <v>166.9</v>
      </c>
      <c r="T65">
        <v>175.8</v>
      </c>
      <c r="U65">
        <v>158.9</v>
      </c>
      <c r="V65">
        <v>166.7</v>
      </c>
      <c r="W65">
        <v>171.5</v>
      </c>
      <c r="X65">
        <v>173.8</v>
      </c>
      <c r="Y65">
        <v>167.4</v>
      </c>
      <c r="Z65">
        <v>174.1</v>
      </c>
      <c r="AA65" s="1">
        <f>SUM(Table15[[#This Row],[Cereals and products]:[Food and beverages]])/13</f>
        <v>178.03076923076924</v>
      </c>
      <c r="AB65" s="1">
        <f>SUM(Table15[[#This Row],[Fuel and light]])</f>
        <v>180.3</v>
      </c>
      <c r="AC65" s="1">
        <f>SUM(Table15[[#This Row],[Transport and communication]])</f>
        <v>158.9</v>
      </c>
      <c r="AD65" s="1">
        <f>SUM(Table15[[#This Row],[Housing]],Table15[[#This Row],[Household goods and services]])/2</f>
        <v>169.35000000000002</v>
      </c>
      <c r="AE65" s="1">
        <f>SUM(Table15[[#This Row],[Health]])</f>
        <v>175.8</v>
      </c>
      <c r="AF65" s="1">
        <f>SUM(Table15[[#This Row],[Recreation and amusement]],Table15[[#This Row],[Education]])/2</f>
        <v>169.1</v>
      </c>
      <c r="AG65" s="1">
        <f>SUM(Table15[[#This Row],[Miscellaneous]],Table15[[#This Row],[Personal care and effects]])/2</f>
        <v>170.60000000000002</v>
      </c>
    </row>
    <row r="66" spans="1:33" x14ac:dyDescent="0.3">
      <c r="A66" t="s">
        <v>33</v>
      </c>
      <c r="B66">
        <v>2019</v>
      </c>
      <c r="C66" t="s">
        <v>46</v>
      </c>
      <c r="D66">
        <v>136.9</v>
      </c>
      <c r="E66">
        <v>154.1</v>
      </c>
      <c r="F66">
        <v>138.69999999999999</v>
      </c>
      <c r="G66">
        <v>142.5</v>
      </c>
      <c r="H66">
        <v>124.1</v>
      </c>
      <c r="I66">
        <v>136.1</v>
      </c>
      <c r="J66">
        <v>128.19999999999999</v>
      </c>
      <c r="K66">
        <v>122.3</v>
      </c>
      <c r="L66">
        <v>108.3</v>
      </c>
      <c r="M66">
        <v>138.9</v>
      </c>
      <c r="N66">
        <v>137.4</v>
      </c>
      <c r="O66">
        <v>156.4</v>
      </c>
      <c r="P66">
        <v>137.30000000000001</v>
      </c>
      <c r="Q66">
        <f>AVERAGE(Q67:Q68)</f>
        <v>149</v>
      </c>
      <c r="R66">
        <v>146.4</v>
      </c>
      <c r="S66">
        <v>150</v>
      </c>
      <c r="T66">
        <v>150.4</v>
      </c>
      <c r="U66">
        <v>129.9</v>
      </c>
      <c r="V66">
        <v>143.80000000000001</v>
      </c>
      <c r="W66">
        <v>155.5</v>
      </c>
      <c r="X66">
        <v>134</v>
      </c>
      <c r="Y66">
        <v>142.4</v>
      </c>
      <c r="Z66">
        <v>141.19999999999999</v>
      </c>
      <c r="AA66" s="1">
        <f>SUM(Table15[[#This Row],[Cereals and products]:[Food and beverages]])/13</f>
        <v>135.4769230769231</v>
      </c>
      <c r="AB66" s="1">
        <f>SUM(Table15[[#This Row],[Fuel and light]])</f>
        <v>146.4</v>
      </c>
      <c r="AC66" s="1">
        <f>SUM(Table15[[#This Row],[Transport and communication]])</f>
        <v>129.9</v>
      </c>
      <c r="AD66" s="1">
        <f>SUM(Table15[[#This Row],[Housing]],Table15[[#This Row],[Household goods and services]])/2</f>
        <v>149.5</v>
      </c>
      <c r="AE66" s="1">
        <f>SUM(Table15[[#This Row],[Health]])</f>
        <v>150.4</v>
      </c>
      <c r="AF66" s="1">
        <f>SUM(Table15[[#This Row],[Recreation and amusement]],Table15[[#This Row],[Education]])/2</f>
        <v>149.65</v>
      </c>
      <c r="AG66" s="1">
        <f>SUM(Table15[[#This Row],[Miscellaneous]],Table15[[#This Row],[Personal care and effects]])/2</f>
        <v>138.19999999999999</v>
      </c>
    </row>
    <row r="67" spans="1:33" x14ac:dyDescent="0.3">
      <c r="A67" t="s">
        <v>35</v>
      </c>
      <c r="B67">
        <v>2019</v>
      </c>
      <c r="C67" t="s">
        <v>46</v>
      </c>
      <c r="D67">
        <v>137.80000000000001</v>
      </c>
      <c r="E67">
        <v>153</v>
      </c>
      <c r="F67">
        <v>140.30000000000001</v>
      </c>
      <c r="G67">
        <v>142.30000000000001</v>
      </c>
      <c r="H67">
        <v>122</v>
      </c>
      <c r="I67">
        <v>137.6</v>
      </c>
      <c r="J67">
        <v>132.6</v>
      </c>
      <c r="K67">
        <v>121.8</v>
      </c>
      <c r="L67">
        <v>109</v>
      </c>
      <c r="M67">
        <v>139.5</v>
      </c>
      <c r="N67">
        <v>133.69999999999999</v>
      </c>
      <c r="O67">
        <v>155.19999999999999</v>
      </c>
      <c r="P67">
        <v>138.1</v>
      </c>
      <c r="Q67">
        <v>149</v>
      </c>
      <c r="R67">
        <v>139.69999999999999</v>
      </c>
      <c r="S67">
        <v>143.80000000000001</v>
      </c>
      <c r="T67">
        <v>146.19999999999999</v>
      </c>
      <c r="U67">
        <v>124.6</v>
      </c>
      <c r="V67">
        <v>137.69999999999999</v>
      </c>
      <c r="W67">
        <v>150.30000000000001</v>
      </c>
      <c r="X67">
        <v>133.4</v>
      </c>
      <c r="Y67">
        <v>137.69999999999999</v>
      </c>
      <c r="Z67">
        <v>140.4</v>
      </c>
      <c r="AA67" s="1">
        <f>SUM(Table15[[#This Row],[Cereals and products]:[Food and beverages]])/13</f>
        <v>135.6076923076923</v>
      </c>
      <c r="AB67" s="1">
        <f>SUM(Table15[[#This Row],[Fuel and light]])</f>
        <v>139.69999999999999</v>
      </c>
      <c r="AC67" s="1">
        <f>SUM(Table15[[#This Row],[Transport and communication]])</f>
        <v>124.6</v>
      </c>
      <c r="AD67" s="1">
        <f>SUM(Table15[[#This Row],[Housing]],Table15[[#This Row],[Household goods and services]])/2</f>
        <v>146.4</v>
      </c>
      <c r="AE67" s="1">
        <f>SUM(Table15[[#This Row],[Health]])</f>
        <v>146.19999999999999</v>
      </c>
      <c r="AF67" s="1">
        <f>SUM(Table15[[#This Row],[Recreation and amusement]],Table15[[#This Row],[Education]])/2</f>
        <v>144</v>
      </c>
      <c r="AG67" s="1">
        <f>SUM(Table15[[#This Row],[Miscellaneous]],Table15[[#This Row],[Personal care and effects]])/2</f>
        <v>135.55000000000001</v>
      </c>
    </row>
    <row r="68" spans="1:33" x14ac:dyDescent="0.3">
      <c r="A68" t="s">
        <v>36</v>
      </c>
      <c r="B68">
        <v>2019</v>
      </c>
      <c r="C68" t="s">
        <v>46</v>
      </c>
      <c r="D68">
        <v>139.69999999999999</v>
      </c>
      <c r="E68">
        <v>151.1</v>
      </c>
      <c r="F68">
        <v>142.9</v>
      </c>
      <c r="G68">
        <v>141.9</v>
      </c>
      <c r="H68">
        <v>118.4</v>
      </c>
      <c r="I68">
        <v>139.4</v>
      </c>
      <c r="J68">
        <v>141.19999999999999</v>
      </c>
      <c r="K68">
        <v>120.7</v>
      </c>
      <c r="L68">
        <v>110.4</v>
      </c>
      <c r="M68">
        <v>140.69999999999999</v>
      </c>
      <c r="N68">
        <v>128.5</v>
      </c>
      <c r="O68">
        <v>153.9</v>
      </c>
      <c r="P68">
        <v>139.6</v>
      </c>
      <c r="Q68">
        <v>149</v>
      </c>
      <c r="R68">
        <v>128.80000000000001</v>
      </c>
      <c r="S68">
        <v>136.80000000000001</v>
      </c>
      <c r="T68">
        <v>139.19999999999999</v>
      </c>
      <c r="U68">
        <v>119.9</v>
      </c>
      <c r="V68">
        <v>133</v>
      </c>
      <c r="W68">
        <v>146.69999999999999</v>
      </c>
      <c r="X68">
        <v>132.5</v>
      </c>
      <c r="Y68">
        <v>132.80000000000001</v>
      </c>
      <c r="Z68">
        <v>139.5</v>
      </c>
      <c r="AA68" s="1">
        <f>SUM(Table15[[#This Row],[Cereals and products]:[Food and beverages]])/13</f>
        <v>136.03076923076924</v>
      </c>
      <c r="AB68" s="1">
        <f>SUM(Table15[[#This Row],[Fuel and light]])</f>
        <v>128.80000000000001</v>
      </c>
      <c r="AC68" s="1">
        <f>SUM(Table15[[#This Row],[Transport and communication]])</f>
        <v>119.9</v>
      </c>
      <c r="AD68" s="1">
        <f>SUM(Table15[[#This Row],[Housing]],Table15[[#This Row],[Household goods and services]])/2</f>
        <v>142.9</v>
      </c>
      <c r="AE68" s="1">
        <f>SUM(Table15[[#This Row],[Health]])</f>
        <v>139.19999999999999</v>
      </c>
      <c r="AF68" s="1">
        <f>SUM(Table15[[#This Row],[Recreation and amusement]],Table15[[#This Row],[Education]])/2</f>
        <v>139.85</v>
      </c>
      <c r="AG68" s="1">
        <f>SUM(Table15[[#This Row],[Miscellaneous]],Table15[[#This Row],[Personal care and effects]])/2</f>
        <v>132.65</v>
      </c>
    </row>
    <row r="69" spans="1:33" x14ac:dyDescent="0.3">
      <c r="A69" t="s">
        <v>33</v>
      </c>
      <c r="B69">
        <v>2019</v>
      </c>
      <c r="C69" t="s">
        <v>47</v>
      </c>
      <c r="D69">
        <v>137.4</v>
      </c>
      <c r="E69">
        <v>159.5</v>
      </c>
      <c r="F69">
        <v>134.5</v>
      </c>
      <c r="G69">
        <v>142.6</v>
      </c>
      <c r="H69">
        <v>124</v>
      </c>
      <c r="I69">
        <v>143.69999999999999</v>
      </c>
      <c r="J69">
        <v>133.4</v>
      </c>
      <c r="K69">
        <v>125.1</v>
      </c>
      <c r="L69">
        <v>109.3</v>
      </c>
      <c r="M69">
        <v>139.30000000000001</v>
      </c>
      <c r="N69">
        <v>137.69999999999999</v>
      </c>
      <c r="O69">
        <v>156.4</v>
      </c>
      <c r="P69">
        <v>139.19999999999999</v>
      </c>
      <c r="Q69">
        <v>150.1</v>
      </c>
      <c r="R69">
        <v>146.9</v>
      </c>
      <c r="S69">
        <v>149.5</v>
      </c>
      <c r="T69">
        <v>151.30000000000001</v>
      </c>
      <c r="U69">
        <v>130.19999999999999</v>
      </c>
      <c r="V69">
        <v>145.9</v>
      </c>
      <c r="W69">
        <v>156.69999999999999</v>
      </c>
      <c r="X69">
        <v>133.9</v>
      </c>
      <c r="Y69">
        <v>142.9</v>
      </c>
      <c r="Z69">
        <v>142.4</v>
      </c>
      <c r="AA69" s="1">
        <f>SUM(Table15[[#This Row],[Cereals and products]:[Food and beverages]])/13</f>
        <v>137.0846153846154</v>
      </c>
      <c r="AB69" s="1">
        <f>SUM(Table15[[#This Row],[Fuel and light]])</f>
        <v>146.9</v>
      </c>
      <c r="AC69" s="1">
        <f>SUM(Table15[[#This Row],[Transport and communication]])</f>
        <v>130.19999999999999</v>
      </c>
      <c r="AD69" s="1">
        <f>SUM(Table15[[#This Row],[Housing]],Table15[[#This Row],[Household goods and services]])/2</f>
        <v>149.80000000000001</v>
      </c>
      <c r="AE69" s="1">
        <f>SUM(Table15[[#This Row],[Health]])</f>
        <v>151.30000000000001</v>
      </c>
      <c r="AF69" s="1">
        <f>SUM(Table15[[#This Row],[Recreation and amusement]],Table15[[#This Row],[Education]])/2</f>
        <v>151.30000000000001</v>
      </c>
      <c r="AG69" s="1">
        <f>SUM(Table15[[#This Row],[Miscellaneous]],Table15[[#This Row],[Personal care and effects]])/2</f>
        <v>138.4</v>
      </c>
    </row>
    <row r="70" spans="1:33" x14ac:dyDescent="0.3">
      <c r="A70" t="s">
        <v>35</v>
      </c>
      <c r="B70">
        <v>2019</v>
      </c>
      <c r="C70" t="s">
        <v>47</v>
      </c>
      <c r="D70">
        <v>138.30000000000001</v>
      </c>
      <c r="E70">
        <v>158.5</v>
      </c>
      <c r="F70">
        <v>136</v>
      </c>
      <c r="G70">
        <v>142.5</v>
      </c>
      <c r="H70">
        <v>122</v>
      </c>
      <c r="I70">
        <v>146.5</v>
      </c>
      <c r="J70">
        <v>143</v>
      </c>
      <c r="K70">
        <v>124.9</v>
      </c>
      <c r="L70">
        <v>109.9</v>
      </c>
      <c r="M70">
        <v>139.9</v>
      </c>
      <c r="N70">
        <v>134</v>
      </c>
      <c r="O70">
        <v>155.5</v>
      </c>
      <c r="P70">
        <v>140.9</v>
      </c>
      <c r="Q70">
        <v>150.1</v>
      </c>
      <c r="R70">
        <v>140.30000000000001</v>
      </c>
      <c r="S70">
        <v>143.69999999999999</v>
      </c>
      <c r="T70">
        <v>146.9</v>
      </c>
      <c r="U70">
        <v>124.9</v>
      </c>
      <c r="V70">
        <v>139.19999999999999</v>
      </c>
      <c r="W70">
        <v>151.6</v>
      </c>
      <c r="X70">
        <v>133.4</v>
      </c>
      <c r="Y70">
        <v>138.19999999999999</v>
      </c>
      <c r="Z70">
        <v>142</v>
      </c>
      <c r="AA70" s="1">
        <f>SUM(Table15[[#This Row],[Cereals and products]:[Food and beverages]])/13</f>
        <v>137.83846153846156</v>
      </c>
      <c r="AB70" s="1">
        <f>SUM(Table15[[#This Row],[Fuel and light]])</f>
        <v>140.30000000000001</v>
      </c>
      <c r="AC70" s="1">
        <f>SUM(Table15[[#This Row],[Transport and communication]])</f>
        <v>124.9</v>
      </c>
      <c r="AD70" s="1">
        <f>SUM(Table15[[#This Row],[Housing]],Table15[[#This Row],[Household goods and services]])/2</f>
        <v>146.89999999999998</v>
      </c>
      <c r="AE70" s="1">
        <f>SUM(Table15[[#This Row],[Health]])</f>
        <v>146.9</v>
      </c>
      <c r="AF70" s="1">
        <f>SUM(Table15[[#This Row],[Recreation and amusement]],Table15[[#This Row],[Education]])/2</f>
        <v>145.39999999999998</v>
      </c>
      <c r="AG70" s="1">
        <f>SUM(Table15[[#This Row],[Miscellaneous]],Table15[[#This Row],[Personal care and effects]])/2</f>
        <v>135.80000000000001</v>
      </c>
    </row>
    <row r="71" spans="1:33" x14ac:dyDescent="0.3">
      <c r="A71" t="s">
        <v>36</v>
      </c>
      <c r="B71">
        <v>2019</v>
      </c>
      <c r="C71" t="s">
        <v>47</v>
      </c>
      <c r="D71">
        <v>140.4</v>
      </c>
      <c r="E71">
        <v>156.69999999999999</v>
      </c>
      <c r="F71">
        <v>138.30000000000001</v>
      </c>
      <c r="G71">
        <v>142.4</v>
      </c>
      <c r="H71">
        <v>118.6</v>
      </c>
      <c r="I71">
        <v>149.69999999999999</v>
      </c>
      <c r="J71">
        <v>161.6</v>
      </c>
      <c r="K71">
        <v>124.4</v>
      </c>
      <c r="L71">
        <v>111.2</v>
      </c>
      <c r="M71">
        <v>141</v>
      </c>
      <c r="N71">
        <v>128.9</v>
      </c>
      <c r="O71">
        <v>154.5</v>
      </c>
      <c r="P71">
        <v>143.80000000000001</v>
      </c>
      <c r="Q71">
        <v>150.1</v>
      </c>
      <c r="R71">
        <v>129.4</v>
      </c>
      <c r="S71">
        <v>137.19999999999999</v>
      </c>
      <c r="T71">
        <v>139.80000000000001</v>
      </c>
      <c r="U71">
        <v>120.1</v>
      </c>
      <c r="V71">
        <v>134</v>
      </c>
      <c r="W71">
        <v>148</v>
      </c>
      <c r="X71">
        <v>132.6</v>
      </c>
      <c r="Y71">
        <v>133.30000000000001</v>
      </c>
      <c r="Z71">
        <v>141.5</v>
      </c>
      <c r="AA71" s="1">
        <f>SUM(Table15[[#This Row],[Cereals and products]:[Food and beverages]])/13</f>
        <v>139.34615384615387</v>
      </c>
      <c r="AB71" s="1">
        <f>SUM(Table15[[#This Row],[Fuel and light]])</f>
        <v>129.4</v>
      </c>
      <c r="AC71" s="1">
        <f>SUM(Table15[[#This Row],[Transport and communication]])</f>
        <v>120.1</v>
      </c>
      <c r="AD71" s="1">
        <f>SUM(Table15[[#This Row],[Housing]],Table15[[#This Row],[Household goods and services]])/2</f>
        <v>143.64999999999998</v>
      </c>
      <c r="AE71" s="1">
        <f>SUM(Table15[[#This Row],[Health]])</f>
        <v>139.80000000000001</v>
      </c>
      <c r="AF71" s="1">
        <f>SUM(Table15[[#This Row],[Recreation and amusement]],Table15[[#This Row],[Education]])/2</f>
        <v>141</v>
      </c>
      <c r="AG71" s="1">
        <f>SUM(Table15[[#This Row],[Miscellaneous]],Table15[[#This Row],[Personal care and effects]])/2</f>
        <v>132.94999999999999</v>
      </c>
    </row>
    <row r="72" spans="1:33" x14ac:dyDescent="0.3">
      <c r="A72" t="s">
        <v>33</v>
      </c>
      <c r="B72">
        <v>2019</v>
      </c>
      <c r="C72" t="s">
        <v>45</v>
      </c>
      <c r="D72">
        <v>141.80000000000001</v>
      </c>
      <c r="E72">
        <v>163.69999999999999</v>
      </c>
      <c r="F72">
        <v>143.80000000000001</v>
      </c>
      <c r="G72">
        <v>147.1</v>
      </c>
      <c r="H72">
        <v>126</v>
      </c>
      <c r="I72">
        <v>146.19999999999999</v>
      </c>
      <c r="J72">
        <v>191.4</v>
      </c>
      <c r="K72">
        <v>136.19999999999999</v>
      </c>
      <c r="L72">
        <v>113.8</v>
      </c>
      <c r="M72">
        <v>147.30000000000001</v>
      </c>
      <c r="N72">
        <v>138.69999999999999</v>
      </c>
      <c r="O72">
        <v>157.69999999999999</v>
      </c>
      <c r="P72">
        <v>150.9</v>
      </c>
      <c r="Q72">
        <v>146.9</v>
      </c>
      <c r="R72">
        <v>148.4</v>
      </c>
      <c r="S72">
        <v>150.9</v>
      </c>
      <c r="T72">
        <v>154.30000000000001</v>
      </c>
      <c r="U72">
        <v>132.1</v>
      </c>
      <c r="V72">
        <v>149.1</v>
      </c>
      <c r="W72">
        <v>160.80000000000001</v>
      </c>
      <c r="X72">
        <v>140.6</v>
      </c>
      <c r="Y72">
        <v>146.1</v>
      </c>
      <c r="Z72">
        <v>149.9</v>
      </c>
      <c r="AA72" s="1">
        <f>SUM(Table15[[#This Row],[Cereals and products]:[Food and beverages]])/13</f>
        <v>146.50769230769231</v>
      </c>
      <c r="AB72" s="1">
        <f>SUM(Table15[[#This Row],[Fuel and light]])</f>
        <v>148.4</v>
      </c>
      <c r="AC72" s="1">
        <f>SUM(Table15[[#This Row],[Transport and communication]])</f>
        <v>132.1</v>
      </c>
      <c r="AD72" s="1">
        <f>SUM(Table15[[#This Row],[Housing]],Table15[[#This Row],[Household goods and services]])/2</f>
        <v>148.9</v>
      </c>
      <c r="AE72" s="1">
        <f>SUM(Table15[[#This Row],[Health]])</f>
        <v>154.30000000000001</v>
      </c>
      <c r="AF72" s="1">
        <f>SUM(Table15[[#This Row],[Recreation and amusement]],Table15[[#This Row],[Education]])/2</f>
        <v>154.94999999999999</v>
      </c>
      <c r="AG72" s="1">
        <f>SUM(Table15[[#This Row],[Miscellaneous]],Table15[[#This Row],[Personal care and effects]])/2</f>
        <v>143.35</v>
      </c>
    </row>
    <row r="73" spans="1:33" x14ac:dyDescent="0.3">
      <c r="A73" t="s">
        <v>35</v>
      </c>
      <c r="B73">
        <v>2019</v>
      </c>
      <c r="C73" t="s">
        <v>45</v>
      </c>
      <c r="D73">
        <v>142.5</v>
      </c>
      <c r="E73">
        <v>163.19999999999999</v>
      </c>
      <c r="F73">
        <v>145.6</v>
      </c>
      <c r="G73">
        <v>146.69999999999999</v>
      </c>
      <c r="H73">
        <v>124.3</v>
      </c>
      <c r="I73">
        <v>147.4</v>
      </c>
      <c r="J73">
        <v>199.6</v>
      </c>
      <c r="K73">
        <v>135.69999999999999</v>
      </c>
      <c r="L73">
        <v>114.2</v>
      </c>
      <c r="M73">
        <v>147</v>
      </c>
      <c r="N73">
        <v>135.30000000000001</v>
      </c>
      <c r="O73">
        <v>157.5</v>
      </c>
      <c r="P73">
        <v>151.9</v>
      </c>
      <c r="Q73">
        <v>153.5</v>
      </c>
      <c r="R73">
        <v>142.30000000000001</v>
      </c>
      <c r="S73">
        <v>145.30000000000001</v>
      </c>
      <c r="T73">
        <v>149.9</v>
      </c>
      <c r="U73">
        <v>126.6</v>
      </c>
      <c r="V73">
        <v>142.1</v>
      </c>
      <c r="W73">
        <v>155.5</v>
      </c>
      <c r="X73">
        <v>140.30000000000001</v>
      </c>
      <c r="Y73">
        <v>141.30000000000001</v>
      </c>
      <c r="Z73">
        <v>148.6</v>
      </c>
      <c r="AA73" s="1">
        <f>SUM(Table15[[#This Row],[Cereals and products]:[Food and beverages]])/13</f>
        <v>146.99230769230769</v>
      </c>
      <c r="AB73" s="1">
        <f>SUM(Table15[[#This Row],[Fuel and light]])</f>
        <v>142.30000000000001</v>
      </c>
      <c r="AC73" s="1">
        <f>SUM(Table15[[#This Row],[Transport and communication]])</f>
        <v>126.6</v>
      </c>
      <c r="AD73" s="1">
        <f>SUM(Table15[[#This Row],[Housing]],Table15[[#This Row],[Household goods and services]])/2</f>
        <v>149.4</v>
      </c>
      <c r="AE73" s="1">
        <f>SUM(Table15[[#This Row],[Health]])</f>
        <v>149.9</v>
      </c>
      <c r="AF73" s="1">
        <f>SUM(Table15[[#This Row],[Recreation and amusement]],Table15[[#This Row],[Education]])/2</f>
        <v>148.80000000000001</v>
      </c>
      <c r="AG73" s="1">
        <f>SUM(Table15[[#This Row],[Miscellaneous]],Table15[[#This Row],[Personal care and effects]])/2</f>
        <v>140.80000000000001</v>
      </c>
    </row>
    <row r="74" spans="1:33" x14ac:dyDescent="0.3">
      <c r="A74" t="s">
        <v>36</v>
      </c>
      <c r="B74">
        <v>2019</v>
      </c>
      <c r="C74" t="s">
        <v>45</v>
      </c>
      <c r="D74">
        <v>144.1</v>
      </c>
      <c r="E74">
        <v>162.4</v>
      </c>
      <c r="F74">
        <v>148.4</v>
      </c>
      <c r="G74">
        <v>145.9</v>
      </c>
      <c r="H74">
        <v>121.5</v>
      </c>
      <c r="I74">
        <v>148.80000000000001</v>
      </c>
      <c r="J74">
        <v>215.7</v>
      </c>
      <c r="K74">
        <v>134.6</v>
      </c>
      <c r="L74">
        <v>115</v>
      </c>
      <c r="M74">
        <v>146.30000000000001</v>
      </c>
      <c r="N74">
        <v>130.5</v>
      </c>
      <c r="O74">
        <v>157.19999999999999</v>
      </c>
      <c r="P74">
        <v>153.6</v>
      </c>
      <c r="Q74">
        <v>153.5</v>
      </c>
      <c r="R74">
        <v>132.19999999999999</v>
      </c>
      <c r="S74">
        <v>139.1</v>
      </c>
      <c r="T74">
        <v>142.80000000000001</v>
      </c>
      <c r="U74">
        <v>121.7</v>
      </c>
      <c r="V74">
        <v>136.69999999999999</v>
      </c>
      <c r="W74">
        <v>151.80000000000001</v>
      </c>
      <c r="X74">
        <v>139.80000000000001</v>
      </c>
      <c r="Y74">
        <v>136.30000000000001</v>
      </c>
      <c r="Z74">
        <v>147</v>
      </c>
      <c r="AA74" s="1">
        <f>SUM(Table15[[#This Row],[Cereals and products]:[Food and beverages]])/13</f>
        <v>147.99999999999997</v>
      </c>
      <c r="AB74" s="1">
        <f>SUM(Table15[[#This Row],[Fuel and light]])</f>
        <v>132.19999999999999</v>
      </c>
      <c r="AC74" s="1">
        <f>SUM(Table15[[#This Row],[Transport and communication]])</f>
        <v>121.7</v>
      </c>
      <c r="AD74" s="1">
        <f>SUM(Table15[[#This Row],[Housing]],Table15[[#This Row],[Household goods and services]])/2</f>
        <v>146.30000000000001</v>
      </c>
      <c r="AE74" s="1">
        <f>SUM(Table15[[#This Row],[Health]])</f>
        <v>142.80000000000001</v>
      </c>
      <c r="AF74" s="1">
        <f>SUM(Table15[[#This Row],[Recreation and amusement]],Table15[[#This Row],[Education]])/2</f>
        <v>144.25</v>
      </c>
      <c r="AG74" s="1">
        <f>SUM(Table15[[#This Row],[Miscellaneous]],Table15[[#This Row],[Personal care and effects]])/2</f>
        <v>138.05000000000001</v>
      </c>
    </row>
    <row r="75" spans="1:33" x14ac:dyDescent="0.3">
      <c r="A75" t="s">
        <v>33</v>
      </c>
      <c r="B75">
        <v>2018</v>
      </c>
      <c r="C75" t="s">
        <v>45</v>
      </c>
      <c r="D75">
        <v>137.1</v>
      </c>
      <c r="E75">
        <v>150.80000000000001</v>
      </c>
      <c r="F75">
        <v>136.69999999999999</v>
      </c>
      <c r="G75">
        <v>141.9</v>
      </c>
      <c r="H75">
        <v>122.8</v>
      </c>
      <c r="I75">
        <v>143.9</v>
      </c>
      <c r="J75">
        <v>147.5</v>
      </c>
      <c r="K75">
        <v>121</v>
      </c>
      <c r="L75">
        <v>111.6</v>
      </c>
      <c r="M75">
        <v>140.6</v>
      </c>
      <c r="N75">
        <v>137.5</v>
      </c>
      <c r="O75">
        <v>156.1</v>
      </c>
      <c r="P75">
        <v>140</v>
      </c>
      <c r="Q75">
        <v>138.6</v>
      </c>
      <c r="R75">
        <v>150.30000000000001</v>
      </c>
      <c r="S75">
        <v>148</v>
      </c>
      <c r="T75">
        <v>145.4</v>
      </c>
      <c r="U75">
        <v>130.30000000000001</v>
      </c>
      <c r="V75">
        <v>143.1</v>
      </c>
      <c r="W75">
        <v>150.19999999999999</v>
      </c>
      <c r="X75">
        <v>133.1</v>
      </c>
      <c r="Y75">
        <v>140.1</v>
      </c>
      <c r="Z75">
        <v>142.4</v>
      </c>
      <c r="AA75" s="1">
        <f>SUM(Table15[[#This Row],[Cereals and products]:[Food and beverages]])/13</f>
        <v>137.49999999999997</v>
      </c>
      <c r="AB75" s="1">
        <f>SUM(Table15[[#This Row],[Fuel and light]])</f>
        <v>150.30000000000001</v>
      </c>
      <c r="AC75" s="1">
        <f>SUM(Table15[[#This Row],[Transport and communication]])</f>
        <v>130.30000000000001</v>
      </c>
      <c r="AD75" s="1">
        <f>SUM(Table15[[#This Row],[Housing]],Table15[[#This Row],[Household goods and services]])/2</f>
        <v>143.30000000000001</v>
      </c>
      <c r="AE75" s="1">
        <f>SUM(Table15[[#This Row],[Health]])</f>
        <v>145.4</v>
      </c>
      <c r="AF75" s="1">
        <f>SUM(Table15[[#This Row],[Recreation and amusement]],Table15[[#This Row],[Education]])/2</f>
        <v>146.64999999999998</v>
      </c>
      <c r="AG75" s="1">
        <f>SUM(Table15[[#This Row],[Miscellaneous]],Table15[[#This Row],[Personal care and effects]])/2</f>
        <v>136.6</v>
      </c>
    </row>
    <row r="76" spans="1:33" x14ac:dyDescent="0.3">
      <c r="A76" t="s">
        <v>35</v>
      </c>
      <c r="B76">
        <v>2018</v>
      </c>
      <c r="C76" t="s">
        <v>45</v>
      </c>
      <c r="D76">
        <v>137.4</v>
      </c>
      <c r="E76">
        <v>149.19999999999999</v>
      </c>
      <c r="F76">
        <v>137.1</v>
      </c>
      <c r="G76">
        <v>141.80000000000001</v>
      </c>
      <c r="H76">
        <v>121.1</v>
      </c>
      <c r="I76">
        <v>142.80000000000001</v>
      </c>
      <c r="J76">
        <v>146.69999999999999</v>
      </c>
      <c r="K76">
        <v>119.1</v>
      </c>
      <c r="L76">
        <v>111.9</v>
      </c>
      <c r="M76">
        <v>140.9</v>
      </c>
      <c r="N76">
        <v>133.5</v>
      </c>
      <c r="O76">
        <v>154.5</v>
      </c>
      <c r="P76">
        <v>139.69999999999999</v>
      </c>
      <c r="Q76">
        <v>146.9</v>
      </c>
      <c r="R76">
        <v>145.1</v>
      </c>
      <c r="S76">
        <v>142.19999999999999</v>
      </c>
      <c r="T76">
        <v>142.1</v>
      </c>
      <c r="U76">
        <v>125.5</v>
      </c>
      <c r="V76">
        <v>136.5</v>
      </c>
      <c r="W76">
        <v>147.80000000000001</v>
      </c>
      <c r="X76">
        <v>132</v>
      </c>
      <c r="Y76">
        <v>136.30000000000001</v>
      </c>
      <c r="Z76">
        <v>140.80000000000001</v>
      </c>
      <c r="AA76" s="1">
        <f>SUM(Table15[[#This Row],[Cereals and products]:[Food and beverages]])/13</f>
        <v>136.59230769230771</v>
      </c>
      <c r="AB76" s="1">
        <f>SUM(Table15[[#This Row],[Fuel and light]])</f>
        <v>145.1</v>
      </c>
      <c r="AC76" s="1">
        <f>SUM(Table15[[#This Row],[Transport and communication]])</f>
        <v>125.5</v>
      </c>
      <c r="AD76" s="1">
        <f>SUM(Table15[[#This Row],[Housing]],Table15[[#This Row],[Household goods and services]])/2</f>
        <v>144.55000000000001</v>
      </c>
      <c r="AE76" s="1">
        <f>SUM(Table15[[#This Row],[Health]])</f>
        <v>142.1</v>
      </c>
      <c r="AF76" s="1">
        <f>SUM(Table15[[#This Row],[Recreation and amusement]],Table15[[#This Row],[Education]])/2</f>
        <v>142.15</v>
      </c>
      <c r="AG76" s="1">
        <f>SUM(Table15[[#This Row],[Miscellaneous]],Table15[[#This Row],[Personal care and effects]])/2</f>
        <v>134.15</v>
      </c>
    </row>
    <row r="77" spans="1:33" x14ac:dyDescent="0.3">
      <c r="A77" t="s">
        <v>36</v>
      </c>
      <c r="B77">
        <v>2018</v>
      </c>
      <c r="C77" t="s">
        <v>45</v>
      </c>
      <c r="D77">
        <v>138.1</v>
      </c>
      <c r="E77">
        <v>146.30000000000001</v>
      </c>
      <c r="F77">
        <v>137.80000000000001</v>
      </c>
      <c r="G77">
        <v>141.6</v>
      </c>
      <c r="H77">
        <v>118.1</v>
      </c>
      <c r="I77">
        <v>141.5</v>
      </c>
      <c r="J77">
        <v>145.19999999999999</v>
      </c>
      <c r="K77">
        <v>115.3</v>
      </c>
      <c r="L77">
        <v>112.5</v>
      </c>
      <c r="M77">
        <v>141.4</v>
      </c>
      <c r="N77">
        <v>128</v>
      </c>
      <c r="O77">
        <v>152.6</v>
      </c>
      <c r="P77">
        <v>139.1</v>
      </c>
      <c r="Q77">
        <v>146.9</v>
      </c>
      <c r="R77">
        <v>136.69999999999999</v>
      </c>
      <c r="S77">
        <v>135.80000000000001</v>
      </c>
      <c r="T77">
        <v>136.80000000000001</v>
      </c>
      <c r="U77">
        <v>121.2</v>
      </c>
      <c r="V77">
        <v>131.30000000000001</v>
      </c>
      <c r="W77">
        <v>146.1</v>
      </c>
      <c r="X77">
        <v>130.5</v>
      </c>
      <c r="Y77">
        <v>132.19999999999999</v>
      </c>
      <c r="Z77">
        <v>139</v>
      </c>
      <c r="AA77" s="1">
        <f>SUM(Table15[[#This Row],[Cereals and products]:[Food and beverages]])/13</f>
        <v>135.19230769230768</v>
      </c>
      <c r="AB77" s="1">
        <f>SUM(Table15[[#This Row],[Fuel and light]])</f>
        <v>136.69999999999999</v>
      </c>
      <c r="AC77" s="1">
        <f>SUM(Table15[[#This Row],[Transport and communication]])</f>
        <v>121.2</v>
      </c>
      <c r="AD77" s="1">
        <f>SUM(Table15[[#This Row],[Housing]],Table15[[#This Row],[Household goods and services]])/2</f>
        <v>141.35000000000002</v>
      </c>
      <c r="AE77" s="1">
        <f>SUM(Table15[[#This Row],[Health]])</f>
        <v>136.80000000000001</v>
      </c>
      <c r="AF77" s="1">
        <f>SUM(Table15[[#This Row],[Recreation and amusement]],Table15[[#This Row],[Education]])/2</f>
        <v>138.69999999999999</v>
      </c>
      <c r="AG77" s="1">
        <f>SUM(Table15[[#This Row],[Miscellaneous]],Table15[[#This Row],[Personal care and effects]])/2</f>
        <v>131.35</v>
      </c>
    </row>
    <row r="78" spans="1:33" x14ac:dyDescent="0.3">
      <c r="A78" t="s">
        <v>36</v>
      </c>
      <c r="B78">
        <v>2017</v>
      </c>
      <c r="C78" t="s">
        <v>45</v>
      </c>
      <c r="D78">
        <v>134.30000000000001</v>
      </c>
      <c r="E78">
        <v>142.1</v>
      </c>
      <c r="F78">
        <v>146.69999999999999</v>
      </c>
      <c r="G78">
        <v>139.5</v>
      </c>
      <c r="H78">
        <v>115.2</v>
      </c>
      <c r="I78">
        <v>136.4</v>
      </c>
      <c r="J78">
        <v>185.2</v>
      </c>
      <c r="K78">
        <v>122.2</v>
      </c>
      <c r="L78">
        <v>123.9</v>
      </c>
      <c r="M78">
        <v>138.30000000000001</v>
      </c>
      <c r="N78">
        <v>125.4</v>
      </c>
      <c r="O78">
        <v>146</v>
      </c>
      <c r="P78">
        <v>141.5</v>
      </c>
      <c r="Q78">
        <v>138.6</v>
      </c>
      <c r="R78">
        <v>125.7</v>
      </c>
      <c r="S78">
        <v>128.80000000000001</v>
      </c>
      <c r="T78">
        <v>127.4</v>
      </c>
      <c r="U78">
        <v>115.3</v>
      </c>
      <c r="V78">
        <v>125.1</v>
      </c>
      <c r="W78">
        <v>136.6</v>
      </c>
      <c r="X78">
        <v>124.9</v>
      </c>
      <c r="Y78">
        <v>124.9</v>
      </c>
      <c r="Z78">
        <v>134.80000000000001</v>
      </c>
      <c r="AA78" s="1">
        <f>SUM(Table15[[#This Row],[Cereals and products]:[Food and beverages]])/13</f>
        <v>138.2076923076923</v>
      </c>
      <c r="AB78" s="1">
        <f>SUM(Table15[[#This Row],[Fuel and light]])</f>
        <v>125.7</v>
      </c>
      <c r="AC78" s="1">
        <f>SUM(Table15[[#This Row],[Transport and communication]])</f>
        <v>115.3</v>
      </c>
      <c r="AD78" s="1">
        <f>SUM(Table15[[#This Row],[Housing]],Table15[[#This Row],[Household goods and services]])/2</f>
        <v>133.69999999999999</v>
      </c>
      <c r="AE78" s="1">
        <f>SUM(Table15[[#This Row],[Health]])</f>
        <v>127.4</v>
      </c>
      <c r="AF78" s="1">
        <f>SUM(Table15[[#This Row],[Recreation and amusement]],Table15[[#This Row],[Education]])/2</f>
        <v>130.85</v>
      </c>
      <c r="AG78" s="1">
        <f>SUM(Table15[[#This Row],[Miscellaneous]],Table15[[#This Row],[Personal care and effects]])/2</f>
        <v>124.9</v>
      </c>
    </row>
    <row r="79" spans="1:33" x14ac:dyDescent="0.3">
      <c r="A79" t="s">
        <v>35</v>
      </c>
      <c r="B79">
        <v>2017</v>
      </c>
      <c r="C79" t="s">
        <v>45</v>
      </c>
      <c r="D79">
        <v>135.69999999999999</v>
      </c>
      <c r="E79">
        <v>142.4</v>
      </c>
      <c r="F79">
        <v>142.9</v>
      </c>
      <c r="G79">
        <v>140.80000000000001</v>
      </c>
      <c r="H79">
        <v>119.2</v>
      </c>
      <c r="I79">
        <v>142.19999999999999</v>
      </c>
      <c r="J79">
        <v>173.8</v>
      </c>
      <c r="K79">
        <v>131.19999999999999</v>
      </c>
      <c r="L79">
        <v>123</v>
      </c>
      <c r="M79">
        <v>136.80000000000001</v>
      </c>
      <c r="N79">
        <v>129.19999999999999</v>
      </c>
      <c r="O79">
        <v>148.9</v>
      </c>
      <c r="P79">
        <v>142.1</v>
      </c>
      <c r="Q79">
        <v>138.6</v>
      </c>
      <c r="R79">
        <v>135.30000000000001</v>
      </c>
      <c r="S79">
        <v>134.4</v>
      </c>
      <c r="T79">
        <v>132.6</v>
      </c>
      <c r="U79">
        <v>118.3</v>
      </c>
      <c r="V79">
        <v>128.9</v>
      </c>
      <c r="W79">
        <v>138.6</v>
      </c>
      <c r="X79">
        <v>126.8</v>
      </c>
      <c r="Y79">
        <v>128.4</v>
      </c>
      <c r="Z79">
        <v>137.6</v>
      </c>
      <c r="AA79" s="1">
        <f>SUM(Table15[[#This Row],[Cereals and products]:[Food and beverages]])/13</f>
        <v>139.09230769230768</v>
      </c>
      <c r="AB79" s="1">
        <f>SUM(Table15[[#This Row],[Fuel and light]])</f>
        <v>135.30000000000001</v>
      </c>
      <c r="AC79" s="1">
        <f>SUM(Table15[[#This Row],[Transport and communication]])</f>
        <v>118.3</v>
      </c>
      <c r="AD79" s="1">
        <f>SUM(Table15[[#This Row],[Housing]],Table15[[#This Row],[Household goods and services]])/2</f>
        <v>136.5</v>
      </c>
      <c r="AE79" s="1">
        <f>SUM(Table15[[#This Row],[Health]])</f>
        <v>132.6</v>
      </c>
      <c r="AF79" s="1">
        <f>SUM(Table15[[#This Row],[Recreation and amusement]],Table15[[#This Row],[Education]])/2</f>
        <v>133.75</v>
      </c>
      <c r="AG79" s="1">
        <f>SUM(Table15[[#This Row],[Miscellaneous]],Table15[[#This Row],[Personal care and effects]])/2</f>
        <v>127.6</v>
      </c>
    </row>
    <row r="80" spans="1:33" x14ac:dyDescent="0.3">
      <c r="A80" t="s">
        <v>33</v>
      </c>
      <c r="B80">
        <v>2017</v>
      </c>
      <c r="C80" t="s">
        <v>45</v>
      </c>
      <c r="D80">
        <v>136.30000000000001</v>
      </c>
      <c r="E80">
        <v>142.5</v>
      </c>
      <c r="F80">
        <v>140.5</v>
      </c>
      <c r="G80">
        <v>141.5</v>
      </c>
      <c r="H80">
        <v>121.6</v>
      </c>
      <c r="I80">
        <v>147.30000000000001</v>
      </c>
      <c r="J80">
        <v>168</v>
      </c>
      <c r="K80">
        <v>135.80000000000001</v>
      </c>
      <c r="L80">
        <v>122.5</v>
      </c>
      <c r="M80">
        <v>136</v>
      </c>
      <c r="N80">
        <v>131.9</v>
      </c>
      <c r="O80">
        <v>151.4</v>
      </c>
      <c r="P80">
        <v>142.4</v>
      </c>
      <c r="Q80">
        <v>138.6</v>
      </c>
      <c r="R80">
        <v>141.1</v>
      </c>
      <c r="S80">
        <v>139.4</v>
      </c>
      <c r="T80">
        <v>135.80000000000001</v>
      </c>
      <c r="U80">
        <v>121.6</v>
      </c>
      <c r="V80">
        <v>133.69999999999999</v>
      </c>
      <c r="W80">
        <v>141.5</v>
      </c>
      <c r="X80">
        <v>128.1</v>
      </c>
      <c r="Y80">
        <v>131.69999999999999</v>
      </c>
      <c r="Z80">
        <v>140</v>
      </c>
      <c r="AA80" s="1">
        <f>SUM(Table15[[#This Row],[Cereals and products]:[Food and beverages]])/13</f>
        <v>139.82307692307694</v>
      </c>
      <c r="AB80" s="1">
        <f>SUM(Table15[[#This Row],[Fuel and light]])</f>
        <v>141.1</v>
      </c>
      <c r="AC80" s="1">
        <f>SUM(Table15[[#This Row],[Transport and communication]])</f>
        <v>121.6</v>
      </c>
      <c r="AD80" s="1">
        <f>SUM(Table15[[#This Row],[Housing]],Table15[[#This Row],[Household goods and services]])/2</f>
        <v>139</v>
      </c>
      <c r="AE80" s="1">
        <f>SUM(Table15[[#This Row],[Health]])</f>
        <v>135.80000000000001</v>
      </c>
      <c r="AF80" s="1">
        <f>SUM(Table15[[#This Row],[Recreation and amusement]],Table15[[#This Row],[Education]])/2</f>
        <v>137.6</v>
      </c>
      <c r="AG80" s="1">
        <f>SUM(Table15[[#This Row],[Miscellaneous]],Table15[[#This Row],[Personal care and effects]])/2</f>
        <v>129.89999999999998</v>
      </c>
    </row>
    <row r="81" spans="1:33" x14ac:dyDescent="0.3">
      <c r="A81" t="s">
        <v>36</v>
      </c>
      <c r="B81">
        <v>2016</v>
      </c>
      <c r="C81" t="s">
        <v>45</v>
      </c>
      <c r="D81">
        <v>130.19999999999999</v>
      </c>
      <c r="E81">
        <v>138.5</v>
      </c>
      <c r="F81">
        <v>134.1</v>
      </c>
      <c r="G81">
        <v>132.9</v>
      </c>
      <c r="H81">
        <v>112.6</v>
      </c>
      <c r="I81">
        <v>130.80000000000001</v>
      </c>
      <c r="J81">
        <v>142</v>
      </c>
      <c r="K81">
        <v>174.9</v>
      </c>
      <c r="L81">
        <v>115.6</v>
      </c>
      <c r="M81">
        <v>145.4</v>
      </c>
      <c r="N81">
        <v>122.7</v>
      </c>
      <c r="O81">
        <v>140.30000000000001</v>
      </c>
      <c r="P81">
        <v>135.19999999999999</v>
      </c>
      <c r="Q81">
        <v>129.1</v>
      </c>
      <c r="R81">
        <v>116.2</v>
      </c>
      <c r="S81">
        <v>124.7</v>
      </c>
      <c r="T81">
        <v>122.1</v>
      </c>
      <c r="U81">
        <v>113.4</v>
      </c>
      <c r="V81">
        <v>121.7</v>
      </c>
      <c r="W81">
        <v>132.1</v>
      </c>
      <c r="X81">
        <v>121.3</v>
      </c>
      <c r="Y81">
        <v>121.3</v>
      </c>
      <c r="Z81">
        <v>128.5</v>
      </c>
      <c r="AA81" s="1">
        <f>SUM(Table15[[#This Row],[Cereals and products]:[Food and beverages]])/13</f>
        <v>135.01538461538462</v>
      </c>
      <c r="AB81" s="1">
        <f>SUM(Table15[[#This Row],[Fuel and light]])</f>
        <v>116.2</v>
      </c>
      <c r="AC81" s="1">
        <f>SUM(Table15[[#This Row],[Transport and communication]])</f>
        <v>113.4</v>
      </c>
      <c r="AD81" s="1">
        <f>SUM(Table15[[#This Row],[Housing]],Table15[[#This Row],[Household goods and services]])/2</f>
        <v>126.9</v>
      </c>
      <c r="AE81" s="1">
        <f>SUM(Table15[[#This Row],[Health]])</f>
        <v>122.1</v>
      </c>
      <c r="AF81" s="1">
        <f>SUM(Table15[[#This Row],[Recreation and amusement]],Table15[[#This Row],[Education]])/2</f>
        <v>126.9</v>
      </c>
      <c r="AG81" s="1">
        <f>SUM(Table15[[#This Row],[Miscellaneous]],Table15[[#This Row],[Personal care and effects]])/2</f>
        <v>121.3</v>
      </c>
    </row>
    <row r="82" spans="1:33" x14ac:dyDescent="0.3">
      <c r="A82" t="s">
        <v>35</v>
      </c>
      <c r="B82">
        <v>2016</v>
      </c>
      <c r="C82" t="s">
        <v>45</v>
      </c>
      <c r="D82">
        <v>131.4</v>
      </c>
      <c r="E82">
        <v>137.80000000000001</v>
      </c>
      <c r="F82">
        <v>132</v>
      </c>
      <c r="G82">
        <v>135</v>
      </c>
      <c r="H82">
        <v>118</v>
      </c>
      <c r="I82">
        <v>134.1</v>
      </c>
      <c r="J82">
        <v>141.9</v>
      </c>
      <c r="K82">
        <v>171.7</v>
      </c>
      <c r="L82">
        <v>114.1</v>
      </c>
      <c r="M82">
        <v>139.69999999999999</v>
      </c>
      <c r="N82">
        <v>126.2</v>
      </c>
      <c r="O82">
        <v>141.80000000000001</v>
      </c>
      <c r="P82">
        <v>136.1</v>
      </c>
      <c r="Q82">
        <v>129.1</v>
      </c>
      <c r="R82">
        <v>125</v>
      </c>
      <c r="S82">
        <v>128.6</v>
      </c>
      <c r="T82">
        <v>126.4</v>
      </c>
      <c r="U82">
        <v>115.7</v>
      </c>
      <c r="V82">
        <v>124</v>
      </c>
      <c r="W82">
        <v>132.80000000000001</v>
      </c>
      <c r="X82">
        <v>122.6</v>
      </c>
      <c r="Y82">
        <v>123.8</v>
      </c>
      <c r="Z82">
        <v>131.19999999999999</v>
      </c>
      <c r="AA82" s="1">
        <f>SUM(Table15[[#This Row],[Cereals and products]:[Food and beverages]])/13</f>
        <v>135.36923076923077</v>
      </c>
      <c r="AB82" s="1">
        <f>SUM(Table15[[#This Row],[Fuel and light]])</f>
        <v>125</v>
      </c>
      <c r="AC82" s="1">
        <f>SUM(Table15[[#This Row],[Transport and communication]])</f>
        <v>115.7</v>
      </c>
      <c r="AD82" s="1">
        <f>SUM(Table15[[#This Row],[Housing]],Table15[[#This Row],[Household goods and services]])/2</f>
        <v>128.85</v>
      </c>
      <c r="AE82" s="1">
        <f>SUM(Table15[[#This Row],[Health]])</f>
        <v>126.4</v>
      </c>
      <c r="AF82" s="1">
        <f>SUM(Table15[[#This Row],[Recreation and amusement]],Table15[[#This Row],[Education]])/2</f>
        <v>128.4</v>
      </c>
      <c r="AG82" s="1">
        <f>SUM(Table15[[#This Row],[Miscellaneous]],Table15[[#This Row],[Personal care and effects]])/2</f>
        <v>123.19999999999999</v>
      </c>
    </row>
    <row r="83" spans="1:33" x14ac:dyDescent="0.3">
      <c r="A83" t="s">
        <v>33</v>
      </c>
      <c r="B83">
        <v>2016</v>
      </c>
      <c r="C83" t="s">
        <v>45</v>
      </c>
      <c r="D83">
        <v>132</v>
      </c>
      <c r="E83">
        <v>137.4</v>
      </c>
      <c r="F83">
        <v>130.6</v>
      </c>
      <c r="G83">
        <v>136.19999999999999</v>
      </c>
      <c r="H83">
        <v>121.1</v>
      </c>
      <c r="I83">
        <v>136.9</v>
      </c>
      <c r="J83">
        <v>141.80000000000001</v>
      </c>
      <c r="K83">
        <v>170</v>
      </c>
      <c r="L83">
        <v>113.4</v>
      </c>
      <c r="M83">
        <v>136.80000000000001</v>
      </c>
      <c r="N83">
        <v>128.69999999999999</v>
      </c>
      <c r="O83">
        <v>143.1</v>
      </c>
      <c r="P83">
        <v>136.6</v>
      </c>
      <c r="Q83">
        <v>129.1</v>
      </c>
      <c r="R83">
        <v>130.30000000000001</v>
      </c>
      <c r="S83">
        <v>132.1</v>
      </c>
      <c r="T83">
        <v>129.1</v>
      </c>
      <c r="U83">
        <v>118.2</v>
      </c>
      <c r="V83">
        <v>126.9</v>
      </c>
      <c r="W83">
        <v>133.69999999999999</v>
      </c>
      <c r="X83">
        <v>123.5</v>
      </c>
      <c r="Y83">
        <v>126.1</v>
      </c>
      <c r="Z83">
        <v>133.6</v>
      </c>
      <c r="AA83" s="1">
        <f>SUM(Table15[[#This Row],[Cereals and products]:[Food and beverages]])/13</f>
        <v>135.73846153846154</v>
      </c>
      <c r="AB83" s="1">
        <f>SUM(Table15[[#This Row],[Fuel and light]])</f>
        <v>130.30000000000001</v>
      </c>
      <c r="AC83" s="1">
        <f>SUM(Table15[[#This Row],[Transport and communication]])</f>
        <v>118.2</v>
      </c>
      <c r="AD83" s="1">
        <f>SUM(Table15[[#This Row],[Housing]],Table15[[#This Row],[Household goods and services]])/2</f>
        <v>130.6</v>
      </c>
      <c r="AE83" s="1">
        <f>SUM(Table15[[#This Row],[Health]])</f>
        <v>129.1</v>
      </c>
      <c r="AF83" s="1">
        <f>SUM(Table15[[#This Row],[Recreation and amusement]],Table15[[#This Row],[Education]])/2</f>
        <v>130.30000000000001</v>
      </c>
      <c r="AG83" s="1">
        <f>SUM(Table15[[#This Row],[Miscellaneous]],Table15[[#This Row],[Personal care and effects]])/2</f>
        <v>124.8</v>
      </c>
    </row>
    <row r="84" spans="1:33" x14ac:dyDescent="0.3">
      <c r="A84" t="s">
        <v>36</v>
      </c>
      <c r="B84">
        <v>2015</v>
      </c>
      <c r="C84" t="s">
        <v>45</v>
      </c>
      <c r="D84">
        <v>124</v>
      </c>
      <c r="E84">
        <v>129.80000000000001</v>
      </c>
      <c r="F84">
        <v>121.5</v>
      </c>
      <c r="G84">
        <v>128.6</v>
      </c>
      <c r="H84">
        <v>110</v>
      </c>
      <c r="I84">
        <v>123.7</v>
      </c>
      <c r="J84">
        <v>164.6</v>
      </c>
      <c r="K84">
        <v>191.6</v>
      </c>
      <c r="L84">
        <v>90.8</v>
      </c>
      <c r="M84">
        <v>137.1</v>
      </c>
      <c r="N84">
        <v>119.8</v>
      </c>
      <c r="O84">
        <v>133.69999999999999</v>
      </c>
      <c r="P84">
        <v>133.30000000000001</v>
      </c>
      <c r="Q84">
        <v>122.9</v>
      </c>
      <c r="R84">
        <v>115.1</v>
      </c>
      <c r="S84">
        <v>121</v>
      </c>
      <c r="T84">
        <v>118.1</v>
      </c>
      <c r="U84">
        <v>109.3</v>
      </c>
      <c r="V84">
        <v>117.9</v>
      </c>
      <c r="W84">
        <v>126.6</v>
      </c>
      <c r="X84">
        <v>113.3</v>
      </c>
      <c r="Y84">
        <v>116.6</v>
      </c>
      <c r="Z84">
        <v>124.6</v>
      </c>
      <c r="AA84" s="1">
        <f>SUM(Table15[[#This Row],[Cereals and products]:[Food and beverages]])/13</f>
        <v>131.42307692307691</v>
      </c>
      <c r="AB84" s="1">
        <f>SUM(Table15[[#This Row],[Fuel and light]])</f>
        <v>115.1</v>
      </c>
      <c r="AC84" s="1">
        <f>SUM(Table15[[#This Row],[Transport and communication]])</f>
        <v>109.3</v>
      </c>
      <c r="AD84" s="1">
        <f>SUM(Table15[[#This Row],[Housing]],Table15[[#This Row],[Household goods and services]])/2</f>
        <v>121.95</v>
      </c>
      <c r="AE84" s="1">
        <f>SUM(Table15[[#This Row],[Health]])</f>
        <v>118.1</v>
      </c>
      <c r="AF84" s="1">
        <f>SUM(Table15[[#This Row],[Recreation and amusement]],Table15[[#This Row],[Education]])/2</f>
        <v>122.25</v>
      </c>
      <c r="AG84" s="1">
        <f>SUM(Table15[[#This Row],[Miscellaneous]],Table15[[#This Row],[Personal care and effects]])/2</f>
        <v>114.94999999999999</v>
      </c>
    </row>
    <row r="85" spans="1:33" x14ac:dyDescent="0.3">
      <c r="A85" t="s">
        <v>35</v>
      </c>
      <c r="B85">
        <v>2015</v>
      </c>
      <c r="C85" t="s">
        <v>45</v>
      </c>
      <c r="D85">
        <v>125.4</v>
      </c>
      <c r="E85">
        <v>130.30000000000001</v>
      </c>
      <c r="F85">
        <v>121.6</v>
      </c>
      <c r="G85">
        <v>129.19999999999999</v>
      </c>
      <c r="H85">
        <v>114.9</v>
      </c>
      <c r="I85">
        <v>128.19999999999999</v>
      </c>
      <c r="J85">
        <v>158.4</v>
      </c>
      <c r="K85">
        <v>171.2</v>
      </c>
      <c r="L85">
        <v>93.3</v>
      </c>
      <c r="M85">
        <v>131.19999999999999</v>
      </c>
      <c r="N85">
        <v>121.7</v>
      </c>
      <c r="O85">
        <v>134</v>
      </c>
      <c r="P85">
        <v>132.69999999999999</v>
      </c>
      <c r="Q85">
        <v>122.9</v>
      </c>
      <c r="R85">
        <v>121.6</v>
      </c>
      <c r="S85">
        <v>123.4</v>
      </c>
      <c r="T85">
        <v>120.9</v>
      </c>
      <c r="U85">
        <v>111.5</v>
      </c>
      <c r="V85">
        <v>119.2</v>
      </c>
      <c r="W85">
        <v>126.3</v>
      </c>
      <c r="X85">
        <v>113.8</v>
      </c>
      <c r="Y85">
        <v>118.1</v>
      </c>
      <c r="Z85">
        <v>126.6</v>
      </c>
      <c r="AA85" s="1">
        <f>SUM(Table15[[#This Row],[Cereals and products]:[Food and beverages]])/13</f>
        <v>130.16153846153844</v>
      </c>
      <c r="AB85" s="1">
        <f>SUM(Table15[[#This Row],[Fuel and light]])</f>
        <v>121.6</v>
      </c>
      <c r="AC85" s="1">
        <f>SUM(Table15[[#This Row],[Transport and communication]])</f>
        <v>111.5</v>
      </c>
      <c r="AD85" s="1">
        <f>SUM(Table15[[#This Row],[Housing]],Table15[[#This Row],[Household goods and services]])/2</f>
        <v>123.15</v>
      </c>
      <c r="AE85" s="1">
        <f>SUM(Table15[[#This Row],[Health]])</f>
        <v>120.9</v>
      </c>
      <c r="AF85" s="1">
        <f>SUM(Table15[[#This Row],[Recreation and amusement]],Table15[[#This Row],[Education]])/2</f>
        <v>122.75</v>
      </c>
      <c r="AG85" s="1">
        <f>SUM(Table15[[#This Row],[Miscellaneous]],Table15[[#This Row],[Personal care and effects]])/2</f>
        <v>115.94999999999999</v>
      </c>
    </row>
    <row r="86" spans="1:33" x14ac:dyDescent="0.3">
      <c r="A86" t="s">
        <v>33</v>
      </c>
      <c r="B86">
        <v>2015</v>
      </c>
      <c r="C86" t="s">
        <v>45</v>
      </c>
      <c r="D86">
        <v>126.1</v>
      </c>
      <c r="E86">
        <v>130.6</v>
      </c>
      <c r="F86">
        <v>121.7</v>
      </c>
      <c r="G86">
        <v>129.5</v>
      </c>
      <c r="H86">
        <v>117.8</v>
      </c>
      <c r="I86">
        <v>132.1</v>
      </c>
      <c r="J86">
        <v>155.19999999999999</v>
      </c>
      <c r="K86">
        <v>160.80000000000001</v>
      </c>
      <c r="L86">
        <v>94.5</v>
      </c>
      <c r="M86">
        <v>128.30000000000001</v>
      </c>
      <c r="N86">
        <v>123.1</v>
      </c>
      <c r="O86">
        <v>134.19999999999999</v>
      </c>
      <c r="P86">
        <v>132.4</v>
      </c>
      <c r="Q86">
        <v>122.9</v>
      </c>
      <c r="R86">
        <v>125.6</v>
      </c>
      <c r="S86">
        <v>125.6</v>
      </c>
      <c r="T86">
        <v>122.6</v>
      </c>
      <c r="U86">
        <v>114</v>
      </c>
      <c r="V86">
        <v>120.9</v>
      </c>
      <c r="W86">
        <v>125.8</v>
      </c>
      <c r="X86">
        <v>114.2</v>
      </c>
      <c r="Y86">
        <v>119.6</v>
      </c>
      <c r="Z86">
        <v>128.30000000000001</v>
      </c>
      <c r="AA86" s="1">
        <f>SUM(Table15[[#This Row],[Cereals and products]:[Food and beverages]])/13</f>
        <v>129.71538461538461</v>
      </c>
      <c r="AB86" s="1">
        <f>SUM(Table15[[#This Row],[Fuel and light]])</f>
        <v>125.6</v>
      </c>
      <c r="AC86" s="1">
        <f>SUM(Table15[[#This Row],[Transport and communication]])</f>
        <v>114</v>
      </c>
      <c r="AD86" s="1">
        <f>SUM(Table15[[#This Row],[Housing]],Table15[[#This Row],[Household goods and services]])/2</f>
        <v>124.25</v>
      </c>
      <c r="AE86" s="1">
        <f>SUM(Table15[[#This Row],[Health]])</f>
        <v>122.6</v>
      </c>
      <c r="AF86" s="1">
        <f>SUM(Table15[[#This Row],[Recreation and amusement]],Table15[[#This Row],[Education]])/2</f>
        <v>123.35</v>
      </c>
      <c r="AG86" s="1">
        <f>SUM(Table15[[#This Row],[Miscellaneous]],Table15[[#This Row],[Personal care and effects]])/2</f>
        <v>116.9</v>
      </c>
    </row>
    <row r="87" spans="1:33" x14ac:dyDescent="0.3">
      <c r="A87" t="s">
        <v>33</v>
      </c>
      <c r="B87">
        <v>2014</v>
      </c>
      <c r="C87" t="s">
        <v>45</v>
      </c>
      <c r="D87">
        <v>122.7</v>
      </c>
      <c r="E87">
        <v>122.6</v>
      </c>
      <c r="F87">
        <v>119.9</v>
      </c>
      <c r="G87">
        <v>124</v>
      </c>
      <c r="H87">
        <v>110.5</v>
      </c>
      <c r="I87">
        <v>128.80000000000001</v>
      </c>
      <c r="J87">
        <v>152</v>
      </c>
      <c r="K87">
        <v>116.2</v>
      </c>
      <c r="L87">
        <v>103.3</v>
      </c>
      <c r="M87">
        <v>115.8</v>
      </c>
      <c r="N87">
        <v>116.8</v>
      </c>
      <c r="O87">
        <v>124.5</v>
      </c>
      <c r="P87">
        <v>124.9</v>
      </c>
      <c r="Q87">
        <v>111.1</v>
      </c>
      <c r="R87">
        <v>117.3</v>
      </c>
      <c r="S87">
        <v>118.1</v>
      </c>
      <c r="T87">
        <v>115.9</v>
      </c>
      <c r="U87">
        <v>112</v>
      </c>
      <c r="V87">
        <v>113.3</v>
      </c>
      <c r="W87">
        <v>117.2</v>
      </c>
      <c r="X87">
        <v>108.8</v>
      </c>
      <c r="Y87">
        <v>114.1</v>
      </c>
      <c r="Z87">
        <v>121.1</v>
      </c>
      <c r="AA87" s="1">
        <f>SUM(Table15[[#This Row],[Cereals and products]:[Food and beverages]])/13</f>
        <v>121.69230769230769</v>
      </c>
      <c r="AB87" s="1">
        <f>SUM(Table15[[#This Row],[Fuel and light]])</f>
        <v>117.3</v>
      </c>
      <c r="AC87" s="1">
        <f>SUM(Table15[[#This Row],[Transport and communication]])</f>
        <v>112</v>
      </c>
      <c r="AD87" s="1">
        <f>SUM(Table15[[#This Row],[Housing]],Table15[[#This Row],[Household goods and services]])/2</f>
        <v>114.6</v>
      </c>
      <c r="AE87" s="1">
        <f>SUM(Table15[[#This Row],[Health]])</f>
        <v>115.9</v>
      </c>
      <c r="AF87" s="1">
        <f>SUM(Table15[[#This Row],[Recreation and amusement]],Table15[[#This Row],[Education]])/2</f>
        <v>115.25</v>
      </c>
      <c r="AG87" s="1">
        <f>SUM(Table15[[#This Row],[Miscellaneous]],Table15[[#This Row],[Personal care and effects]])/2</f>
        <v>111.44999999999999</v>
      </c>
    </row>
    <row r="88" spans="1:33" x14ac:dyDescent="0.3">
      <c r="A88" t="s">
        <v>35</v>
      </c>
      <c r="B88">
        <v>2014</v>
      </c>
      <c r="C88" t="s">
        <v>45</v>
      </c>
      <c r="D88">
        <v>123.3</v>
      </c>
      <c r="E88">
        <v>123.7</v>
      </c>
      <c r="F88">
        <v>121</v>
      </c>
      <c r="G88">
        <v>124.2</v>
      </c>
      <c r="H88">
        <v>107.8</v>
      </c>
      <c r="I88">
        <v>125.7</v>
      </c>
      <c r="J88">
        <v>152.4</v>
      </c>
      <c r="K88">
        <v>117.2</v>
      </c>
      <c r="L88">
        <v>102.1</v>
      </c>
      <c r="M88">
        <v>118.7</v>
      </c>
      <c r="N88">
        <v>116.4</v>
      </c>
      <c r="O88">
        <v>125.6</v>
      </c>
      <c r="P88">
        <v>125.1</v>
      </c>
      <c r="Q88">
        <v>117.1</v>
      </c>
      <c r="R88">
        <v>115.5</v>
      </c>
      <c r="S88">
        <v>117.3</v>
      </c>
      <c r="T88">
        <v>114.8</v>
      </c>
      <c r="U88">
        <v>110.8</v>
      </c>
      <c r="V88">
        <v>113.7</v>
      </c>
      <c r="W88">
        <v>119</v>
      </c>
      <c r="X88">
        <v>109.1</v>
      </c>
      <c r="Y88">
        <v>113.8</v>
      </c>
      <c r="Z88">
        <v>120.1</v>
      </c>
      <c r="AA88" s="1">
        <f>SUM(Table15[[#This Row],[Cereals and products]:[Food and beverages]])/13</f>
        <v>121.78461538461539</v>
      </c>
      <c r="AB88" s="1">
        <f>SUM(Table15[[#This Row],[Fuel and light]])</f>
        <v>115.5</v>
      </c>
      <c r="AC88" s="1">
        <f>SUM(Table15[[#This Row],[Transport and communication]])</f>
        <v>110.8</v>
      </c>
      <c r="AD88" s="1">
        <f>SUM(Table15[[#This Row],[Housing]],Table15[[#This Row],[Household goods and services]])/2</f>
        <v>117.19999999999999</v>
      </c>
      <c r="AE88" s="1">
        <f>SUM(Table15[[#This Row],[Health]])</f>
        <v>114.8</v>
      </c>
      <c r="AF88" s="1">
        <f>SUM(Table15[[#This Row],[Recreation and amusement]],Table15[[#This Row],[Education]])/2</f>
        <v>116.35</v>
      </c>
      <c r="AG88" s="1">
        <f>SUM(Table15[[#This Row],[Miscellaneous]],Table15[[#This Row],[Personal care and effects]])/2</f>
        <v>111.44999999999999</v>
      </c>
    </row>
    <row r="89" spans="1:33" x14ac:dyDescent="0.3">
      <c r="A89" t="s">
        <v>36</v>
      </c>
      <c r="B89">
        <v>2014</v>
      </c>
      <c r="C89" t="s">
        <v>45</v>
      </c>
      <c r="D89">
        <v>124.5</v>
      </c>
      <c r="E89">
        <v>125.6</v>
      </c>
      <c r="F89">
        <v>122.7</v>
      </c>
      <c r="G89">
        <v>124.6</v>
      </c>
      <c r="H89">
        <v>103.2</v>
      </c>
      <c r="I89">
        <v>122.2</v>
      </c>
      <c r="J89">
        <v>153.19999999999999</v>
      </c>
      <c r="K89">
        <v>119.3</v>
      </c>
      <c r="L89">
        <v>99.8</v>
      </c>
      <c r="M89">
        <v>124.6</v>
      </c>
      <c r="N89">
        <v>115.8</v>
      </c>
      <c r="O89">
        <v>126.9</v>
      </c>
      <c r="P89">
        <v>125.4</v>
      </c>
      <c r="Q89">
        <v>117.1</v>
      </c>
      <c r="R89">
        <v>112.6</v>
      </c>
      <c r="S89">
        <v>116.4</v>
      </c>
      <c r="T89">
        <v>113</v>
      </c>
      <c r="U89">
        <v>109.7</v>
      </c>
      <c r="V89">
        <v>114</v>
      </c>
      <c r="W89">
        <v>120.3</v>
      </c>
      <c r="X89">
        <v>109.6</v>
      </c>
      <c r="Y89">
        <v>113.4</v>
      </c>
      <c r="Z89">
        <v>119</v>
      </c>
      <c r="AA89" s="1">
        <f>SUM(Table15[[#This Row],[Cereals and products]:[Food and beverages]])/13</f>
        <v>122.13846153846154</v>
      </c>
      <c r="AB89" s="1">
        <f>SUM(Table15[[#This Row],[Fuel and light]])</f>
        <v>112.6</v>
      </c>
      <c r="AC89" s="1">
        <f>SUM(Table15[[#This Row],[Transport and communication]])</f>
        <v>109.7</v>
      </c>
      <c r="AD89" s="1">
        <f>SUM(Table15[[#This Row],[Housing]],Table15[[#This Row],[Household goods and services]])/2</f>
        <v>116.75</v>
      </c>
      <c r="AE89" s="1">
        <f>SUM(Table15[[#This Row],[Health]])</f>
        <v>113</v>
      </c>
      <c r="AF89" s="1">
        <f>SUM(Table15[[#This Row],[Recreation and amusement]],Table15[[#This Row],[Education]])/2</f>
        <v>117.15</v>
      </c>
      <c r="AG89" s="1">
        <f>SUM(Table15[[#This Row],[Miscellaneous]],Table15[[#This Row],[Personal care and effects]])/2</f>
        <v>111.5</v>
      </c>
    </row>
    <row r="90" spans="1:33" x14ac:dyDescent="0.3">
      <c r="A90" t="s">
        <v>35</v>
      </c>
      <c r="B90">
        <v>2013</v>
      </c>
      <c r="C90" t="s">
        <v>45</v>
      </c>
      <c r="D90">
        <v>118.1</v>
      </c>
      <c r="E90">
        <v>115.4</v>
      </c>
      <c r="F90">
        <v>118.7</v>
      </c>
      <c r="G90">
        <v>112.5</v>
      </c>
      <c r="H90">
        <v>106.8</v>
      </c>
      <c r="I90">
        <v>113.5</v>
      </c>
      <c r="J90">
        <v>183.1</v>
      </c>
      <c r="K90">
        <v>108.2</v>
      </c>
      <c r="L90">
        <v>102.2</v>
      </c>
      <c r="M90">
        <v>109.4</v>
      </c>
      <c r="N90">
        <v>111.8</v>
      </c>
      <c r="O90">
        <v>116.5</v>
      </c>
      <c r="P90">
        <v>122.6</v>
      </c>
      <c r="Q90">
        <v>111.1</v>
      </c>
      <c r="R90">
        <v>111.6</v>
      </c>
      <c r="S90">
        <v>111.1</v>
      </c>
      <c r="T90">
        <v>109.3</v>
      </c>
      <c r="U90">
        <v>109.5</v>
      </c>
      <c r="V90">
        <v>108.6</v>
      </c>
      <c r="W90">
        <v>111.2</v>
      </c>
      <c r="X90">
        <v>108.1</v>
      </c>
      <c r="Y90">
        <v>109.7</v>
      </c>
      <c r="Z90">
        <v>116.3</v>
      </c>
      <c r="AA90" s="1">
        <f>SUM(Table15[[#This Row],[Cereals and products]:[Food and beverages]])/13</f>
        <v>118.36923076923077</v>
      </c>
      <c r="AB90" s="1">
        <f>SUM(Table15[[#This Row],[Fuel and light]])</f>
        <v>111.6</v>
      </c>
      <c r="AC90" s="1">
        <f>SUM(Table15[[#This Row],[Transport and communication]])</f>
        <v>109.5</v>
      </c>
      <c r="AD90" s="1">
        <f>SUM(Table15[[#This Row],[Housing]],Table15[[#This Row],[Household goods and services]])/2</f>
        <v>111.1</v>
      </c>
      <c r="AE90" s="1">
        <f>SUM(Table15[[#This Row],[Health]])</f>
        <v>109.3</v>
      </c>
      <c r="AF90" s="1">
        <f>SUM(Table15[[#This Row],[Recreation and amusement]],Table15[[#This Row],[Education]])/2</f>
        <v>109.9</v>
      </c>
      <c r="AG90" s="1">
        <f>SUM(Table15[[#This Row],[Miscellaneous]],Table15[[#This Row],[Personal care and effects]])/2</f>
        <v>108.9</v>
      </c>
    </row>
    <row r="91" spans="1:33" x14ac:dyDescent="0.3">
      <c r="A91" t="s">
        <v>36</v>
      </c>
      <c r="B91">
        <v>2013</v>
      </c>
      <c r="C91" t="s">
        <v>45</v>
      </c>
      <c r="D91">
        <v>119.8</v>
      </c>
      <c r="E91">
        <v>116.3</v>
      </c>
      <c r="F91">
        <v>122.6</v>
      </c>
      <c r="G91">
        <v>112</v>
      </c>
      <c r="H91">
        <v>103.2</v>
      </c>
      <c r="I91">
        <v>110</v>
      </c>
      <c r="J91">
        <v>192.8</v>
      </c>
      <c r="K91">
        <v>106.3</v>
      </c>
      <c r="L91">
        <v>99.5</v>
      </c>
      <c r="M91">
        <v>110.3</v>
      </c>
      <c r="N91">
        <v>111.8</v>
      </c>
      <c r="O91">
        <v>117.1</v>
      </c>
      <c r="P91">
        <v>122.9</v>
      </c>
      <c r="Q91">
        <v>111.1</v>
      </c>
      <c r="R91">
        <v>110</v>
      </c>
      <c r="S91">
        <v>110.9</v>
      </c>
      <c r="T91">
        <v>108.6</v>
      </c>
      <c r="U91">
        <v>109.5</v>
      </c>
      <c r="V91">
        <v>108.5</v>
      </c>
      <c r="W91">
        <v>111.3</v>
      </c>
      <c r="X91">
        <v>107.9</v>
      </c>
      <c r="Y91">
        <v>109.6</v>
      </c>
      <c r="Z91">
        <v>115</v>
      </c>
      <c r="AA91" s="1">
        <f>SUM(Table15[[#This Row],[Cereals and products]:[Food and beverages]])/13</f>
        <v>118.8153846153846</v>
      </c>
      <c r="AB91" s="1">
        <f>SUM(Table15[[#This Row],[Fuel and light]])</f>
        <v>110</v>
      </c>
      <c r="AC91" s="1">
        <f>SUM(Table15[[#This Row],[Transport and communication]])</f>
        <v>109.5</v>
      </c>
      <c r="AD91" s="1">
        <f>SUM(Table15[[#This Row],[Housing]],Table15[[#This Row],[Household goods and services]])/2</f>
        <v>111</v>
      </c>
      <c r="AE91" s="1">
        <f>SUM(Table15[[#This Row],[Health]])</f>
        <v>108.6</v>
      </c>
      <c r="AF91" s="1">
        <f>SUM(Table15[[#This Row],[Recreation and amusement]],Table15[[#This Row],[Education]])/2</f>
        <v>109.9</v>
      </c>
      <c r="AG91" s="1">
        <f>SUM(Table15[[#This Row],[Miscellaneous]],Table15[[#This Row],[Personal care and effects]])/2</f>
        <v>108.75</v>
      </c>
    </row>
    <row r="92" spans="1:33" x14ac:dyDescent="0.3">
      <c r="A92" t="s">
        <v>33</v>
      </c>
      <c r="B92">
        <v>2023</v>
      </c>
      <c r="C92" t="s">
        <v>47</v>
      </c>
      <c r="D92">
        <v>173.2</v>
      </c>
      <c r="E92">
        <v>211.5</v>
      </c>
      <c r="F92">
        <v>171</v>
      </c>
      <c r="G92">
        <v>179.6</v>
      </c>
      <c r="H92">
        <v>173.3</v>
      </c>
      <c r="I92">
        <v>169</v>
      </c>
      <c r="J92">
        <v>148.69999999999999</v>
      </c>
      <c r="K92">
        <v>174.9</v>
      </c>
      <c r="L92">
        <v>121.9</v>
      </c>
      <c r="M92">
        <v>221</v>
      </c>
      <c r="N92">
        <v>178.7</v>
      </c>
      <c r="O92">
        <v>191.1</v>
      </c>
      <c r="P92">
        <v>176.8</v>
      </c>
      <c r="Q92">
        <f>AVERAGE(Q93:Q94)</f>
        <v>175.6</v>
      </c>
      <c r="R92">
        <v>182.5</v>
      </c>
      <c r="S92">
        <v>179.8</v>
      </c>
      <c r="T92">
        <v>187.8</v>
      </c>
      <c r="U92">
        <v>169.7</v>
      </c>
      <c r="V92">
        <v>173.8</v>
      </c>
      <c r="W92">
        <v>180.3</v>
      </c>
      <c r="X92">
        <v>184.9</v>
      </c>
      <c r="Y92">
        <v>179.5</v>
      </c>
      <c r="Z92">
        <v>179.8</v>
      </c>
      <c r="AA92" s="1">
        <f>SUM(Table15[[#This Row],[Cereals and products]:[Food and beverages]])/13</f>
        <v>176.20769230769235</v>
      </c>
      <c r="AB92" s="1">
        <f>SUM(Table15[[#This Row],[Fuel and light]])</f>
        <v>182.5</v>
      </c>
      <c r="AC92" s="1">
        <f>SUM(Table15[[#This Row],[Transport and communication]])</f>
        <v>169.7</v>
      </c>
      <c r="AD92" s="1">
        <f>SUM(Table15[[#This Row],[Housing]],Table15[[#This Row],[Household goods and services]])/2</f>
        <v>177.7</v>
      </c>
      <c r="AE92" s="1">
        <f>SUM(Table15[[#This Row],[Health]])</f>
        <v>187.8</v>
      </c>
      <c r="AF92" s="1">
        <f>SUM(Table15[[#This Row],[Recreation and amusement]],Table15[[#This Row],[Education]])/2</f>
        <v>177.05</v>
      </c>
      <c r="AG92" s="1">
        <f>SUM(Table15[[#This Row],[Miscellaneous]],Table15[[#This Row],[Personal care and effects]])/2</f>
        <v>182.2</v>
      </c>
    </row>
    <row r="93" spans="1:33" x14ac:dyDescent="0.3">
      <c r="A93" t="s">
        <v>35</v>
      </c>
      <c r="B93">
        <v>2023</v>
      </c>
      <c r="C93" t="s">
        <v>47</v>
      </c>
      <c r="D93">
        <v>173.7</v>
      </c>
      <c r="E93">
        <v>214.3</v>
      </c>
      <c r="F93">
        <v>173.2</v>
      </c>
      <c r="G93">
        <v>179.5</v>
      </c>
      <c r="H93">
        <v>170</v>
      </c>
      <c r="I93">
        <v>172.2</v>
      </c>
      <c r="J93">
        <v>161</v>
      </c>
      <c r="K93">
        <v>175.6</v>
      </c>
      <c r="L93">
        <v>122.7</v>
      </c>
      <c r="M93">
        <v>218</v>
      </c>
      <c r="N93">
        <v>173.4</v>
      </c>
      <c r="O93">
        <v>194.2</v>
      </c>
      <c r="P93">
        <v>179.1</v>
      </c>
      <c r="Q93">
        <v>175.6</v>
      </c>
      <c r="R93">
        <v>182.8</v>
      </c>
      <c r="S93">
        <v>175.2</v>
      </c>
      <c r="T93">
        <v>185.7</v>
      </c>
      <c r="U93">
        <v>164.8</v>
      </c>
      <c r="V93">
        <v>171.2</v>
      </c>
      <c r="W93">
        <v>177.1</v>
      </c>
      <c r="X93">
        <v>185.2</v>
      </c>
      <c r="Y93">
        <v>175.7</v>
      </c>
      <c r="Z93">
        <v>179.1</v>
      </c>
      <c r="AA93" s="1">
        <f>SUM(Table15[[#This Row],[Cereals and products]:[Food and beverages]])/13</f>
        <v>177.45384615384617</v>
      </c>
      <c r="AB93" s="1">
        <f>SUM(Table15[[#This Row],[Fuel and light]])</f>
        <v>182.8</v>
      </c>
      <c r="AC93" s="1">
        <f>SUM(Table15[[#This Row],[Transport and communication]])</f>
        <v>164.8</v>
      </c>
      <c r="AD93" s="1">
        <f>SUM(Table15[[#This Row],[Housing]],Table15[[#This Row],[Household goods and services]])/2</f>
        <v>175.39999999999998</v>
      </c>
      <c r="AE93" s="1">
        <f>SUM(Table15[[#This Row],[Health]])</f>
        <v>185.7</v>
      </c>
      <c r="AF93" s="1">
        <f>SUM(Table15[[#This Row],[Recreation and amusement]],Table15[[#This Row],[Education]])/2</f>
        <v>174.14999999999998</v>
      </c>
      <c r="AG93" s="1">
        <f>SUM(Table15[[#This Row],[Miscellaneous]],Table15[[#This Row],[Personal care and effects]])/2</f>
        <v>180.45</v>
      </c>
    </row>
    <row r="94" spans="1:33" x14ac:dyDescent="0.3">
      <c r="A94" t="s">
        <v>36</v>
      </c>
      <c r="B94">
        <v>2023</v>
      </c>
      <c r="C94" t="s">
        <v>47</v>
      </c>
      <c r="D94">
        <v>174.7</v>
      </c>
      <c r="E94">
        <v>219.4</v>
      </c>
      <c r="F94">
        <v>176.7</v>
      </c>
      <c r="G94">
        <v>179.4</v>
      </c>
      <c r="H94">
        <v>164.4</v>
      </c>
      <c r="I94">
        <v>175.8</v>
      </c>
      <c r="J94">
        <v>185</v>
      </c>
      <c r="K94">
        <v>176.9</v>
      </c>
      <c r="L94">
        <v>124.2</v>
      </c>
      <c r="M94">
        <v>211.9</v>
      </c>
      <c r="N94">
        <v>165.9</v>
      </c>
      <c r="O94">
        <v>197.7</v>
      </c>
      <c r="P94">
        <v>183.1</v>
      </c>
      <c r="Q94">
        <v>175.6</v>
      </c>
      <c r="R94">
        <v>183.4</v>
      </c>
      <c r="S94">
        <v>170.1</v>
      </c>
      <c r="T94">
        <v>182.2</v>
      </c>
      <c r="U94">
        <v>160.4</v>
      </c>
      <c r="V94">
        <v>169.2</v>
      </c>
      <c r="W94">
        <v>174.8</v>
      </c>
      <c r="X94">
        <v>185.6</v>
      </c>
      <c r="Y94">
        <v>171.6</v>
      </c>
      <c r="Z94">
        <v>178.2</v>
      </c>
      <c r="AA94" s="1">
        <f>SUM(Table15[[#This Row],[Cereals and products]:[Food and beverages]])/13</f>
        <v>179.62307692307692</v>
      </c>
      <c r="AB94" s="1">
        <f>SUM(Table15[[#This Row],[Fuel and light]])</f>
        <v>183.4</v>
      </c>
      <c r="AC94" s="1">
        <f>SUM(Table15[[#This Row],[Transport and communication]])</f>
        <v>160.4</v>
      </c>
      <c r="AD94" s="1">
        <f>SUM(Table15[[#This Row],[Housing]],Table15[[#This Row],[Household goods and services]])/2</f>
        <v>172.85</v>
      </c>
      <c r="AE94" s="1">
        <f>SUM(Table15[[#This Row],[Health]])</f>
        <v>182.2</v>
      </c>
      <c r="AF94" s="1">
        <f>SUM(Table15[[#This Row],[Recreation and amusement]],Table15[[#This Row],[Education]])/2</f>
        <v>172</v>
      </c>
      <c r="AG94" s="1">
        <f>SUM(Table15[[#This Row],[Miscellaneous]],Table15[[#This Row],[Personal care and effects]])/2</f>
        <v>178.6</v>
      </c>
    </row>
    <row r="95" spans="1:33" x14ac:dyDescent="0.3">
      <c r="A95" t="s">
        <v>33</v>
      </c>
      <c r="B95">
        <v>2022</v>
      </c>
      <c r="C95" t="s">
        <v>47</v>
      </c>
      <c r="D95">
        <v>152.9</v>
      </c>
      <c r="E95">
        <v>214.7</v>
      </c>
      <c r="F95">
        <v>161.4</v>
      </c>
      <c r="G95">
        <v>164.6</v>
      </c>
      <c r="H95">
        <v>209.9</v>
      </c>
      <c r="I95">
        <v>168</v>
      </c>
      <c r="J95">
        <v>160.4</v>
      </c>
      <c r="K95">
        <v>165</v>
      </c>
      <c r="L95">
        <v>118.9</v>
      </c>
      <c r="M95">
        <v>186.6</v>
      </c>
      <c r="N95">
        <v>173.2</v>
      </c>
      <c r="O95">
        <v>180.4</v>
      </c>
      <c r="P95">
        <v>170.8</v>
      </c>
      <c r="Q95">
        <f>AVERAGE(Q96:Q97)</f>
        <v>167.5</v>
      </c>
      <c r="R95">
        <v>175.3</v>
      </c>
      <c r="S95">
        <v>168.9</v>
      </c>
      <c r="T95">
        <v>177.7</v>
      </c>
      <c r="U95">
        <v>167.1</v>
      </c>
      <c r="V95">
        <v>167.6</v>
      </c>
      <c r="W95">
        <v>171.8</v>
      </c>
      <c r="X95">
        <v>168.5</v>
      </c>
      <c r="Y95">
        <v>170.9</v>
      </c>
      <c r="Z95">
        <v>172.5</v>
      </c>
      <c r="AA95" s="1">
        <f>SUM(Table15[[#This Row],[Cereals and products]:[Food and beverages]])/13</f>
        <v>171.2923076923077</v>
      </c>
      <c r="AB95" s="1">
        <f>SUM(Table15[[#This Row],[Fuel and light]])</f>
        <v>175.3</v>
      </c>
      <c r="AC95" s="1">
        <f>SUM(Table15[[#This Row],[Transport and communication]])</f>
        <v>167.1</v>
      </c>
      <c r="AD95" s="1">
        <f>SUM(Table15[[#This Row],[Housing]],Table15[[#This Row],[Household goods and services]])/2</f>
        <v>168.2</v>
      </c>
      <c r="AE95" s="1">
        <f>SUM(Table15[[#This Row],[Health]])</f>
        <v>177.7</v>
      </c>
      <c r="AF95" s="1">
        <f>SUM(Table15[[#This Row],[Recreation and amusement]],Table15[[#This Row],[Education]])/2</f>
        <v>169.7</v>
      </c>
      <c r="AG95" s="1">
        <f>SUM(Table15[[#This Row],[Miscellaneous]],Table15[[#This Row],[Personal care and effects]])/2</f>
        <v>169.7</v>
      </c>
    </row>
    <row r="96" spans="1:33" x14ac:dyDescent="0.3">
      <c r="A96" t="s">
        <v>35</v>
      </c>
      <c r="B96">
        <v>2022</v>
      </c>
      <c r="C96" t="s">
        <v>47</v>
      </c>
      <c r="D96">
        <v>154.1</v>
      </c>
      <c r="E96">
        <v>217</v>
      </c>
      <c r="F96">
        <v>162.4</v>
      </c>
      <c r="G96">
        <v>164.9</v>
      </c>
      <c r="H96">
        <v>202.4</v>
      </c>
      <c r="I96">
        <v>171</v>
      </c>
      <c r="J96">
        <v>174.9</v>
      </c>
      <c r="K96">
        <v>164.7</v>
      </c>
      <c r="L96">
        <v>119.7</v>
      </c>
      <c r="M96">
        <v>184.9</v>
      </c>
      <c r="N96">
        <v>167.1</v>
      </c>
      <c r="O96">
        <v>182.5</v>
      </c>
      <c r="P96">
        <v>173.3</v>
      </c>
      <c r="Q96">
        <v>167.5</v>
      </c>
      <c r="R96">
        <v>174.6</v>
      </c>
      <c r="S96">
        <v>165.2</v>
      </c>
      <c r="T96">
        <v>174.8</v>
      </c>
      <c r="U96">
        <v>163</v>
      </c>
      <c r="V96">
        <v>165.1</v>
      </c>
      <c r="W96">
        <v>167.9</v>
      </c>
      <c r="X96">
        <v>168.4</v>
      </c>
      <c r="Y96">
        <v>167.5</v>
      </c>
      <c r="Z96">
        <v>171.7</v>
      </c>
      <c r="AA96" s="1">
        <f>SUM(Table15[[#This Row],[Cereals and products]:[Food and beverages]])/13</f>
        <v>172.22307692307697</v>
      </c>
      <c r="AB96" s="1">
        <f>SUM(Table15[[#This Row],[Fuel and light]])</f>
        <v>174.6</v>
      </c>
      <c r="AC96" s="1">
        <f>SUM(Table15[[#This Row],[Transport and communication]])</f>
        <v>163</v>
      </c>
      <c r="AD96" s="1">
        <f>SUM(Table15[[#This Row],[Housing]],Table15[[#This Row],[Household goods and services]])/2</f>
        <v>166.35</v>
      </c>
      <c r="AE96" s="1">
        <f>SUM(Table15[[#This Row],[Health]])</f>
        <v>174.8</v>
      </c>
      <c r="AF96" s="1">
        <f>SUM(Table15[[#This Row],[Recreation and amusement]],Table15[[#This Row],[Education]])/2</f>
        <v>166.5</v>
      </c>
      <c r="AG96" s="1">
        <f>SUM(Table15[[#This Row],[Miscellaneous]],Table15[[#This Row],[Personal care and effects]])/2</f>
        <v>167.95</v>
      </c>
    </row>
    <row r="97" spans="1:33" x14ac:dyDescent="0.3">
      <c r="A97" t="s">
        <v>36</v>
      </c>
      <c r="B97">
        <v>2022</v>
      </c>
      <c r="C97" t="s">
        <v>47</v>
      </c>
      <c r="D97">
        <v>156.69999999999999</v>
      </c>
      <c r="E97">
        <v>221.2</v>
      </c>
      <c r="F97">
        <v>164.1</v>
      </c>
      <c r="G97">
        <v>165.4</v>
      </c>
      <c r="H97">
        <v>189.5</v>
      </c>
      <c r="I97">
        <v>174.5</v>
      </c>
      <c r="J97">
        <v>203.2</v>
      </c>
      <c r="K97">
        <v>164.1</v>
      </c>
      <c r="L97">
        <v>121.2</v>
      </c>
      <c r="M97">
        <v>181.4</v>
      </c>
      <c r="N97">
        <v>158.5</v>
      </c>
      <c r="O97">
        <v>184.9</v>
      </c>
      <c r="P97">
        <v>177.5</v>
      </c>
      <c r="Q97">
        <v>167.5</v>
      </c>
      <c r="R97">
        <v>173.5</v>
      </c>
      <c r="S97">
        <v>161.1</v>
      </c>
      <c r="T97">
        <v>170.1</v>
      </c>
      <c r="U97">
        <v>159.4</v>
      </c>
      <c r="V97">
        <v>163.19999999999999</v>
      </c>
      <c r="W97">
        <v>165.2</v>
      </c>
      <c r="X97">
        <v>168.2</v>
      </c>
      <c r="Y97">
        <v>163.80000000000001</v>
      </c>
      <c r="Z97">
        <v>170.8</v>
      </c>
      <c r="AA97" s="1">
        <f>SUM(Table15[[#This Row],[Cereals and products]:[Food and beverages]])/13</f>
        <v>174.01538461538465</v>
      </c>
      <c r="AB97" s="1">
        <f>SUM(Table15[[#This Row],[Fuel and light]])</f>
        <v>173.5</v>
      </c>
      <c r="AC97" s="1">
        <f>SUM(Table15[[#This Row],[Transport and communication]])</f>
        <v>159.4</v>
      </c>
      <c r="AD97" s="1">
        <f>SUM(Table15[[#This Row],[Housing]],Table15[[#This Row],[Household goods and services]])/2</f>
        <v>164.3</v>
      </c>
      <c r="AE97" s="1">
        <f>SUM(Table15[[#This Row],[Health]])</f>
        <v>170.1</v>
      </c>
      <c r="AF97" s="1">
        <f>SUM(Table15[[#This Row],[Recreation and amusement]],Table15[[#This Row],[Education]])/2</f>
        <v>164.2</v>
      </c>
      <c r="AG97" s="1">
        <f>SUM(Table15[[#This Row],[Miscellaneous]],Table15[[#This Row],[Personal care and effects]])/2</f>
        <v>166</v>
      </c>
    </row>
    <row r="98" spans="1:33" x14ac:dyDescent="0.3">
      <c r="A98" t="s">
        <v>33</v>
      </c>
      <c r="B98">
        <v>2019</v>
      </c>
      <c r="C98" t="s">
        <v>40</v>
      </c>
      <c r="D98">
        <v>141</v>
      </c>
      <c r="E98">
        <v>161.6</v>
      </c>
      <c r="F98">
        <v>141.19999999999999</v>
      </c>
      <c r="G98">
        <v>146.5</v>
      </c>
      <c r="H98">
        <v>125.6</v>
      </c>
      <c r="I98">
        <v>145.69999999999999</v>
      </c>
      <c r="J98">
        <v>178.8</v>
      </c>
      <c r="K98">
        <v>133.1</v>
      </c>
      <c r="L98">
        <v>113.6</v>
      </c>
      <c r="M98">
        <v>145.5</v>
      </c>
      <c r="N98">
        <v>138.6</v>
      </c>
      <c r="O98">
        <v>157.4</v>
      </c>
      <c r="P98">
        <v>148.30000000000001</v>
      </c>
      <c r="Q98">
        <v>146.44999999999999</v>
      </c>
      <c r="R98">
        <v>147.69999999999999</v>
      </c>
      <c r="S98">
        <v>150.6</v>
      </c>
      <c r="T98">
        <v>153.69999999999999</v>
      </c>
      <c r="U98">
        <v>131.69999999999999</v>
      </c>
      <c r="V98">
        <v>148.69999999999999</v>
      </c>
      <c r="W98">
        <v>160.69999999999999</v>
      </c>
      <c r="X98">
        <v>140.30000000000001</v>
      </c>
      <c r="Y98">
        <v>145.69999999999999</v>
      </c>
      <c r="Z98">
        <v>148.30000000000001</v>
      </c>
      <c r="AA98" s="1">
        <f>SUM(Table15[[#This Row],[Cereals and products]:[Food and beverages]])/13</f>
        <v>144.37692307692305</v>
      </c>
      <c r="AB98" s="1">
        <f>SUM(Table15[[#This Row],[Fuel and light]])</f>
        <v>147.69999999999999</v>
      </c>
      <c r="AC98" s="1">
        <f>SUM(Table15[[#This Row],[Transport and communication]])</f>
        <v>131.69999999999999</v>
      </c>
      <c r="AD98" s="1">
        <f>SUM(Table15[[#This Row],[Housing]],Table15[[#This Row],[Household goods and services]])/2</f>
        <v>148.52499999999998</v>
      </c>
      <c r="AE98" s="1">
        <f>SUM(Table15[[#This Row],[Health]])</f>
        <v>153.69999999999999</v>
      </c>
      <c r="AF98" s="1">
        <f>SUM(Table15[[#This Row],[Recreation and amusement]],Table15[[#This Row],[Education]])/2</f>
        <v>154.69999999999999</v>
      </c>
      <c r="AG98" s="1">
        <f>SUM(Table15[[#This Row],[Miscellaneous]],Table15[[#This Row],[Personal care and effects]])/2</f>
        <v>143</v>
      </c>
    </row>
    <row r="99" spans="1:33" x14ac:dyDescent="0.3">
      <c r="A99" t="s">
        <v>35</v>
      </c>
      <c r="B99">
        <v>2019</v>
      </c>
      <c r="C99" t="s">
        <v>40</v>
      </c>
      <c r="D99">
        <v>141.80000000000001</v>
      </c>
      <c r="E99">
        <v>161</v>
      </c>
      <c r="F99">
        <v>142.6</v>
      </c>
      <c r="G99">
        <v>146.19999999999999</v>
      </c>
      <c r="H99">
        <v>123.9</v>
      </c>
      <c r="I99">
        <v>148</v>
      </c>
      <c r="J99">
        <v>188.4</v>
      </c>
      <c r="K99">
        <v>132.5</v>
      </c>
      <c r="L99">
        <v>114</v>
      </c>
      <c r="M99">
        <v>145.4</v>
      </c>
      <c r="N99">
        <v>135.1</v>
      </c>
      <c r="O99">
        <v>157.1</v>
      </c>
      <c r="P99">
        <v>149.6</v>
      </c>
      <c r="Q99">
        <v>153</v>
      </c>
      <c r="R99">
        <v>140.6</v>
      </c>
      <c r="S99">
        <v>145</v>
      </c>
      <c r="T99">
        <v>149.4</v>
      </c>
      <c r="U99">
        <v>126.3</v>
      </c>
      <c r="V99">
        <v>141.69999999999999</v>
      </c>
      <c r="W99">
        <v>155.4</v>
      </c>
      <c r="X99">
        <v>140</v>
      </c>
      <c r="Y99">
        <v>141</v>
      </c>
      <c r="Z99">
        <v>147.19999999999999</v>
      </c>
      <c r="AA99" s="1">
        <f>SUM(Table15[[#This Row],[Cereals and products]:[Food and beverages]])/13</f>
        <v>145.04615384615383</v>
      </c>
      <c r="AB99" s="1">
        <f>SUM(Table15[[#This Row],[Fuel and light]])</f>
        <v>140.6</v>
      </c>
      <c r="AC99" s="1">
        <f>SUM(Table15[[#This Row],[Transport and communication]])</f>
        <v>126.3</v>
      </c>
      <c r="AD99" s="1">
        <f>SUM(Table15[[#This Row],[Housing]],Table15[[#This Row],[Household goods and services]])/2</f>
        <v>149</v>
      </c>
      <c r="AE99" s="1">
        <f>SUM(Table15[[#This Row],[Health]])</f>
        <v>149.4</v>
      </c>
      <c r="AF99" s="1">
        <f>SUM(Table15[[#This Row],[Recreation and amusement]],Table15[[#This Row],[Education]])/2</f>
        <v>148.55000000000001</v>
      </c>
      <c r="AG99" s="1">
        <f>SUM(Table15[[#This Row],[Miscellaneous]],Table15[[#This Row],[Personal care and effects]])/2</f>
        <v>140.5</v>
      </c>
    </row>
    <row r="100" spans="1:33" x14ac:dyDescent="0.3">
      <c r="A100" t="s">
        <v>36</v>
      </c>
      <c r="B100">
        <v>2019</v>
      </c>
      <c r="C100" t="s">
        <v>40</v>
      </c>
      <c r="D100">
        <v>143.5</v>
      </c>
      <c r="E100">
        <v>159.80000000000001</v>
      </c>
      <c r="F100">
        <v>144.69999999999999</v>
      </c>
      <c r="G100">
        <v>145.6</v>
      </c>
      <c r="H100">
        <v>121.1</v>
      </c>
      <c r="I100">
        <v>150.6</v>
      </c>
      <c r="J100">
        <v>207.2</v>
      </c>
      <c r="K100">
        <v>131.19999999999999</v>
      </c>
      <c r="L100">
        <v>114.8</v>
      </c>
      <c r="M100">
        <v>145.19999999999999</v>
      </c>
      <c r="N100">
        <v>130.19999999999999</v>
      </c>
      <c r="O100">
        <v>156.80000000000001</v>
      </c>
      <c r="P100">
        <v>151.9</v>
      </c>
      <c r="Q100">
        <v>153</v>
      </c>
      <c r="R100">
        <v>128.9</v>
      </c>
      <c r="S100">
        <v>138.69999999999999</v>
      </c>
      <c r="T100">
        <v>142.4</v>
      </c>
      <c r="U100">
        <v>121.5</v>
      </c>
      <c r="V100">
        <v>136.19999999999999</v>
      </c>
      <c r="W100">
        <v>151.69999999999999</v>
      </c>
      <c r="X100">
        <v>139.5</v>
      </c>
      <c r="Y100">
        <v>136</v>
      </c>
      <c r="Z100">
        <v>146</v>
      </c>
      <c r="AA100" s="1">
        <f>SUM(Table15[[#This Row],[Cereals and products]:[Food and beverages]])/13</f>
        <v>146.35384615384618</v>
      </c>
      <c r="AB100" s="1">
        <f>SUM(Table15[[#This Row],[Fuel and light]])</f>
        <v>128.9</v>
      </c>
      <c r="AC100" s="1">
        <f>SUM(Table15[[#This Row],[Transport and communication]])</f>
        <v>121.5</v>
      </c>
      <c r="AD100" s="1">
        <f>SUM(Table15[[#This Row],[Housing]],Table15[[#This Row],[Household goods and services]])/2</f>
        <v>145.85</v>
      </c>
      <c r="AE100" s="1">
        <f>SUM(Table15[[#This Row],[Health]])</f>
        <v>142.4</v>
      </c>
      <c r="AF100" s="1">
        <f>SUM(Table15[[#This Row],[Recreation and amusement]],Table15[[#This Row],[Education]])/2</f>
        <v>143.94999999999999</v>
      </c>
      <c r="AG100" s="1">
        <f>SUM(Table15[[#This Row],[Miscellaneous]],Table15[[#This Row],[Personal care and effects]])/2</f>
        <v>137.75</v>
      </c>
    </row>
    <row r="101" spans="1:33" x14ac:dyDescent="0.3">
      <c r="A101" t="s">
        <v>33</v>
      </c>
      <c r="B101">
        <v>2019</v>
      </c>
      <c r="C101" t="s">
        <v>34</v>
      </c>
      <c r="D101">
        <v>140.1</v>
      </c>
      <c r="E101">
        <v>161.9</v>
      </c>
      <c r="F101">
        <v>138.30000000000001</v>
      </c>
      <c r="G101">
        <v>145.69999999999999</v>
      </c>
      <c r="H101">
        <v>125.1</v>
      </c>
      <c r="I101">
        <v>143.80000000000001</v>
      </c>
      <c r="J101">
        <v>163.4</v>
      </c>
      <c r="K101">
        <v>132.19999999999999</v>
      </c>
      <c r="L101">
        <v>112.8</v>
      </c>
      <c r="M101">
        <v>144.19999999999999</v>
      </c>
      <c r="N101">
        <v>138.5</v>
      </c>
      <c r="O101">
        <v>157.19999999999999</v>
      </c>
      <c r="P101">
        <v>145.5</v>
      </c>
      <c r="Q101">
        <v>145.30000000000001</v>
      </c>
      <c r="R101">
        <v>146.9</v>
      </c>
      <c r="S101">
        <v>150.30000000000001</v>
      </c>
      <c r="T101">
        <v>153.4</v>
      </c>
      <c r="U101">
        <v>131.6</v>
      </c>
      <c r="V101">
        <v>148.30000000000001</v>
      </c>
      <c r="W101">
        <v>160.19999999999999</v>
      </c>
      <c r="X101">
        <v>140.19999999999999</v>
      </c>
      <c r="Y101">
        <v>145.4</v>
      </c>
      <c r="Z101">
        <v>146.69999999999999</v>
      </c>
      <c r="AA101" s="1">
        <f>SUM(Table15[[#This Row],[Cereals and products]:[Food and beverages]])/13</f>
        <v>142.2076923076923</v>
      </c>
      <c r="AB101" s="1">
        <f>SUM(Table15[[#This Row],[Fuel and light]])</f>
        <v>146.9</v>
      </c>
      <c r="AC101" s="1">
        <f>SUM(Table15[[#This Row],[Transport and communication]])</f>
        <v>131.6</v>
      </c>
      <c r="AD101" s="1">
        <f>SUM(Table15[[#This Row],[Housing]],Table15[[#This Row],[Household goods and services]])/2</f>
        <v>147.80000000000001</v>
      </c>
      <c r="AE101" s="1">
        <f>SUM(Table15[[#This Row],[Health]])</f>
        <v>153.4</v>
      </c>
      <c r="AF101" s="1">
        <f>SUM(Table15[[#This Row],[Recreation and amusement]],Table15[[#This Row],[Education]])/2</f>
        <v>154.25</v>
      </c>
      <c r="AG101" s="1">
        <f>SUM(Table15[[#This Row],[Miscellaneous]],Table15[[#This Row],[Personal care and effects]])/2</f>
        <v>142.80000000000001</v>
      </c>
    </row>
    <row r="102" spans="1:33" x14ac:dyDescent="0.3">
      <c r="A102" t="s">
        <v>35</v>
      </c>
      <c r="B102">
        <v>2019</v>
      </c>
      <c r="C102" t="s">
        <v>34</v>
      </c>
      <c r="D102">
        <v>140.9</v>
      </c>
      <c r="E102">
        <v>160.80000000000001</v>
      </c>
      <c r="F102">
        <v>139.6</v>
      </c>
      <c r="G102">
        <v>145.4</v>
      </c>
      <c r="H102">
        <v>123.5</v>
      </c>
      <c r="I102">
        <v>146.6</v>
      </c>
      <c r="J102">
        <v>173.2</v>
      </c>
      <c r="K102">
        <v>131.6</v>
      </c>
      <c r="L102">
        <v>113.2</v>
      </c>
      <c r="M102">
        <v>144.1</v>
      </c>
      <c r="N102">
        <v>135</v>
      </c>
      <c r="O102">
        <v>156.80000000000001</v>
      </c>
      <c r="P102">
        <v>147</v>
      </c>
      <c r="Q102">
        <v>152.19999999999999</v>
      </c>
      <c r="R102">
        <v>139.19999999999999</v>
      </c>
      <c r="S102">
        <v>144.6</v>
      </c>
      <c r="T102">
        <v>149</v>
      </c>
      <c r="U102">
        <v>126.1</v>
      </c>
      <c r="V102">
        <v>141.30000000000001</v>
      </c>
      <c r="W102">
        <v>155.19999999999999</v>
      </c>
      <c r="X102">
        <v>139.69999999999999</v>
      </c>
      <c r="Y102">
        <v>140.69999999999999</v>
      </c>
      <c r="Z102">
        <v>145.80000000000001</v>
      </c>
      <c r="AA102" s="1">
        <f>SUM(Table15[[#This Row],[Cereals and products]:[Food and beverages]])/13</f>
        <v>142.89999999999998</v>
      </c>
      <c r="AB102" s="1">
        <f>SUM(Table15[[#This Row],[Fuel and light]])</f>
        <v>139.19999999999999</v>
      </c>
      <c r="AC102" s="1">
        <f>SUM(Table15[[#This Row],[Transport and communication]])</f>
        <v>126.1</v>
      </c>
      <c r="AD102" s="1">
        <f>SUM(Table15[[#This Row],[Housing]],Table15[[#This Row],[Household goods and services]])/2</f>
        <v>148.39999999999998</v>
      </c>
      <c r="AE102" s="1">
        <f>SUM(Table15[[#This Row],[Health]])</f>
        <v>149</v>
      </c>
      <c r="AF102" s="1">
        <f>SUM(Table15[[#This Row],[Recreation and amusement]],Table15[[#This Row],[Education]])/2</f>
        <v>148.25</v>
      </c>
      <c r="AG102" s="1">
        <f>SUM(Table15[[#This Row],[Miscellaneous]],Table15[[#This Row],[Personal care and effects]])/2</f>
        <v>140.19999999999999</v>
      </c>
    </row>
    <row r="103" spans="1:33" x14ac:dyDescent="0.3">
      <c r="A103" t="s">
        <v>36</v>
      </c>
      <c r="B103">
        <v>2019</v>
      </c>
      <c r="C103" t="s">
        <v>34</v>
      </c>
      <c r="D103">
        <v>142.69999999999999</v>
      </c>
      <c r="E103">
        <v>158.69999999999999</v>
      </c>
      <c r="F103">
        <v>141.6</v>
      </c>
      <c r="G103">
        <v>144.9</v>
      </c>
      <c r="H103">
        <v>120.8</v>
      </c>
      <c r="I103">
        <v>149.80000000000001</v>
      </c>
      <c r="J103">
        <v>192.4</v>
      </c>
      <c r="K103">
        <v>130.30000000000001</v>
      </c>
      <c r="L103">
        <v>114</v>
      </c>
      <c r="M103">
        <v>143.80000000000001</v>
      </c>
      <c r="N103">
        <v>130</v>
      </c>
      <c r="O103">
        <v>156.4</v>
      </c>
      <c r="P103">
        <v>149.5</v>
      </c>
      <c r="Q103">
        <v>152.19999999999999</v>
      </c>
      <c r="R103">
        <v>126.6</v>
      </c>
      <c r="S103">
        <v>138.30000000000001</v>
      </c>
      <c r="T103">
        <v>141.9</v>
      </c>
      <c r="U103">
        <v>121.2</v>
      </c>
      <c r="V103">
        <v>135.9</v>
      </c>
      <c r="W103">
        <v>151.6</v>
      </c>
      <c r="X103">
        <v>139</v>
      </c>
      <c r="Y103">
        <v>135.69999999999999</v>
      </c>
      <c r="Z103">
        <v>144.69999999999999</v>
      </c>
      <c r="AA103" s="1">
        <f>SUM(Table15[[#This Row],[Cereals and products]:[Food and beverages]])/13</f>
        <v>144.22307692307692</v>
      </c>
      <c r="AB103" s="1">
        <f>SUM(Table15[[#This Row],[Fuel and light]])</f>
        <v>126.6</v>
      </c>
      <c r="AC103" s="1">
        <f>SUM(Table15[[#This Row],[Transport and communication]])</f>
        <v>121.2</v>
      </c>
      <c r="AD103" s="1">
        <f>SUM(Table15[[#This Row],[Housing]],Table15[[#This Row],[Household goods and services]])/2</f>
        <v>145.25</v>
      </c>
      <c r="AE103" s="1">
        <f>SUM(Table15[[#This Row],[Health]])</f>
        <v>141.9</v>
      </c>
      <c r="AF103" s="1">
        <f>SUM(Table15[[#This Row],[Recreation and amusement]],Table15[[#This Row],[Education]])/2</f>
        <v>143.75</v>
      </c>
      <c r="AG103" s="1">
        <f>SUM(Table15[[#This Row],[Miscellaneous]],Table15[[#This Row],[Personal care and effects]])/2</f>
        <v>137.35</v>
      </c>
    </row>
    <row r="104" spans="1:33" x14ac:dyDescent="0.3">
      <c r="A104" t="s">
        <v>33</v>
      </c>
      <c r="B104">
        <v>2020</v>
      </c>
      <c r="C104" t="s">
        <v>48</v>
      </c>
      <c r="D104">
        <v>147.19999999999999</v>
      </c>
      <c r="E104">
        <v>144.5</v>
      </c>
      <c r="F104">
        <v>146.9</v>
      </c>
      <c r="G104">
        <v>155.6</v>
      </c>
      <c r="H104">
        <v>137.1</v>
      </c>
      <c r="I104">
        <v>147.30000000000001</v>
      </c>
      <c r="J104">
        <v>162.69999999999999</v>
      </c>
      <c r="K104">
        <v>150.19999999999999</v>
      </c>
      <c r="L104">
        <v>119.8</v>
      </c>
      <c r="M104">
        <v>158.69999999999999</v>
      </c>
      <c r="N104">
        <v>139.19999999999999</v>
      </c>
      <c r="O104">
        <v>152.5</v>
      </c>
      <c r="P104">
        <v>150.1</v>
      </c>
      <c r="Q104">
        <f>AVERAGE(Q105:Q106)</f>
        <v>155.6</v>
      </c>
      <c r="R104">
        <v>148.4</v>
      </c>
      <c r="S104">
        <v>138.80000000000001</v>
      </c>
      <c r="T104">
        <v>154.30000000000001</v>
      </c>
      <c r="U104">
        <v>123.6</v>
      </c>
      <c r="V104">
        <v>133.69999999999999</v>
      </c>
      <c r="W104">
        <v>142.6</v>
      </c>
      <c r="X104">
        <v>129.80000000000001</v>
      </c>
      <c r="Y104">
        <v>132.80000000000001</v>
      </c>
      <c r="Z104">
        <v>138.1</v>
      </c>
      <c r="AA104" s="1">
        <f>SUM(Table15[[#This Row],[Cereals and products]:[Food and beverages]])/13</f>
        <v>147.06153846153848</v>
      </c>
      <c r="AB104" s="1">
        <f>SUM(Table15[[#This Row],[Fuel and light]])</f>
        <v>148.4</v>
      </c>
      <c r="AC104" s="1">
        <f>SUM(Table15[[#This Row],[Transport and communication]])</f>
        <v>123.6</v>
      </c>
      <c r="AD104" s="1">
        <f>SUM(Table15[[#This Row],[Housing]],Table15[[#This Row],[Household goods and services]])/2</f>
        <v>147.19999999999999</v>
      </c>
      <c r="AE104" s="1">
        <f>SUM(Table15[[#This Row],[Health]])</f>
        <v>154.30000000000001</v>
      </c>
      <c r="AF104" s="1">
        <f>SUM(Table15[[#This Row],[Recreation and amusement]],Table15[[#This Row],[Education]])/2</f>
        <v>138.14999999999998</v>
      </c>
      <c r="AG104" s="1">
        <f>SUM(Table15[[#This Row],[Miscellaneous]],Table15[[#This Row],[Personal care and effects]])/2</f>
        <v>131.30000000000001</v>
      </c>
    </row>
    <row r="105" spans="1:33" x14ac:dyDescent="0.3">
      <c r="A105" t="s">
        <v>35</v>
      </c>
      <c r="B105">
        <v>2020</v>
      </c>
      <c r="C105" t="s">
        <v>48</v>
      </c>
      <c r="D105">
        <v>148.69999999999999</v>
      </c>
      <c r="E105">
        <v>144.5</v>
      </c>
      <c r="F105">
        <v>148.80000000000001</v>
      </c>
      <c r="G105">
        <v>155.6</v>
      </c>
      <c r="H105">
        <v>135.1</v>
      </c>
      <c r="I105">
        <v>149.9</v>
      </c>
      <c r="J105">
        <v>168.6</v>
      </c>
      <c r="K105">
        <v>150.4</v>
      </c>
      <c r="L105">
        <v>120.3</v>
      </c>
      <c r="M105">
        <v>157.1</v>
      </c>
      <c r="N105">
        <v>136.80000000000001</v>
      </c>
      <c r="O105">
        <v>153.19999999999999</v>
      </c>
      <c r="P105">
        <v>151.4</v>
      </c>
      <c r="Q105">
        <v>155.6</v>
      </c>
      <c r="R105">
        <v>144.1</v>
      </c>
      <c r="S105">
        <v>139.80000000000001</v>
      </c>
      <c r="T105">
        <v>150.69999999999999</v>
      </c>
      <c r="U105">
        <v>124.5</v>
      </c>
      <c r="V105">
        <v>134.80000000000001</v>
      </c>
      <c r="W105">
        <v>143.1</v>
      </c>
      <c r="X105">
        <v>130.1</v>
      </c>
      <c r="Y105">
        <v>133.5</v>
      </c>
      <c r="Z105">
        <v>138.6</v>
      </c>
      <c r="AA105" s="1">
        <f>SUM(Table15[[#This Row],[Cereals and products]:[Food and beverages]])/13</f>
        <v>147.72307692307692</v>
      </c>
      <c r="AB105" s="1">
        <f>SUM(Table15[[#This Row],[Fuel and light]])</f>
        <v>144.1</v>
      </c>
      <c r="AC105" s="1">
        <f>SUM(Table15[[#This Row],[Transport and communication]])</f>
        <v>124.5</v>
      </c>
      <c r="AD105" s="1">
        <f>SUM(Table15[[#This Row],[Housing]],Table15[[#This Row],[Household goods and services]])/2</f>
        <v>147.69999999999999</v>
      </c>
      <c r="AE105" s="1">
        <f>SUM(Table15[[#This Row],[Health]])</f>
        <v>150.69999999999999</v>
      </c>
      <c r="AF105" s="1">
        <f>SUM(Table15[[#This Row],[Recreation and amusement]],Table15[[#This Row],[Education]])/2</f>
        <v>138.94999999999999</v>
      </c>
      <c r="AG105" s="1">
        <f>SUM(Table15[[#This Row],[Miscellaneous]],Table15[[#This Row],[Personal care and effects]])/2</f>
        <v>131.80000000000001</v>
      </c>
    </row>
    <row r="106" spans="1:33" x14ac:dyDescent="0.3">
      <c r="A106" t="s">
        <v>36</v>
      </c>
      <c r="B106">
        <v>2020</v>
      </c>
      <c r="C106" t="s">
        <v>48</v>
      </c>
      <c r="D106">
        <v>151.80000000000001</v>
      </c>
      <c r="E106">
        <v>144.5</v>
      </c>
      <c r="F106">
        <v>151.9</v>
      </c>
      <c r="G106">
        <v>155.5</v>
      </c>
      <c r="H106">
        <v>131.6</v>
      </c>
      <c r="I106">
        <v>152.9</v>
      </c>
      <c r="J106">
        <v>180</v>
      </c>
      <c r="K106">
        <v>150.80000000000001</v>
      </c>
      <c r="L106">
        <v>121.2</v>
      </c>
      <c r="M106">
        <v>154</v>
      </c>
      <c r="N106">
        <v>133.5</v>
      </c>
      <c r="O106">
        <v>152.80000000000001</v>
      </c>
      <c r="P106">
        <v>153.5</v>
      </c>
      <c r="Q106">
        <v>155.6</v>
      </c>
      <c r="R106">
        <v>137.1</v>
      </c>
      <c r="S106">
        <v>139.30000000000001</v>
      </c>
      <c r="T106">
        <v>144.80000000000001</v>
      </c>
      <c r="U106">
        <v>124</v>
      </c>
      <c r="V106">
        <v>134.19999999999999</v>
      </c>
      <c r="W106">
        <v>142.80000000000001</v>
      </c>
      <c r="X106">
        <v>129.94999999999999</v>
      </c>
      <c r="Y106">
        <v>133.1</v>
      </c>
      <c r="Z106">
        <v>138.4</v>
      </c>
      <c r="AA106" s="1">
        <f>SUM(Table15[[#This Row],[Cereals and products]:[Food and beverages]])/13</f>
        <v>148.76923076923077</v>
      </c>
      <c r="AB106" s="1">
        <f>SUM(Table15[[#This Row],[Fuel and light]])</f>
        <v>137.1</v>
      </c>
      <c r="AC106" s="1">
        <f>SUM(Table15[[#This Row],[Transport and communication]])</f>
        <v>124</v>
      </c>
      <c r="AD106" s="1">
        <f>SUM(Table15[[#This Row],[Housing]],Table15[[#This Row],[Household goods and services]])/2</f>
        <v>147.44999999999999</v>
      </c>
      <c r="AE106" s="1">
        <f>SUM(Table15[[#This Row],[Health]])</f>
        <v>144.80000000000001</v>
      </c>
      <c r="AF106" s="1">
        <f>SUM(Table15[[#This Row],[Recreation and amusement]],Table15[[#This Row],[Education]])/2</f>
        <v>138.5</v>
      </c>
      <c r="AG106" s="1">
        <f>SUM(Table15[[#This Row],[Miscellaneous]],Table15[[#This Row],[Personal care and effects]])/2</f>
        <v>131.52499999999998</v>
      </c>
    </row>
    <row r="107" spans="1:33" x14ac:dyDescent="0.3">
      <c r="A107" t="s">
        <v>36</v>
      </c>
      <c r="B107">
        <v>2018</v>
      </c>
      <c r="C107" t="s">
        <v>47</v>
      </c>
      <c r="D107">
        <v>135</v>
      </c>
      <c r="E107">
        <v>148.19999999999999</v>
      </c>
      <c r="F107">
        <v>130.5</v>
      </c>
      <c r="G107">
        <v>140.69999999999999</v>
      </c>
      <c r="H107">
        <v>116.4</v>
      </c>
      <c r="I107">
        <v>151.30000000000001</v>
      </c>
      <c r="J107">
        <v>131.4</v>
      </c>
      <c r="K107">
        <v>112.8</v>
      </c>
      <c r="L107">
        <v>105.3</v>
      </c>
      <c r="M107">
        <v>139.6</v>
      </c>
      <c r="N107">
        <v>126.6</v>
      </c>
      <c r="O107">
        <v>148.69999999999999</v>
      </c>
      <c r="P107">
        <v>136.4</v>
      </c>
      <c r="Q107">
        <v>143.19999999999999</v>
      </c>
      <c r="R107">
        <v>124.7</v>
      </c>
      <c r="S107">
        <v>132.5</v>
      </c>
      <c r="T107">
        <v>132</v>
      </c>
      <c r="U107">
        <v>119.8</v>
      </c>
      <c r="V107">
        <v>128</v>
      </c>
      <c r="W107">
        <v>140.4</v>
      </c>
      <c r="X107">
        <v>128.1</v>
      </c>
      <c r="Y107">
        <v>128.9</v>
      </c>
      <c r="Z107">
        <v>135.4</v>
      </c>
      <c r="AA107" s="1">
        <f>SUM(Table15[[#This Row],[Cereals and products]:[Food and beverages]])/13</f>
        <v>132.53076923076921</v>
      </c>
      <c r="AB107" s="1">
        <f>SUM(Table15[[#This Row],[Fuel and light]])</f>
        <v>124.7</v>
      </c>
      <c r="AC107" s="1">
        <f>SUM(Table15[[#This Row],[Transport and communication]])</f>
        <v>119.8</v>
      </c>
      <c r="AD107" s="1">
        <f>SUM(Table15[[#This Row],[Housing]],Table15[[#This Row],[Household goods and services]])/2</f>
        <v>137.85</v>
      </c>
      <c r="AE107" s="1">
        <f>SUM(Table15[[#This Row],[Health]])</f>
        <v>132</v>
      </c>
      <c r="AF107" s="1">
        <f>SUM(Table15[[#This Row],[Recreation and amusement]],Table15[[#This Row],[Education]])/2</f>
        <v>134.19999999999999</v>
      </c>
      <c r="AG107" s="1">
        <f>SUM(Table15[[#This Row],[Miscellaneous]],Table15[[#This Row],[Personal care and effects]])/2</f>
        <v>128.5</v>
      </c>
    </row>
    <row r="108" spans="1:33" x14ac:dyDescent="0.3">
      <c r="A108" t="s">
        <v>35</v>
      </c>
      <c r="B108">
        <v>2018</v>
      </c>
      <c r="C108" t="s">
        <v>47</v>
      </c>
      <c r="D108">
        <v>136.6</v>
      </c>
      <c r="E108">
        <v>146.6</v>
      </c>
      <c r="F108">
        <v>133.6</v>
      </c>
      <c r="G108">
        <v>142.1</v>
      </c>
      <c r="H108">
        <v>121</v>
      </c>
      <c r="I108">
        <v>154.6</v>
      </c>
      <c r="J108">
        <v>135.6</v>
      </c>
      <c r="K108">
        <v>122.3</v>
      </c>
      <c r="L108">
        <v>109.6</v>
      </c>
      <c r="M108">
        <v>138.1</v>
      </c>
      <c r="N108">
        <v>129.9</v>
      </c>
      <c r="O108">
        <v>151.69999999999999</v>
      </c>
      <c r="P108">
        <v>138.1</v>
      </c>
      <c r="Q108">
        <v>143.19999999999999</v>
      </c>
      <c r="R108">
        <v>136.9</v>
      </c>
      <c r="S108">
        <v>137.4</v>
      </c>
      <c r="T108">
        <v>136</v>
      </c>
      <c r="U108">
        <v>122.9</v>
      </c>
      <c r="V108">
        <v>131.80000000000001</v>
      </c>
      <c r="W108">
        <v>142.1</v>
      </c>
      <c r="X108">
        <v>129.9</v>
      </c>
      <c r="Y108">
        <v>132.1</v>
      </c>
      <c r="Z108">
        <v>137.80000000000001</v>
      </c>
      <c r="AA108" s="1">
        <f>SUM(Table15[[#This Row],[Cereals and products]:[Food and beverages]])/13</f>
        <v>135.36923076923077</v>
      </c>
      <c r="AB108" s="1">
        <f>SUM(Table15[[#This Row],[Fuel and light]])</f>
        <v>136.9</v>
      </c>
      <c r="AC108" s="1">
        <f>SUM(Table15[[#This Row],[Transport and communication]])</f>
        <v>122.9</v>
      </c>
      <c r="AD108" s="1">
        <f>SUM(Table15[[#This Row],[Housing]],Table15[[#This Row],[Household goods and services]])/2</f>
        <v>140.30000000000001</v>
      </c>
      <c r="AE108" s="1">
        <f>SUM(Table15[[#This Row],[Health]])</f>
        <v>136</v>
      </c>
      <c r="AF108" s="1">
        <f>SUM(Table15[[#This Row],[Recreation and amusement]],Table15[[#This Row],[Education]])/2</f>
        <v>136.94999999999999</v>
      </c>
      <c r="AG108" s="1">
        <f>SUM(Table15[[#This Row],[Miscellaneous]],Table15[[#This Row],[Personal care and effects]])/2</f>
        <v>131</v>
      </c>
    </row>
    <row r="109" spans="1:33" x14ac:dyDescent="0.3">
      <c r="A109" t="s">
        <v>33</v>
      </c>
      <c r="B109">
        <v>2018</v>
      </c>
      <c r="C109" t="s">
        <v>47</v>
      </c>
      <c r="D109">
        <v>137.4</v>
      </c>
      <c r="E109">
        <v>145.69999999999999</v>
      </c>
      <c r="F109">
        <v>135.5</v>
      </c>
      <c r="G109">
        <v>142.9</v>
      </c>
      <c r="H109">
        <v>123.6</v>
      </c>
      <c r="I109">
        <v>157.5</v>
      </c>
      <c r="J109">
        <v>137.80000000000001</v>
      </c>
      <c r="K109">
        <v>127.2</v>
      </c>
      <c r="L109">
        <v>111.8</v>
      </c>
      <c r="M109">
        <v>137.4</v>
      </c>
      <c r="N109">
        <v>132.19999999999999</v>
      </c>
      <c r="O109">
        <v>154.30000000000001</v>
      </c>
      <c r="P109">
        <v>139.1</v>
      </c>
      <c r="Q109">
        <v>143.19999999999999</v>
      </c>
      <c r="R109">
        <v>144.30000000000001</v>
      </c>
      <c r="S109">
        <v>141.80000000000001</v>
      </c>
      <c r="T109">
        <v>138.4</v>
      </c>
      <c r="U109">
        <v>126.4</v>
      </c>
      <c r="V109">
        <v>136.80000000000001</v>
      </c>
      <c r="W109">
        <v>144.4</v>
      </c>
      <c r="X109">
        <v>131.19999999999999</v>
      </c>
      <c r="Y109">
        <v>135.1</v>
      </c>
      <c r="Z109">
        <v>139.80000000000001</v>
      </c>
      <c r="AA109" s="1">
        <f>SUM(Table15[[#This Row],[Cereals and products]:[Food and beverages]])/13</f>
        <v>137.1076923076923</v>
      </c>
      <c r="AB109" s="1">
        <f>SUM(Table15[[#This Row],[Fuel and light]])</f>
        <v>144.30000000000001</v>
      </c>
      <c r="AC109" s="1">
        <f>SUM(Table15[[#This Row],[Transport and communication]])</f>
        <v>126.4</v>
      </c>
      <c r="AD109" s="1">
        <f>SUM(Table15[[#This Row],[Housing]],Table15[[#This Row],[Household goods and services]])/2</f>
        <v>142.5</v>
      </c>
      <c r="AE109" s="1">
        <f>SUM(Table15[[#This Row],[Health]])</f>
        <v>138.4</v>
      </c>
      <c r="AF109" s="1">
        <f>SUM(Table15[[#This Row],[Recreation and amusement]],Table15[[#This Row],[Education]])/2</f>
        <v>140.60000000000002</v>
      </c>
      <c r="AG109" s="1">
        <f>SUM(Table15[[#This Row],[Miscellaneous]],Table15[[#This Row],[Personal care and effects]])/2</f>
        <v>133.14999999999998</v>
      </c>
    </row>
    <row r="110" spans="1:33" x14ac:dyDescent="0.3">
      <c r="A110" t="s">
        <v>36</v>
      </c>
      <c r="B110">
        <v>2017</v>
      </c>
      <c r="C110" t="s">
        <v>47</v>
      </c>
      <c r="D110">
        <v>132.6</v>
      </c>
      <c r="E110">
        <v>144.1</v>
      </c>
      <c r="F110">
        <v>125.6</v>
      </c>
      <c r="G110">
        <v>136.80000000000001</v>
      </c>
      <c r="H110">
        <v>113.4</v>
      </c>
      <c r="I110">
        <v>135.19999999999999</v>
      </c>
      <c r="J110">
        <v>129.19999999999999</v>
      </c>
      <c r="K110">
        <v>131.5</v>
      </c>
      <c r="L110">
        <v>121</v>
      </c>
      <c r="M110">
        <v>139.9</v>
      </c>
      <c r="N110">
        <v>123.8</v>
      </c>
      <c r="O110">
        <v>142.9</v>
      </c>
      <c r="P110">
        <v>133.6</v>
      </c>
      <c r="Q110">
        <v>132.1</v>
      </c>
      <c r="R110">
        <v>120.1</v>
      </c>
      <c r="S110">
        <v>126.5</v>
      </c>
      <c r="T110">
        <v>123.6</v>
      </c>
      <c r="U110">
        <v>114.3</v>
      </c>
      <c r="V110">
        <v>122.8</v>
      </c>
      <c r="W110">
        <v>133.80000000000001</v>
      </c>
      <c r="X110">
        <v>122</v>
      </c>
      <c r="Y110">
        <v>122.6</v>
      </c>
      <c r="Z110">
        <v>129.30000000000001</v>
      </c>
      <c r="AA110" s="1">
        <f>SUM(Table15[[#This Row],[Cereals and products]:[Food and beverages]])/13</f>
        <v>131.50769230769231</v>
      </c>
      <c r="AB110" s="1">
        <f>SUM(Table15[[#This Row],[Fuel and light]])</f>
        <v>120.1</v>
      </c>
      <c r="AC110" s="1">
        <f>SUM(Table15[[#This Row],[Transport and communication]])</f>
        <v>114.3</v>
      </c>
      <c r="AD110" s="1">
        <f>SUM(Table15[[#This Row],[Housing]],Table15[[#This Row],[Household goods and services]])/2</f>
        <v>129.30000000000001</v>
      </c>
      <c r="AE110" s="1">
        <f>SUM(Table15[[#This Row],[Health]])</f>
        <v>123.6</v>
      </c>
      <c r="AF110" s="1">
        <f>SUM(Table15[[#This Row],[Recreation and amusement]],Table15[[#This Row],[Education]])/2</f>
        <v>128.30000000000001</v>
      </c>
      <c r="AG110" s="1">
        <f>SUM(Table15[[#This Row],[Miscellaneous]],Table15[[#This Row],[Personal care and effects]])/2</f>
        <v>122.3</v>
      </c>
    </row>
    <row r="111" spans="1:33" x14ac:dyDescent="0.3">
      <c r="A111" t="s">
        <v>35</v>
      </c>
      <c r="B111">
        <v>2017</v>
      </c>
      <c r="C111" t="s">
        <v>47</v>
      </c>
      <c r="D111">
        <v>132.9</v>
      </c>
      <c r="E111">
        <v>141.6</v>
      </c>
      <c r="F111">
        <v>126.3</v>
      </c>
      <c r="G111">
        <v>137.69999999999999</v>
      </c>
      <c r="H111">
        <v>118.1</v>
      </c>
      <c r="I111">
        <v>137.9</v>
      </c>
      <c r="J111">
        <v>125.6</v>
      </c>
      <c r="K111">
        <v>138.30000000000001</v>
      </c>
      <c r="L111">
        <v>119.4</v>
      </c>
      <c r="M111">
        <v>136</v>
      </c>
      <c r="N111">
        <v>127.6</v>
      </c>
      <c r="O111">
        <v>144.5</v>
      </c>
      <c r="P111">
        <v>133.69999999999999</v>
      </c>
      <c r="Q111">
        <v>132.1</v>
      </c>
      <c r="R111">
        <v>129.4</v>
      </c>
      <c r="S111">
        <v>130.9</v>
      </c>
      <c r="T111">
        <v>128.4</v>
      </c>
      <c r="U111">
        <v>116.7</v>
      </c>
      <c r="V111">
        <v>125.7</v>
      </c>
      <c r="W111">
        <v>134.80000000000001</v>
      </c>
      <c r="X111">
        <v>123</v>
      </c>
      <c r="Y111">
        <v>125.3</v>
      </c>
      <c r="Z111">
        <v>131.4</v>
      </c>
      <c r="AA111" s="1">
        <f>SUM(Table15[[#This Row],[Cereals and products]:[Food and beverages]])/13</f>
        <v>132.27692307692308</v>
      </c>
      <c r="AB111" s="1">
        <f>SUM(Table15[[#This Row],[Fuel and light]])</f>
        <v>129.4</v>
      </c>
      <c r="AC111" s="1">
        <f>SUM(Table15[[#This Row],[Transport and communication]])</f>
        <v>116.7</v>
      </c>
      <c r="AD111" s="1">
        <f>SUM(Table15[[#This Row],[Housing]],Table15[[#This Row],[Household goods and services]])/2</f>
        <v>131.5</v>
      </c>
      <c r="AE111" s="1">
        <f>SUM(Table15[[#This Row],[Health]])</f>
        <v>128.4</v>
      </c>
      <c r="AF111" s="1">
        <f>SUM(Table15[[#This Row],[Recreation and amusement]],Table15[[#This Row],[Education]])/2</f>
        <v>130.25</v>
      </c>
      <c r="AG111" s="1">
        <f>SUM(Table15[[#This Row],[Miscellaneous]],Table15[[#This Row],[Personal care and effects]])/2</f>
        <v>124.15</v>
      </c>
    </row>
    <row r="112" spans="1:33" x14ac:dyDescent="0.3">
      <c r="A112" t="s">
        <v>33</v>
      </c>
      <c r="B112">
        <v>2017</v>
      </c>
      <c r="C112" t="s">
        <v>47</v>
      </c>
      <c r="D112">
        <v>133.1</v>
      </c>
      <c r="E112">
        <v>140.30000000000001</v>
      </c>
      <c r="F112">
        <v>126.8</v>
      </c>
      <c r="G112">
        <v>138.19999999999999</v>
      </c>
      <c r="H112">
        <v>120.8</v>
      </c>
      <c r="I112">
        <v>140.19999999999999</v>
      </c>
      <c r="J112">
        <v>123.8</v>
      </c>
      <c r="K112">
        <v>141.80000000000001</v>
      </c>
      <c r="L112">
        <v>118.6</v>
      </c>
      <c r="M112">
        <v>134</v>
      </c>
      <c r="N112">
        <v>130.30000000000001</v>
      </c>
      <c r="O112">
        <v>145.80000000000001</v>
      </c>
      <c r="P112">
        <v>133.80000000000001</v>
      </c>
      <c r="Q112">
        <v>132.1</v>
      </c>
      <c r="R112">
        <v>135</v>
      </c>
      <c r="S112">
        <v>134.9</v>
      </c>
      <c r="T112">
        <v>131.4</v>
      </c>
      <c r="U112">
        <v>119.4</v>
      </c>
      <c r="V112">
        <v>129.4</v>
      </c>
      <c r="W112">
        <v>136.30000000000001</v>
      </c>
      <c r="X112">
        <v>123.7</v>
      </c>
      <c r="Y112">
        <v>127.9</v>
      </c>
      <c r="Z112">
        <v>133.30000000000001</v>
      </c>
      <c r="AA112" s="1">
        <f>SUM(Table15[[#This Row],[Cereals and products]:[Food and beverages]])/13</f>
        <v>132.88461538461536</v>
      </c>
      <c r="AB112" s="1">
        <f>SUM(Table15[[#This Row],[Fuel and light]])</f>
        <v>135</v>
      </c>
      <c r="AC112" s="1">
        <f>SUM(Table15[[#This Row],[Transport and communication]])</f>
        <v>119.4</v>
      </c>
      <c r="AD112" s="1">
        <f>SUM(Table15[[#This Row],[Housing]],Table15[[#This Row],[Household goods and services]])/2</f>
        <v>133.5</v>
      </c>
      <c r="AE112" s="1">
        <f>SUM(Table15[[#This Row],[Health]])</f>
        <v>131.4</v>
      </c>
      <c r="AF112" s="1">
        <f>SUM(Table15[[#This Row],[Recreation and amusement]],Table15[[#This Row],[Education]])/2</f>
        <v>132.85000000000002</v>
      </c>
      <c r="AG112" s="1">
        <f>SUM(Table15[[#This Row],[Miscellaneous]],Table15[[#This Row],[Personal care and effects]])/2</f>
        <v>125.80000000000001</v>
      </c>
    </row>
    <row r="113" spans="1:33" x14ac:dyDescent="0.3">
      <c r="A113" t="s">
        <v>36</v>
      </c>
      <c r="B113">
        <v>2016</v>
      </c>
      <c r="C113" t="s">
        <v>47</v>
      </c>
      <c r="D113">
        <v>125</v>
      </c>
      <c r="E113">
        <v>142.1</v>
      </c>
      <c r="F113">
        <v>127</v>
      </c>
      <c r="G113">
        <v>130.4</v>
      </c>
      <c r="H113">
        <v>109.6</v>
      </c>
      <c r="I113">
        <v>133.5</v>
      </c>
      <c r="J113">
        <v>151.4</v>
      </c>
      <c r="K113">
        <v>182.8</v>
      </c>
      <c r="L113">
        <v>111.1</v>
      </c>
      <c r="M113">
        <v>141.5</v>
      </c>
      <c r="N113">
        <v>121.5</v>
      </c>
      <c r="O113">
        <v>136.30000000000001</v>
      </c>
      <c r="P113">
        <v>134.6</v>
      </c>
      <c r="Q113">
        <v>126</v>
      </c>
      <c r="R113">
        <v>115</v>
      </c>
      <c r="S113">
        <v>123.2</v>
      </c>
      <c r="T113">
        <v>120.3</v>
      </c>
      <c r="U113">
        <v>110.7</v>
      </c>
      <c r="V113">
        <v>119.8</v>
      </c>
      <c r="W113">
        <v>128</v>
      </c>
      <c r="X113">
        <v>118.5</v>
      </c>
      <c r="Y113">
        <v>118.7</v>
      </c>
      <c r="Z113">
        <v>126.6</v>
      </c>
      <c r="AA113" s="1">
        <f>SUM(Table15[[#This Row],[Cereals and products]:[Food and beverages]])/13</f>
        <v>134.36923076923074</v>
      </c>
      <c r="AB113" s="1">
        <f>SUM(Table15[[#This Row],[Fuel and light]])</f>
        <v>115</v>
      </c>
      <c r="AC113" s="1">
        <f>SUM(Table15[[#This Row],[Transport and communication]])</f>
        <v>110.7</v>
      </c>
      <c r="AD113" s="1">
        <f>SUM(Table15[[#This Row],[Housing]],Table15[[#This Row],[Household goods and services]])/2</f>
        <v>124.6</v>
      </c>
      <c r="AE113" s="1">
        <f>SUM(Table15[[#This Row],[Health]])</f>
        <v>120.3</v>
      </c>
      <c r="AF113" s="1">
        <f>SUM(Table15[[#This Row],[Recreation and amusement]],Table15[[#This Row],[Education]])/2</f>
        <v>123.9</v>
      </c>
      <c r="AG113" s="1">
        <f>SUM(Table15[[#This Row],[Miscellaneous]],Table15[[#This Row],[Personal care and effects]])/2</f>
        <v>118.6</v>
      </c>
    </row>
    <row r="114" spans="1:33" x14ac:dyDescent="0.3">
      <c r="A114" t="s">
        <v>35</v>
      </c>
      <c r="B114">
        <v>2016</v>
      </c>
      <c r="C114" t="s">
        <v>47</v>
      </c>
      <c r="D114">
        <v>126.8</v>
      </c>
      <c r="E114">
        <v>139.1</v>
      </c>
      <c r="F114">
        <v>125.4</v>
      </c>
      <c r="G114">
        <v>131.69999999999999</v>
      </c>
      <c r="H114">
        <v>115</v>
      </c>
      <c r="I114">
        <v>136</v>
      </c>
      <c r="J114">
        <v>145.1</v>
      </c>
      <c r="K114">
        <v>171.7</v>
      </c>
      <c r="L114">
        <v>108.7</v>
      </c>
      <c r="M114">
        <v>135.30000000000001</v>
      </c>
      <c r="N114">
        <v>124.2</v>
      </c>
      <c r="O114">
        <v>137.4</v>
      </c>
      <c r="P114">
        <v>134</v>
      </c>
      <c r="Q114">
        <v>126</v>
      </c>
      <c r="R114">
        <v>122.7</v>
      </c>
      <c r="S114">
        <v>126</v>
      </c>
      <c r="T114">
        <v>123.7</v>
      </c>
      <c r="U114">
        <v>112.8</v>
      </c>
      <c r="V114">
        <v>121.5</v>
      </c>
      <c r="W114">
        <v>128.5</v>
      </c>
      <c r="X114">
        <v>119.2</v>
      </c>
      <c r="Y114">
        <v>120.7</v>
      </c>
      <c r="Z114">
        <v>128.6</v>
      </c>
      <c r="AA114" s="1">
        <f>SUM(Table15[[#This Row],[Cereals and products]:[Food and beverages]])/13</f>
        <v>133.1076923076923</v>
      </c>
      <c r="AB114" s="1">
        <f>SUM(Table15[[#This Row],[Fuel and light]])</f>
        <v>122.7</v>
      </c>
      <c r="AC114" s="1">
        <f>SUM(Table15[[#This Row],[Transport and communication]])</f>
        <v>112.8</v>
      </c>
      <c r="AD114" s="1">
        <f>SUM(Table15[[#This Row],[Housing]],Table15[[#This Row],[Household goods and services]])/2</f>
        <v>126</v>
      </c>
      <c r="AE114" s="1">
        <f>SUM(Table15[[#This Row],[Health]])</f>
        <v>123.7</v>
      </c>
      <c r="AF114" s="1">
        <f>SUM(Table15[[#This Row],[Recreation and amusement]],Table15[[#This Row],[Education]])/2</f>
        <v>125</v>
      </c>
      <c r="AG114" s="1">
        <f>SUM(Table15[[#This Row],[Miscellaneous]],Table15[[#This Row],[Personal care and effects]])/2</f>
        <v>119.95</v>
      </c>
    </row>
    <row r="115" spans="1:33" x14ac:dyDescent="0.3">
      <c r="A115" t="s">
        <v>33</v>
      </c>
      <c r="B115">
        <v>2016</v>
      </c>
      <c r="C115" t="s">
        <v>47</v>
      </c>
      <c r="D115">
        <v>127.6</v>
      </c>
      <c r="E115">
        <v>137.5</v>
      </c>
      <c r="F115">
        <v>124.4</v>
      </c>
      <c r="G115">
        <v>132.4</v>
      </c>
      <c r="H115">
        <v>118.2</v>
      </c>
      <c r="I115">
        <v>138.1</v>
      </c>
      <c r="J115">
        <v>141.80000000000001</v>
      </c>
      <c r="K115">
        <v>166</v>
      </c>
      <c r="L115">
        <v>107.5</v>
      </c>
      <c r="M115">
        <v>132.19999999999999</v>
      </c>
      <c r="N115">
        <v>126.1</v>
      </c>
      <c r="O115">
        <v>138.30000000000001</v>
      </c>
      <c r="P115">
        <v>133.6</v>
      </c>
      <c r="Q115">
        <v>126</v>
      </c>
      <c r="R115">
        <v>127.4</v>
      </c>
      <c r="S115">
        <v>128.5</v>
      </c>
      <c r="T115">
        <v>125.8</v>
      </c>
      <c r="U115">
        <v>115.1</v>
      </c>
      <c r="V115">
        <v>123.6</v>
      </c>
      <c r="W115">
        <v>129.1</v>
      </c>
      <c r="X115">
        <v>119.7</v>
      </c>
      <c r="Y115">
        <v>122.5</v>
      </c>
      <c r="Z115">
        <v>130.30000000000001</v>
      </c>
      <c r="AA115" s="1">
        <f>SUM(Table15[[#This Row],[Cereals and products]:[Food and beverages]])/13</f>
        <v>132.59230769230768</v>
      </c>
      <c r="AB115" s="1">
        <f>SUM(Table15[[#This Row],[Fuel and light]])</f>
        <v>127.4</v>
      </c>
      <c r="AC115" s="1">
        <f>SUM(Table15[[#This Row],[Transport and communication]])</f>
        <v>115.1</v>
      </c>
      <c r="AD115" s="1">
        <f>SUM(Table15[[#This Row],[Housing]],Table15[[#This Row],[Household goods and services]])/2</f>
        <v>127.25</v>
      </c>
      <c r="AE115" s="1">
        <f>SUM(Table15[[#This Row],[Health]])</f>
        <v>125.8</v>
      </c>
      <c r="AF115" s="1">
        <f>SUM(Table15[[#This Row],[Recreation and amusement]],Table15[[#This Row],[Education]])/2</f>
        <v>126.35</v>
      </c>
      <c r="AG115" s="1">
        <f>SUM(Table15[[#This Row],[Miscellaneous]],Table15[[#This Row],[Personal care and effects]])/2</f>
        <v>121.1</v>
      </c>
    </row>
    <row r="116" spans="1:33" x14ac:dyDescent="0.3">
      <c r="A116" t="s">
        <v>33</v>
      </c>
      <c r="B116">
        <v>2015</v>
      </c>
      <c r="C116" t="s">
        <v>47</v>
      </c>
      <c r="D116">
        <v>123.5</v>
      </c>
      <c r="E116">
        <v>127.1</v>
      </c>
      <c r="F116">
        <v>117.3</v>
      </c>
      <c r="G116">
        <v>127.7</v>
      </c>
      <c r="H116">
        <v>112.5</v>
      </c>
      <c r="I116">
        <v>134.1</v>
      </c>
      <c r="J116">
        <v>128.5</v>
      </c>
      <c r="K116">
        <v>124.3</v>
      </c>
      <c r="L116">
        <v>97.6</v>
      </c>
      <c r="M116">
        <v>120.7</v>
      </c>
      <c r="N116">
        <v>120.2</v>
      </c>
      <c r="O116">
        <v>129.80000000000001</v>
      </c>
      <c r="P116">
        <v>124.4</v>
      </c>
      <c r="Q116">
        <v>114.3</v>
      </c>
      <c r="R116">
        <v>121.9</v>
      </c>
      <c r="S116">
        <v>121.5</v>
      </c>
      <c r="T116">
        <v>119.4</v>
      </c>
      <c r="U116">
        <v>113.3</v>
      </c>
      <c r="V116">
        <v>116.7</v>
      </c>
      <c r="W116">
        <v>120.5</v>
      </c>
      <c r="X116">
        <v>112.3</v>
      </c>
      <c r="Y116">
        <v>116.9</v>
      </c>
      <c r="Z116">
        <v>122.4</v>
      </c>
      <c r="AA116" s="1">
        <f>SUM(Table15[[#This Row],[Cereals and products]:[Food and beverages]])/13</f>
        <v>122.13076923076923</v>
      </c>
      <c r="AB116" s="1">
        <f>SUM(Table15[[#This Row],[Fuel and light]])</f>
        <v>121.9</v>
      </c>
      <c r="AC116" s="1">
        <f>SUM(Table15[[#This Row],[Transport and communication]])</f>
        <v>113.3</v>
      </c>
      <c r="AD116" s="1">
        <f>SUM(Table15[[#This Row],[Housing]],Table15[[#This Row],[Household goods and services]])/2</f>
        <v>117.9</v>
      </c>
      <c r="AE116" s="1">
        <f>SUM(Table15[[#This Row],[Health]])</f>
        <v>119.4</v>
      </c>
      <c r="AF116" s="1">
        <f>SUM(Table15[[#This Row],[Recreation and amusement]],Table15[[#This Row],[Education]])/2</f>
        <v>118.6</v>
      </c>
      <c r="AG116" s="1">
        <f>SUM(Table15[[#This Row],[Miscellaneous]],Table15[[#This Row],[Personal care and effects]])/2</f>
        <v>114.6</v>
      </c>
    </row>
    <row r="117" spans="1:33" x14ac:dyDescent="0.3">
      <c r="A117" t="s">
        <v>35</v>
      </c>
      <c r="B117">
        <v>2015</v>
      </c>
      <c r="C117" t="s">
        <v>47</v>
      </c>
      <c r="D117">
        <v>123.6</v>
      </c>
      <c r="E117">
        <v>128</v>
      </c>
      <c r="F117">
        <v>115</v>
      </c>
      <c r="G117">
        <v>127.3</v>
      </c>
      <c r="H117">
        <v>109.8</v>
      </c>
      <c r="I117">
        <v>132.6</v>
      </c>
      <c r="J117">
        <v>130.9</v>
      </c>
      <c r="K117">
        <v>130.5</v>
      </c>
      <c r="L117">
        <v>95.3</v>
      </c>
      <c r="M117">
        <v>123.4</v>
      </c>
      <c r="N117">
        <v>119.2</v>
      </c>
      <c r="O117">
        <v>129.80000000000001</v>
      </c>
      <c r="P117">
        <v>125</v>
      </c>
      <c r="Q117">
        <v>119.6</v>
      </c>
      <c r="R117">
        <v>119.2</v>
      </c>
      <c r="S117">
        <v>120.2</v>
      </c>
      <c r="T117">
        <v>117.7</v>
      </c>
      <c r="U117">
        <v>112</v>
      </c>
      <c r="V117">
        <v>116.3</v>
      </c>
      <c r="W117">
        <v>121.4</v>
      </c>
      <c r="X117">
        <v>112.3</v>
      </c>
      <c r="Y117">
        <v>116.1</v>
      </c>
      <c r="Z117">
        <v>121.6</v>
      </c>
      <c r="AA117" s="1">
        <f>SUM(Table15[[#This Row],[Cereals and products]:[Food and beverages]])/13</f>
        <v>122.33846153846154</v>
      </c>
      <c r="AB117" s="1">
        <f>SUM(Table15[[#This Row],[Fuel and light]])</f>
        <v>119.2</v>
      </c>
      <c r="AC117" s="1">
        <f>SUM(Table15[[#This Row],[Transport and communication]])</f>
        <v>112</v>
      </c>
      <c r="AD117" s="1">
        <f>SUM(Table15[[#This Row],[Housing]],Table15[[#This Row],[Household goods and services]])/2</f>
        <v>119.9</v>
      </c>
      <c r="AE117" s="1">
        <f>SUM(Table15[[#This Row],[Health]])</f>
        <v>117.7</v>
      </c>
      <c r="AF117" s="1">
        <f>SUM(Table15[[#This Row],[Recreation and amusement]],Table15[[#This Row],[Education]])/2</f>
        <v>118.85</v>
      </c>
      <c r="AG117" s="1">
        <f>SUM(Table15[[#This Row],[Miscellaneous]],Table15[[#This Row],[Personal care and effects]])/2</f>
        <v>114.19999999999999</v>
      </c>
    </row>
    <row r="118" spans="1:33" x14ac:dyDescent="0.3">
      <c r="A118" t="s">
        <v>36</v>
      </c>
      <c r="B118">
        <v>2015</v>
      </c>
      <c r="C118" t="s">
        <v>47</v>
      </c>
      <c r="D118">
        <v>123.8</v>
      </c>
      <c r="E118">
        <v>129.69999999999999</v>
      </c>
      <c r="F118">
        <v>111.3</v>
      </c>
      <c r="G118">
        <v>126.6</v>
      </c>
      <c r="H118">
        <v>105.2</v>
      </c>
      <c r="I118">
        <v>130.80000000000001</v>
      </c>
      <c r="J118">
        <v>135.6</v>
      </c>
      <c r="K118">
        <v>142.6</v>
      </c>
      <c r="L118">
        <v>90.8</v>
      </c>
      <c r="M118">
        <v>128.80000000000001</v>
      </c>
      <c r="N118">
        <v>117.7</v>
      </c>
      <c r="O118">
        <v>129.9</v>
      </c>
      <c r="P118">
        <v>126.1</v>
      </c>
      <c r="Q118">
        <v>119.6</v>
      </c>
      <c r="R118">
        <v>114.9</v>
      </c>
      <c r="S118">
        <v>118.7</v>
      </c>
      <c r="T118">
        <v>114.9</v>
      </c>
      <c r="U118">
        <v>110.8</v>
      </c>
      <c r="V118">
        <v>116</v>
      </c>
      <c r="W118">
        <v>122</v>
      </c>
      <c r="X118">
        <v>112.4</v>
      </c>
      <c r="Y118">
        <v>115.2</v>
      </c>
      <c r="Z118">
        <v>120.7</v>
      </c>
      <c r="AA118" s="1">
        <f>SUM(Table15[[#This Row],[Cereals and products]:[Food and beverages]])/13</f>
        <v>122.9923076923077</v>
      </c>
      <c r="AB118" s="1">
        <f>SUM(Table15[[#This Row],[Fuel and light]])</f>
        <v>114.9</v>
      </c>
      <c r="AC118" s="1">
        <f>SUM(Table15[[#This Row],[Transport and communication]])</f>
        <v>110.8</v>
      </c>
      <c r="AD118" s="1">
        <f>SUM(Table15[[#This Row],[Housing]],Table15[[#This Row],[Household goods and services]])/2</f>
        <v>119.15</v>
      </c>
      <c r="AE118" s="1">
        <f>SUM(Table15[[#This Row],[Health]])</f>
        <v>114.9</v>
      </c>
      <c r="AF118" s="1">
        <f>SUM(Table15[[#This Row],[Recreation and amusement]],Table15[[#This Row],[Education]])/2</f>
        <v>119</v>
      </c>
      <c r="AG118" s="1">
        <f>SUM(Table15[[#This Row],[Miscellaneous]],Table15[[#This Row],[Personal care and effects]])/2</f>
        <v>113.80000000000001</v>
      </c>
    </row>
    <row r="119" spans="1:33" x14ac:dyDescent="0.3">
      <c r="A119" t="s">
        <v>33</v>
      </c>
      <c r="B119">
        <v>2014</v>
      </c>
      <c r="C119" t="s">
        <v>47</v>
      </c>
      <c r="D119">
        <v>120.3</v>
      </c>
      <c r="E119">
        <v>120.2</v>
      </c>
      <c r="F119">
        <v>116.9</v>
      </c>
      <c r="G119">
        <v>118</v>
      </c>
      <c r="H119">
        <v>110.1</v>
      </c>
      <c r="I119">
        <v>126.3</v>
      </c>
      <c r="J119">
        <v>123.9</v>
      </c>
      <c r="K119">
        <v>111.5</v>
      </c>
      <c r="L119">
        <v>103.5</v>
      </c>
      <c r="M119">
        <v>111.6</v>
      </c>
      <c r="N119">
        <v>114.2</v>
      </c>
      <c r="O119">
        <v>119.2</v>
      </c>
      <c r="P119">
        <v>118.2</v>
      </c>
      <c r="Q119">
        <v>100.5</v>
      </c>
      <c r="R119">
        <v>113.4</v>
      </c>
      <c r="S119">
        <v>114.1</v>
      </c>
      <c r="T119">
        <v>112.1</v>
      </c>
      <c r="U119">
        <v>111.4</v>
      </c>
      <c r="V119">
        <v>110.9</v>
      </c>
      <c r="W119">
        <v>113.1</v>
      </c>
      <c r="X119">
        <v>108.9</v>
      </c>
      <c r="Y119">
        <v>111.8</v>
      </c>
      <c r="Z119">
        <v>116</v>
      </c>
      <c r="AA119" s="1">
        <f>SUM(Table15[[#This Row],[Cereals and products]:[Food and beverages]])/13</f>
        <v>116.45384615384614</v>
      </c>
      <c r="AB119" s="1">
        <f>SUM(Table15[[#This Row],[Fuel and light]])</f>
        <v>113.4</v>
      </c>
      <c r="AC119" s="1">
        <f>SUM(Table15[[#This Row],[Transport and communication]])</f>
        <v>111.4</v>
      </c>
      <c r="AD119" s="1">
        <f>SUM(Table15[[#This Row],[Housing]],Table15[[#This Row],[Household goods and services]])/2</f>
        <v>107.3</v>
      </c>
      <c r="AE119" s="1">
        <f>SUM(Table15[[#This Row],[Health]])</f>
        <v>112.1</v>
      </c>
      <c r="AF119" s="1">
        <f>SUM(Table15[[#This Row],[Recreation and amusement]],Table15[[#This Row],[Education]])/2</f>
        <v>112</v>
      </c>
      <c r="AG119" s="1">
        <f>SUM(Table15[[#This Row],[Miscellaneous]],Table15[[#This Row],[Personal care and effects]])/2</f>
        <v>110.35</v>
      </c>
    </row>
    <row r="120" spans="1:33" x14ac:dyDescent="0.3">
      <c r="A120" t="s">
        <v>35</v>
      </c>
      <c r="B120">
        <v>2014</v>
      </c>
      <c r="C120" t="s">
        <v>47</v>
      </c>
      <c r="D120">
        <v>121.1</v>
      </c>
      <c r="E120">
        <v>121.6</v>
      </c>
      <c r="F120">
        <v>115.9</v>
      </c>
      <c r="G120">
        <v>118.4</v>
      </c>
      <c r="H120">
        <v>107.7</v>
      </c>
      <c r="I120">
        <v>127.7</v>
      </c>
      <c r="J120">
        <v>125</v>
      </c>
      <c r="K120">
        <v>111.9</v>
      </c>
      <c r="L120">
        <v>102.8</v>
      </c>
      <c r="M120">
        <v>113.4</v>
      </c>
      <c r="N120">
        <v>113.7</v>
      </c>
      <c r="O120">
        <v>120.4</v>
      </c>
      <c r="P120">
        <v>118.9</v>
      </c>
      <c r="Q120">
        <v>114.3</v>
      </c>
      <c r="R120">
        <v>112.5</v>
      </c>
      <c r="S120">
        <v>114.1</v>
      </c>
      <c r="T120">
        <v>111.8</v>
      </c>
      <c r="U120">
        <v>111.3</v>
      </c>
      <c r="V120">
        <v>111.2</v>
      </c>
      <c r="W120">
        <v>113</v>
      </c>
      <c r="X120">
        <v>109.1</v>
      </c>
      <c r="Y120">
        <v>111.8</v>
      </c>
      <c r="Z120">
        <v>115.8</v>
      </c>
      <c r="AA120" s="1">
        <f>SUM(Table15[[#This Row],[Cereals and products]:[Food and beverages]])/13</f>
        <v>116.80769230769235</v>
      </c>
      <c r="AB120" s="1">
        <f>SUM(Table15[[#This Row],[Fuel and light]])</f>
        <v>112.5</v>
      </c>
      <c r="AC120" s="1">
        <f>SUM(Table15[[#This Row],[Transport and communication]])</f>
        <v>111.3</v>
      </c>
      <c r="AD120" s="1">
        <f>SUM(Table15[[#This Row],[Housing]],Table15[[#This Row],[Household goods and services]])/2</f>
        <v>114.19999999999999</v>
      </c>
      <c r="AE120" s="1">
        <f>SUM(Table15[[#This Row],[Health]])</f>
        <v>111.8</v>
      </c>
      <c r="AF120" s="1">
        <f>SUM(Table15[[#This Row],[Recreation and amusement]],Table15[[#This Row],[Education]])/2</f>
        <v>112.1</v>
      </c>
      <c r="AG120" s="1">
        <f>SUM(Table15[[#This Row],[Miscellaneous]],Table15[[#This Row],[Personal care and effects]])/2</f>
        <v>110.44999999999999</v>
      </c>
    </row>
    <row r="121" spans="1:33" x14ac:dyDescent="0.3">
      <c r="A121" t="s">
        <v>36</v>
      </c>
      <c r="B121">
        <v>2014</v>
      </c>
      <c r="C121" t="s">
        <v>47</v>
      </c>
      <c r="D121">
        <v>122.7</v>
      </c>
      <c r="E121">
        <v>124.1</v>
      </c>
      <c r="F121">
        <v>114.2</v>
      </c>
      <c r="G121">
        <v>119.1</v>
      </c>
      <c r="H121">
        <v>103.5</v>
      </c>
      <c r="I121">
        <v>129.19999999999999</v>
      </c>
      <c r="J121">
        <v>127</v>
      </c>
      <c r="K121">
        <v>112.6</v>
      </c>
      <c r="L121">
        <v>101.3</v>
      </c>
      <c r="M121">
        <v>117</v>
      </c>
      <c r="N121">
        <v>112.9</v>
      </c>
      <c r="O121">
        <v>121.7</v>
      </c>
      <c r="P121">
        <v>120</v>
      </c>
      <c r="Q121">
        <v>114.3</v>
      </c>
      <c r="R121">
        <v>111.1</v>
      </c>
      <c r="S121">
        <v>114.1</v>
      </c>
      <c r="T121">
        <v>111.2</v>
      </c>
      <c r="U121">
        <v>111.3</v>
      </c>
      <c r="V121">
        <v>111.5</v>
      </c>
      <c r="W121">
        <v>112.9</v>
      </c>
      <c r="X121">
        <v>109.3</v>
      </c>
      <c r="Y121">
        <v>111.7</v>
      </c>
      <c r="Z121">
        <v>115.6</v>
      </c>
      <c r="AA121" s="1">
        <f>SUM(Table15[[#This Row],[Cereals and products]:[Food and beverages]])/13</f>
        <v>117.33076923076925</v>
      </c>
      <c r="AB121" s="1">
        <f>SUM(Table15[[#This Row],[Fuel and light]])</f>
        <v>111.1</v>
      </c>
      <c r="AC121" s="1">
        <f>SUM(Table15[[#This Row],[Transport and communication]])</f>
        <v>111.3</v>
      </c>
      <c r="AD121" s="1">
        <f>SUM(Table15[[#This Row],[Housing]],Table15[[#This Row],[Household goods and services]])/2</f>
        <v>114.19999999999999</v>
      </c>
      <c r="AE121" s="1">
        <f>SUM(Table15[[#This Row],[Health]])</f>
        <v>111.2</v>
      </c>
      <c r="AF121" s="1">
        <f>SUM(Table15[[#This Row],[Recreation and amusement]],Table15[[#This Row],[Education]])/2</f>
        <v>112.2</v>
      </c>
      <c r="AG121" s="1">
        <f>SUM(Table15[[#This Row],[Miscellaneous]],Table15[[#This Row],[Personal care and effects]])/2</f>
        <v>110.5</v>
      </c>
    </row>
    <row r="122" spans="1:33" x14ac:dyDescent="0.3">
      <c r="A122" t="s">
        <v>33</v>
      </c>
      <c r="B122">
        <v>2013</v>
      </c>
      <c r="C122" t="s">
        <v>47</v>
      </c>
      <c r="D122">
        <v>110.9</v>
      </c>
      <c r="E122">
        <v>109.8</v>
      </c>
      <c r="F122">
        <v>105.9</v>
      </c>
      <c r="G122">
        <v>107.5</v>
      </c>
      <c r="H122">
        <v>105.3</v>
      </c>
      <c r="I122">
        <v>108.1</v>
      </c>
      <c r="J122">
        <v>107.3</v>
      </c>
      <c r="K122">
        <v>106.1</v>
      </c>
      <c r="L122">
        <v>103.7</v>
      </c>
      <c r="M122">
        <v>104</v>
      </c>
      <c r="N122">
        <v>107.4</v>
      </c>
      <c r="O122">
        <v>109.9</v>
      </c>
      <c r="P122">
        <v>108.1</v>
      </c>
      <c r="Q122">
        <v>171.8</v>
      </c>
      <c r="R122">
        <v>107.5</v>
      </c>
      <c r="S122">
        <v>106.8</v>
      </c>
      <c r="T122">
        <v>105.7</v>
      </c>
      <c r="U122">
        <v>104.1</v>
      </c>
      <c r="V122">
        <v>105</v>
      </c>
      <c r="W122">
        <v>105.5</v>
      </c>
      <c r="X122">
        <v>102.1</v>
      </c>
      <c r="Y122">
        <v>104.8</v>
      </c>
      <c r="Z122">
        <v>107.2</v>
      </c>
      <c r="AA122" s="1">
        <f>SUM(Table15[[#This Row],[Cereals and products]:[Food and beverages]])/13</f>
        <v>107.23076923076923</v>
      </c>
      <c r="AB122" s="1">
        <f>SUM(Table15[[#This Row],[Fuel and light]])</f>
        <v>107.5</v>
      </c>
      <c r="AC122" s="1">
        <f>SUM(Table15[[#This Row],[Transport and communication]])</f>
        <v>104.1</v>
      </c>
      <c r="AD122" s="1">
        <f>SUM(Table15[[#This Row],[Housing]],Table15[[#This Row],[Household goods and services]])/2</f>
        <v>139.30000000000001</v>
      </c>
      <c r="AE122" s="1">
        <f>SUM(Table15[[#This Row],[Health]])</f>
        <v>105.7</v>
      </c>
      <c r="AF122" s="1">
        <f>SUM(Table15[[#This Row],[Recreation and amusement]],Table15[[#This Row],[Education]])/2</f>
        <v>105.25</v>
      </c>
      <c r="AG122" s="1">
        <f>SUM(Table15[[#This Row],[Miscellaneous]],Table15[[#This Row],[Personal care and effects]])/2</f>
        <v>103.44999999999999</v>
      </c>
    </row>
    <row r="123" spans="1:33" x14ac:dyDescent="0.3">
      <c r="A123" t="s">
        <v>35</v>
      </c>
      <c r="B123">
        <v>2013</v>
      </c>
      <c r="C123" t="s">
        <v>47</v>
      </c>
      <c r="D123">
        <v>112.3</v>
      </c>
      <c r="E123">
        <v>111.3</v>
      </c>
      <c r="F123">
        <v>104.7</v>
      </c>
      <c r="G123">
        <v>106.8</v>
      </c>
      <c r="H123">
        <v>103.9</v>
      </c>
      <c r="I123">
        <v>109.3</v>
      </c>
      <c r="J123">
        <v>112.9</v>
      </c>
      <c r="K123">
        <v>105.8</v>
      </c>
      <c r="L123">
        <v>103.1</v>
      </c>
      <c r="M123">
        <v>104.3</v>
      </c>
      <c r="N123">
        <v>108.1</v>
      </c>
      <c r="O123">
        <v>110.5</v>
      </c>
      <c r="P123">
        <v>109.2</v>
      </c>
      <c r="Q123">
        <v>100.5</v>
      </c>
      <c r="R123">
        <v>107.4</v>
      </c>
      <c r="S123">
        <v>106.9</v>
      </c>
      <c r="T123">
        <v>105.9</v>
      </c>
      <c r="U123">
        <v>104</v>
      </c>
      <c r="V123">
        <v>104.8</v>
      </c>
      <c r="W123">
        <v>105.6</v>
      </c>
      <c r="X123">
        <v>102.3</v>
      </c>
      <c r="Y123">
        <v>104.8</v>
      </c>
      <c r="Z123">
        <v>106.9</v>
      </c>
      <c r="AA123" s="1">
        <f>SUM(Table15[[#This Row],[Cereals and products]:[Food and beverages]])/13</f>
        <v>107.86153846153844</v>
      </c>
      <c r="AB123" s="1">
        <f>SUM(Table15[[#This Row],[Fuel and light]])</f>
        <v>107.4</v>
      </c>
      <c r="AC123" s="1">
        <f>SUM(Table15[[#This Row],[Transport and communication]])</f>
        <v>104</v>
      </c>
      <c r="AD123" s="1">
        <f>SUM(Table15[[#This Row],[Housing]],Table15[[#This Row],[Household goods and services]])/2</f>
        <v>103.7</v>
      </c>
      <c r="AE123" s="1">
        <f>SUM(Table15[[#This Row],[Health]])</f>
        <v>105.9</v>
      </c>
      <c r="AF123" s="1">
        <f>SUM(Table15[[#This Row],[Recreation and amusement]],Table15[[#This Row],[Education]])/2</f>
        <v>105.19999999999999</v>
      </c>
      <c r="AG123" s="1">
        <f>SUM(Table15[[#This Row],[Miscellaneous]],Table15[[#This Row],[Personal care and effects]])/2</f>
        <v>103.55</v>
      </c>
    </row>
    <row r="124" spans="1:33" x14ac:dyDescent="0.3">
      <c r="A124" t="s">
        <v>36</v>
      </c>
      <c r="B124">
        <v>2013</v>
      </c>
      <c r="C124" t="s">
        <v>47</v>
      </c>
      <c r="D124">
        <v>115.4</v>
      </c>
      <c r="E124">
        <v>114.2</v>
      </c>
      <c r="F124">
        <v>102.7</v>
      </c>
      <c r="G124">
        <v>105.5</v>
      </c>
      <c r="H124">
        <v>101.5</v>
      </c>
      <c r="I124">
        <v>110.6</v>
      </c>
      <c r="J124">
        <v>123.7</v>
      </c>
      <c r="K124">
        <v>105.2</v>
      </c>
      <c r="L124">
        <v>101.9</v>
      </c>
      <c r="M124">
        <v>105</v>
      </c>
      <c r="N124">
        <v>109.1</v>
      </c>
      <c r="O124">
        <v>111.3</v>
      </c>
      <c r="P124">
        <v>111.1</v>
      </c>
      <c r="Q124">
        <v>100.5</v>
      </c>
      <c r="R124">
        <v>107.2</v>
      </c>
      <c r="S124">
        <v>107.1</v>
      </c>
      <c r="T124">
        <v>106.2</v>
      </c>
      <c r="U124">
        <v>103.9</v>
      </c>
      <c r="V124">
        <v>104.6</v>
      </c>
      <c r="W124">
        <v>105.7</v>
      </c>
      <c r="X124">
        <v>102.6</v>
      </c>
      <c r="Y124">
        <v>104.9</v>
      </c>
      <c r="Z124">
        <v>106.6</v>
      </c>
      <c r="AA124" s="1">
        <f>SUM(Table15[[#This Row],[Cereals and products]:[Food and beverages]])/13</f>
        <v>109.0153846153846</v>
      </c>
      <c r="AB124" s="1">
        <f>SUM(Table15[[#This Row],[Fuel and light]])</f>
        <v>107.2</v>
      </c>
      <c r="AC124" s="1">
        <f>SUM(Table15[[#This Row],[Transport and communication]])</f>
        <v>103.9</v>
      </c>
      <c r="AD124" s="1">
        <f>SUM(Table15[[#This Row],[Housing]],Table15[[#This Row],[Household goods and services]])/2</f>
        <v>103.8</v>
      </c>
      <c r="AE124" s="1">
        <f>SUM(Table15[[#This Row],[Health]])</f>
        <v>106.2</v>
      </c>
      <c r="AF124" s="1">
        <f>SUM(Table15[[#This Row],[Recreation and amusement]],Table15[[#This Row],[Education]])/2</f>
        <v>105.15</v>
      </c>
      <c r="AG124" s="1">
        <f>SUM(Table15[[#This Row],[Miscellaneous]],Table15[[#This Row],[Personal care and effects]])/2</f>
        <v>103.75</v>
      </c>
    </row>
    <row r="125" spans="1:33" x14ac:dyDescent="0.3">
      <c r="A125" t="s">
        <v>35</v>
      </c>
      <c r="B125">
        <v>2014</v>
      </c>
      <c r="C125" t="s">
        <v>49</v>
      </c>
      <c r="D125">
        <v>120.7</v>
      </c>
      <c r="E125">
        <v>119.3</v>
      </c>
      <c r="F125">
        <v>121</v>
      </c>
      <c r="G125">
        <v>116.1</v>
      </c>
      <c r="H125">
        <v>106.9</v>
      </c>
      <c r="I125">
        <v>118.7</v>
      </c>
      <c r="J125">
        <v>116.3</v>
      </c>
      <c r="K125">
        <v>109.8</v>
      </c>
      <c r="L125">
        <v>99.6</v>
      </c>
      <c r="M125">
        <v>111.8</v>
      </c>
      <c r="N125">
        <v>112.7</v>
      </c>
      <c r="O125">
        <v>119.3</v>
      </c>
      <c r="P125">
        <v>116.1</v>
      </c>
      <c r="Q125">
        <v>113.2</v>
      </c>
      <c r="R125">
        <v>112.5</v>
      </c>
      <c r="S125">
        <v>113.2</v>
      </c>
      <c r="T125">
        <v>111.2</v>
      </c>
      <c r="U125">
        <v>111.4</v>
      </c>
      <c r="V125">
        <v>110.6</v>
      </c>
      <c r="W125">
        <v>112</v>
      </c>
      <c r="X125">
        <v>109</v>
      </c>
      <c r="Y125">
        <v>111.3</v>
      </c>
      <c r="Z125">
        <v>114.2</v>
      </c>
      <c r="AA125" s="1">
        <f>SUM(Table15[[#This Row],[Cereals and products]:[Food and beverages]])/13</f>
        <v>114.48461538461537</v>
      </c>
      <c r="AB125" s="1">
        <f>SUM(Table15[[#This Row],[Fuel and light]])</f>
        <v>112.5</v>
      </c>
      <c r="AC125" s="1">
        <f>SUM(Table15[[#This Row],[Transport and communication]])</f>
        <v>111.4</v>
      </c>
      <c r="AD125" s="1">
        <f>SUM(Table15[[#This Row],[Housing]],Table15[[#This Row],[Household goods and services]])/2</f>
        <v>113.2</v>
      </c>
      <c r="AE125" s="1">
        <f>SUM(Table15[[#This Row],[Health]])</f>
        <v>111.2</v>
      </c>
      <c r="AF125" s="1">
        <f>SUM(Table15[[#This Row],[Recreation and amusement]],Table15[[#This Row],[Education]])/2</f>
        <v>111.3</v>
      </c>
      <c r="AG125" s="1">
        <f>SUM(Table15[[#This Row],[Miscellaneous]],Table15[[#This Row],[Personal care and effects]])/2</f>
        <v>110.15</v>
      </c>
    </row>
    <row r="126" spans="1:33" x14ac:dyDescent="0.3">
      <c r="A126" t="s">
        <v>33</v>
      </c>
      <c r="B126">
        <v>2023</v>
      </c>
      <c r="C126" t="s">
        <v>46</v>
      </c>
      <c r="D126">
        <v>174.3</v>
      </c>
      <c r="E126">
        <v>205.2</v>
      </c>
      <c r="F126">
        <v>173.9</v>
      </c>
      <c r="G126">
        <v>177</v>
      </c>
      <c r="H126">
        <v>183.3</v>
      </c>
      <c r="I126">
        <v>167.2</v>
      </c>
      <c r="J126">
        <v>140.9</v>
      </c>
      <c r="K126">
        <v>170.5</v>
      </c>
      <c r="L126">
        <v>119.1</v>
      </c>
      <c r="M126">
        <v>212.1</v>
      </c>
      <c r="N126">
        <v>177.6</v>
      </c>
      <c r="O126">
        <v>189.9</v>
      </c>
      <c r="P126">
        <v>174.8</v>
      </c>
      <c r="Q126">
        <f>AVERAGE(Q127:Q128)</f>
        <v>173.5</v>
      </c>
      <c r="R126">
        <v>181.4</v>
      </c>
      <c r="S126">
        <v>178.6</v>
      </c>
      <c r="T126">
        <v>186.6</v>
      </c>
      <c r="U126">
        <v>169</v>
      </c>
      <c r="V126">
        <v>172.8</v>
      </c>
      <c r="W126">
        <v>178.5</v>
      </c>
      <c r="X126">
        <v>180.7</v>
      </c>
      <c r="Y126">
        <v>177.9</v>
      </c>
      <c r="Z126">
        <v>178</v>
      </c>
      <c r="AA126" s="1">
        <f>SUM(Table15[[#This Row],[Cereals and products]:[Food and beverages]])/13</f>
        <v>174.2923076923077</v>
      </c>
      <c r="AB126" s="1">
        <f>SUM(Table15[[#This Row],[Fuel and light]])</f>
        <v>181.4</v>
      </c>
      <c r="AC126" s="1">
        <f>SUM(Table15[[#This Row],[Transport and communication]])</f>
        <v>169</v>
      </c>
      <c r="AD126" s="1">
        <f>SUM(Table15[[#This Row],[Housing]],Table15[[#This Row],[Household goods and services]])/2</f>
        <v>176.05</v>
      </c>
      <c r="AE126" s="1">
        <f>SUM(Table15[[#This Row],[Health]])</f>
        <v>186.6</v>
      </c>
      <c r="AF126" s="1">
        <f>SUM(Table15[[#This Row],[Recreation and amusement]],Table15[[#This Row],[Education]])/2</f>
        <v>175.65</v>
      </c>
      <c r="AG126" s="1">
        <f>SUM(Table15[[#This Row],[Miscellaneous]],Table15[[#This Row],[Personal care and effects]])/2</f>
        <v>179.3</v>
      </c>
    </row>
    <row r="127" spans="1:33" x14ac:dyDescent="0.3">
      <c r="A127" t="s">
        <v>35</v>
      </c>
      <c r="B127">
        <v>2023</v>
      </c>
      <c r="C127" t="s">
        <v>46</v>
      </c>
      <c r="D127">
        <v>174.4</v>
      </c>
      <c r="E127">
        <v>207.7</v>
      </c>
      <c r="F127">
        <v>175.2</v>
      </c>
      <c r="G127">
        <v>177.3</v>
      </c>
      <c r="H127">
        <v>179.2</v>
      </c>
      <c r="I127">
        <v>169.5</v>
      </c>
      <c r="J127">
        <v>152.80000000000001</v>
      </c>
      <c r="K127">
        <v>171.1</v>
      </c>
      <c r="L127">
        <v>120</v>
      </c>
      <c r="M127">
        <v>209.7</v>
      </c>
      <c r="N127">
        <v>172.3</v>
      </c>
      <c r="O127">
        <v>193</v>
      </c>
      <c r="P127">
        <v>177</v>
      </c>
      <c r="Q127">
        <v>173.5</v>
      </c>
      <c r="R127">
        <v>181.9</v>
      </c>
      <c r="S127">
        <v>174.2</v>
      </c>
      <c r="T127">
        <v>184.4</v>
      </c>
      <c r="U127">
        <v>164.2</v>
      </c>
      <c r="V127">
        <v>170.3</v>
      </c>
      <c r="W127">
        <v>175</v>
      </c>
      <c r="X127">
        <v>181</v>
      </c>
      <c r="Y127">
        <v>174.1</v>
      </c>
      <c r="Z127">
        <v>177.2</v>
      </c>
      <c r="AA127" s="1">
        <f>SUM(Table15[[#This Row],[Cereals and products]:[Food and beverages]])/13</f>
        <v>175.32307692307691</v>
      </c>
      <c r="AB127" s="1">
        <f>SUM(Table15[[#This Row],[Fuel and light]])</f>
        <v>181.9</v>
      </c>
      <c r="AC127" s="1">
        <f>SUM(Table15[[#This Row],[Transport and communication]])</f>
        <v>164.2</v>
      </c>
      <c r="AD127" s="1">
        <f>SUM(Table15[[#This Row],[Housing]],Table15[[#This Row],[Household goods and services]])/2</f>
        <v>173.85</v>
      </c>
      <c r="AE127" s="1">
        <f>SUM(Table15[[#This Row],[Health]])</f>
        <v>184.4</v>
      </c>
      <c r="AF127" s="1">
        <f>SUM(Table15[[#This Row],[Recreation and amusement]],Table15[[#This Row],[Education]])/2</f>
        <v>172.65</v>
      </c>
      <c r="AG127" s="1">
        <f>SUM(Table15[[#This Row],[Miscellaneous]],Table15[[#This Row],[Personal care and effects]])/2</f>
        <v>177.55</v>
      </c>
    </row>
    <row r="128" spans="1:33" x14ac:dyDescent="0.3">
      <c r="A128" t="s">
        <v>36</v>
      </c>
      <c r="B128">
        <v>2023</v>
      </c>
      <c r="C128" t="s">
        <v>46</v>
      </c>
      <c r="D128">
        <v>174.7</v>
      </c>
      <c r="E128">
        <v>212.2</v>
      </c>
      <c r="F128">
        <v>177.2</v>
      </c>
      <c r="G128">
        <v>177.9</v>
      </c>
      <c r="H128">
        <v>172.2</v>
      </c>
      <c r="I128">
        <v>172.1</v>
      </c>
      <c r="J128">
        <v>175.9</v>
      </c>
      <c r="K128">
        <v>172.2</v>
      </c>
      <c r="L128">
        <v>121.9</v>
      </c>
      <c r="M128">
        <v>204.8</v>
      </c>
      <c r="N128">
        <v>164.9</v>
      </c>
      <c r="O128">
        <v>196.6</v>
      </c>
      <c r="P128">
        <v>180.8</v>
      </c>
      <c r="Q128">
        <v>173.5</v>
      </c>
      <c r="R128">
        <v>182.6</v>
      </c>
      <c r="S128">
        <v>169.2</v>
      </c>
      <c r="T128">
        <v>180.8</v>
      </c>
      <c r="U128">
        <v>159.80000000000001</v>
      </c>
      <c r="V128">
        <v>168.4</v>
      </c>
      <c r="W128">
        <v>172.5</v>
      </c>
      <c r="X128">
        <v>181.5</v>
      </c>
      <c r="Y128">
        <v>170</v>
      </c>
      <c r="Z128">
        <v>176.3</v>
      </c>
      <c r="AA128" s="1">
        <f>SUM(Table15[[#This Row],[Cereals and products]:[Food and beverages]])/13</f>
        <v>177.1846153846154</v>
      </c>
      <c r="AB128" s="1">
        <f>SUM(Table15[[#This Row],[Fuel and light]])</f>
        <v>182.6</v>
      </c>
      <c r="AC128" s="1">
        <f>SUM(Table15[[#This Row],[Transport and communication]])</f>
        <v>159.80000000000001</v>
      </c>
      <c r="AD128" s="1">
        <f>SUM(Table15[[#This Row],[Housing]],Table15[[#This Row],[Household goods and services]])/2</f>
        <v>171.35</v>
      </c>
      <c r="AE128" s="1">
        <f>SUM(Table15[[#This Row],[Health]])</f>
        <v>180.8</v>
      </c>
      <c r="AF128" s="1">
        <f>SUM(Table15[[#This Row],[Recreation and amusement]],Table15[[#This Row],[Education]])/2</f>
        <v>170.45</v>
      </c>
      <c r="AG128" s="1">
        <f>SUM(Table15[[#This Row],[Miscellaneous]],Table15[[#This Row],[Personal care and effects]])/2</f>
        <v>175.75</v>
      </c>
    </row>
    <row r="129" spans="1:33" x14ac:dyDescent="0.3">
      <c r="A129" t="s">
        <v>33</v>
      </c>
      <c r="B129">
        <v>2022</v>
      </c>
      <c r="C129" t="s">
        <v>46</v>
      </c>
      <c r="D129">
        <v>150.19999999999999</v>
      </c>
      <c r="E129">
        <v>208</v>
      </c>
      <c r="F129">
        <v>167.9</v>
      </c>
      <c r="G129">
        <v>162</v>
      </c>
      <c r="H129">
        <v>203.1</v>
      </c>
      <c r="I129">
        <v>155.9</v>
      </c>
      <c r="J129">
        <v>155.80000000000001</v>
      </c>
      <c r="K129">
        <v>164.2</v>
      </c>
      <c r="L129">
        <v>118.1</v>
      </c>
      <c r="M129">
        <v>178.7</v>
      </c>
      <c r="N129">
        <v>171.2</v>
      </c>
      <c r="O129">
        <v>177.4</v>
      </c>
      <c r="P129">
        <v>166.6</v>
      </c>
      <c r="Q129">
        <f>AVERAGE(Q130:Q131)</f>
        <v>165.3</v>
      </c>
      <c r="R129">
        <v>168.9</v>
      </c>
      <c r="S129">
        <v>166.5</v>
      </c>
      <c r="T129">
        <v>176</v>
      </c>
      <c r="U129">
        <v>162</v>
      </c>
      <c r="V129">
        <v>166.6</v>
      </c>
      <c r="W129">
        <v>170.6</v>
      </c>
      <c r="X129">
        <v>167.4</v>
      </c>
      <c r="Y129">
        <v>168.3</v>
      </c>
      <c r="Z129">
        <v>168.7</v>
      </c>
      <c r="AA129" s="1">
        <f>SUM(Table15[[#This Row],[Cereals and products]:[Food and beverages]])/13</f>
        <v>167.62307692307695</v>
      </c>
      <c r="AB129" s="1">
        <f>SUM(Table15[[#This Row],[Fuel and light]])</f>
        <v>168.9</v>
      </c>
      <c r="AC129" s="1">
        <f>SUM(Table15[[#This Row],[Transport and communication]])</f>
        <v>162</v>
      </c>
      <c r="AD129" s="1">
        <f>SUM(Table15[[#This Row],[Housing]],Table15[[#This Row],[Household goods and services]])/2</f>
        <v>165.9</v>
      </c>
      <c r="AE129" s="1">
        <f>SUM(Table15[[#This Row],[Health]])</f>
        <v>176</v>
      </c>
      <c r="AF129" s="1">
        <f>SUM(Table15[[#This Row],[Recreation and amusement]],Table15[[#This Row],[Education]])/2</f>
        <v>168.6</v>
      </c>
      <c r="AG129" s="1">
        <f>SUM(Table15[[#This Row],[Miscellaneous]],Table15[[#This Row],[Personal care and effects]])/2</f>
        <v>167.85000000000002</v>
      </c>
    </row>
    <row r="130" spans="1:33" x14ac:dyDescent="0.3">
      <c r="A130" t="s">
        <v>35</v>
      </c>
      <c r="B130">
        <v>2022</v>
      </c>
      <c r="C130" t="s">
        <v>46</v>
      </c>
      <c r="D130">
        <v>151.30000000000001</v>
      </c>
      <c r="E130">
        <v>210.7</v>
      </c>
      <c r="F130">
        <v>167.8</v>
      </c>
      <c r="G130">
        <v>162.19999999999999</v>
      </c>
      <c r="H130">
        <v>194.6</v>
      </c>
      <c r="I130">
        <v>157.6</v>
      </c>
      <c r="J130">
        <v>166.9</v>
      </c>
      <c r="K130">
        <v>163.9</v>
      </c>
      <c r="L130">
        <v>118.8</v>
      </c>
      <c r="M130">
        <v>177.4</v>
      </c>
      <c r="N130">
        <v>165.3</v>
      </c>
      <c r="O130">
        <v>179.3</v>
      </c>
      <c r="P130">
        <v>168.4</v>
      </c>
      <c r="Q130">
        <v>165.3</v>
      </c>
      <c r="R130">
        <v>167.2</v>
      </c>
      <c r="S130">
        <v>162.80000000000001</v>
      </c>
      <c r="T130">
        <v>173</v>
      </c>
      <c r="U130">
        <v>157.9</v>
      </c>
      <c r="V130">
        <v>163.30000000000001</v>
      </c>
      <c r="W130">
        <v>166</v>
      </c>
      <c r="X130">
        <v>167.2</v>
      </c>
      <c r="Y130">
        <v>164.6</v>
      </c>
      <c r="Z130">
        <v>167.7</v>
      </c>
      <c r="AA130" s="1">
        <f>SUM(Table15[[#This Row],[Cereals and products]:[Food and beverages]])/13</f>
        <v>168.01538461538465</v>
      </c>
      <c r="AB130" s="1">
        <f>SUM(Table15[[#This Row],[Fuel and light]])</f>
        <v>167.2</v>
      </c>
      <c r="AC130" s="1">
        <f>SUM(Table15[[#This Row],[Transport and communication]])</f>
        <v>157.9</v>
      </c>
      <c r="AD130" s="1">
        <f>SUM(Table15[[#This Row],[Housing]],Table15[[#This Row],[Household goods and services]])/2</f>
        <v>164.05</v>
      </c>
      <c r="AE130" s="1">
        <f>SUM(Table15[[#This Row],[Health]])</f>
        <v>173</v>
      </c>
      <c r="AF130" s="1">
        <f>SUM(Table15[[#This Row],[Recreation and amusement]],Table15[[#This Row],[Education]])/2</f>
        <v>164.65</v>
      </c>
      <c r="AG130" s="1">
        <f>SUM(Table15[[#This Row],[Miscellaneous]],Table15[[#This Row],[Personal care and effects]])/2</f>
        <v>165.89999999999998</v>
      </c>
    </row>
    <row r="131" spans="1:33" x14ac:dyDescent="0.3">
      <c r="A131" t="s">
        <v>36</v>
      </c>
      <c r="B131">
        <v>2022</v>
      </c>
      <c r="C131" t="s">
        <v>46</v>
      </c>
      <c r="D131">
        <v>153.69999999999999</v>
      </c>
      <c r="E131">
        <v>215.8</v>
      </c>
      <c r="F131">
        <v>167.7</v>
      </c>
      <c r="G131">
        <v>162.6</v>
      </c>
      <c r="H131">
        <v>180</v>
      </c>
      <c r="I131">
        <v>159.6</v>
      </c>
      <c r="J131">
        <v>188.4</v>
      </c>
      <c r="K131">
        <v>163.4</v>
      </c>
      <c r="L131">
        <v>120.3</v>
      </c>
      <c r="M131">
        <v>174.7</v>
      </c>
      <c r="N131">
        <v>157.1</v>
      </c>
      <c r="O131">
        <v>181.5</v>
      </c>
      <c r="P131">
        <v>171.5</v>
      </c>
      <c r="Q131">
        <v>165.3</v>
      </c>
      <c r="R131">
        <v>164.5</v>
      </c>
      <c r="S131">
        <v>158.6</v>
      </c>
      <c r="T131">
        <v>168.2</v>
      </c>
      <c r="U131">
        <v>154.19999999999999</v>
      </c>
      <c r="V131">
        <v>160.80000000000001</v>
      </c>
      <c r="W131">
        <v>162.69999999999999</v>
      </c>
      <c r="X131">
        <v>166.8</v>
      </c>
      <c r="Y131">
        <v>160.6</v>
      </c>
      <c r="Z131">
        <v>166.5</v>
      </c>
      <c r="AA131" s="1">
        <f>SUM(Table15[[#This Row],[Cereals and products]:[Food and beverages]])/13</f>
        <v>168.94615384615386</v>
      </c>
      <c r="AB131" s="1">
        <f>SUM(Table15[[#This Row],[Fuel and light]])</f>
        <v>164.5</v>
      </c>
      <c r="AC131" s="1">
        <f>SUM(Table15[[#This Row],[Transport and communication]])</f>
        <v>154.19999999999999</v>
      </c>
      <c r="AD131" s="1">
        <f>SUM(Table15[[#This Row],[Housing]],Table15[[#This Row],[Household goods and services]])/2</f>
        <v>161.94999999999999</v>
      </c>
      <c r="AE131" s="1">
        <f>SUM(Table15[[#This Row],[Health]])</f>
        <v>168.2</v>
      </c>
      <c r="AF131" s="1">
        <f>SUM(Table15[[#This Row],[Recreation and amusement]],Table15[[#This Row],[Education]])/2</f>
        <v>161.75</v>
      </c>
      <c r="AG131" s="1">
        <f>SUM(Table15[[#This Row],[Miscellaneous]],Table15[[#This Row],[Personal care and effects]])/2</f>
        <v>163.69999999999999</v>
      </c>
    </row>
    <row r="132" spans="1:33" x14ac:dyDescent="0.3">
      <c r="A132" t="s">
        <v>33</v>
      </c>
      <c r="B132">
        <v>2020</v>
      </c>
      <c r="C132" t="s">
        <v>37</v>
      </c>
      <c r="D132">
        <v>147.6</v>
      </c>
      <c r="E132">
        <v>187.2</v>
      </c>
      <c r="F132">
        <v>148.4</v>
      </c>
      <c r="G132">
        <v>153.30000000000001</v>
      </c>
      <c r="H132">
        <v>139.80000000000001</v>
      </c>
      <c r="I132">
        <v>146.9</v>
      </c>
      <c r="J132">
        <v>171</v>
      </c>
      <c r="K132">
        <v>149.9</v>
      </c>
      <c r="L132">
        <v>114.2</v>
      </c>
      <c r="M132">
        <v>160</v>
      </c>
      <c r="N132">
        <v>143.5</v>
      </c>
      <c r="O132">
        <v>161.5</v>
      </c>
      <c r="P132">
        <v>155.30000000000001</v>
      </c>
      <c r="Q132">
        <f>AVERAGE(Q133:Q134)</f>
        <v>155.5</v>
      </c>
      <c r="R132">
        <v>145.80000000000001</v>
      </c>
      <c r="S132">
        <v>151.9</v>
      </c>
      <c r="T132">
        <v>158.80000000000001</v>
      </c>
      <c r="U132">
        <v>143.6</v>
      </c>
      <c r="V132">
        <v>152.19999999999999</v>
      </c>
      <c r="W132">
        <v>162.69999999999999</v>
      </c>
      <c r="X132">
        <v>153.6</v>
      </c>
      <c r="Y132">
        <v>153</v>
      </c>
      <c r="Z132">
        <v>154.69999999999999</v>
      </c>
      <c r="AA132" s="1">
        <f>SUM(Table15[[#This Row],[Cereals and products]:[Food and beverages]])/13</f>
        <v>152.19999999999999</v>
      </c>
      <c r="AB132" s="1">
        <f>SUM(Table15[[#This Row],[Fuel and light]])</f>
        <v>145.80000000000001</v>
      </c>
      <c r="AC132" s="1">
        <f>SUM(Table15[[#This Row],[Transport and communication]])</f>
        <v>143.6</v>
      </c>
      <c r="AD132" s="1">
        <f>SUM(Table15[[#This Row],[Housing]],Table15[[#This Row],[Household goods and services]])/2</f>
        <v>153.69999999999999</v>
      </c>
      <c r="AE132" s="1">
        <f>SUM(Table15[[#This Row],[Health]])</f>
        <v>158.80000000000001</v>
      </c>
      <c r="AF132" s="1">
        <f>SUM(Table15[[#This Row],[Recreation and amusement]],Table15[[#This Row],[Education]])/2</f>
        <v>157.44999999999999</v>
      </c>
      <c r="AG132" s="1">
        <f>SUM(Table15[[#This Row],[Miscellaneous]],Table15[[#This Row],[Personal care and effects]])/2</f>
        <v>153.30000000000001</v>
      </c>
    </row>
    <row r="133" spans="1:33" x14ac:dyDescent="0.3">
      <c r="A133" t="s">
        <v>35</v>
      </c>
      <c r="B133">
        <v>2020</v>
      </c>
      <c r="C133" t="s">
        <v>37</v>
      </c>
      <c r="D133">
        <v>148.9</v>
      </c>
      <c r="E133">
        <v>190.9</v>
      </c>
      <c r="F133">
        <v>150.80000000000001</v>
      </c>
      <c r="G133">
        <v>153.30000000000001</v>
      </c>
      <c r="H133">
        <v>137.4</v>
      </c>
      <c r="I133">
        <v>150.4</v>
      </c>
      <c r="J133">
        <v>178.1</v>
      </c>
      <c r="K133">
        <v>150.4</v>
      </c>
      <c r="L133">
        <v>115.1</v>
      </c>
      <c r="M133">
        <v>160</v>
      </c>
      <c r="N133">
        <v>140.6</v>
      </c>
      <c r="O133">
        <v>162.30000000000001</v>
      </c>
      <c r="P133">
        <v>157</v>
      </c>
      <c r="Q133">
        <v>155.5</v>
      </c>
      <c r="R133">
        <v>143</v>
      </c>
      <c r="S133">
        <v>148.4</v>
      </c>
      <c r="T133">
        <v>155</v>
      </c>
      <c r="U133">
        <v>138.5</v>
      </c>
      <c r="V133">
        <v>146</v>
      </c>
      <c r="W133">
        <v>158.5</v>
      </c>
      <c r="X133">
        <v>154.30000000000001</v>
      </c>
      <c r="Y133">
        <v>149</v>
      </c>
      <c r="Z133">
        <v>153.9</v>
      </c>
      <c r="AA133" s="1">
        <f>SUM(Table15[[#This Row],[Cereals and products]:[Food and beverages]])/13</f>
        <v>153.47692307692307</v>
      </c>
      <c r="AB133" s="1">
        <f>SUM(Table15[[#This Row],[Fuel and light]])</f>
        <v>143</v>
      </c>
      <c r="AC133" s="1">
        <f>SUM(Table15[[#This Row],[Transport and communication]])</f>
        <v>138.5</v>
      </c>
      <c r="AD133" s="1">
        <f>SUM(Table15[[#This Row],[Housing]],Table15[[#This Row],[Household goods and services]])/2</f>
        <v>151.94999999999999</v>
      </c>
      <c r="AE133" s="1">
        <f>SUM(Table15[[#This Row],[Health]])</f>
        <v>155</v>
      </c>
      <c r="AF133" s="1">
        <f>SUM(Table15[[#This Row],[Recreation and amusement]],Table15[[#This Row],[Education]])/2</f>
        <v>152.25</v>
      </c>
      <c r="AG133" s="1">
        <f>SUM(Table15[[#This Row],[Miscellaneous]],Table15[[#This Row],[Personal care and effects]])/2</f>
        <v>151.65</v>
      </c>
    </row>
    <row r="134" spans="1:33" x14ac:dyDescent="0.3">
      <c r="A134" t="s">
        <v>36</v>
      </c>
      <c r="B134">
        <v>2020</v>
      </c>
      <c r="C134" t="s">
        <v>37</v>
      </c>
      <c r="D134">
        <v>151.6</v>
      </c>
      <c r="E134">
        <v>197.8</v>
      </c>
      <c r="F134">
        <v>154.5</v>
      </c>
      <c r="G134">
        <v>153.4</v>
      </c>
      <c r="H134">
        <v>133.4</v>
      </c>
      <c r="I134">
        <v>154.5</v>
      </c>
      <c r="J134">
        <v>191.9</v>
      </c>
      <c r="K134">
        <v>151.30000000000001</v>
      </c>
      <c r="L134">
        <v>116.8</v>
      </c>
      <c r="M134">
        <v>160</v>
      </c>
      <c r="N134">
        <v>136.5</v>
      </c>
      <c r="O134">
        <v>163.30000000000001</v>
      </c>
      <c r="P134">
        <v>159.9</v>
      </c>
      <c r="Q134">
        <v>155.5</v>
      </c>
      <c r="R134">
        <v>138.30000000000001</v>
      </c>
      <c r="S134">
        <v>144.5</v>
      </c>
      <c r="T134">
        <v>148.69999999999999</v>
      </c>
      <c r="U134">
        <v>133.9</v>
      </c>
      <c r="V134">
        <v>141.19999999999999</v>
      </c>
      <c r="W134">
        <v>155.5</v>
      </c>
      <c r="X134">
        <v>155.19999999999999</v>
      </c>
      <c r="Y134">
        <v>144.80000000000001</v>
      </c>
      <c r="Z134">
        <v>152.9</v>
      </c>
      <c r="AA134" s="1">
        <f>SUM(Table15[[#This Row],[Cereals and products]:[Food and beverages]])/13</f>
        <v>155.76153846153846</v>
      </c>
      <c r="AB134" s="1">
        <f>SUM(Table15[[#This Row],[Fuel and light]])</f>
        <v>138.30000000000001</v>
      </c>
      <c r="AC134" s="1">
        <f>SUM(Table15[[#This Row],[Transport and communication]])</f>
        <v>133.9</v>
      </c>
      <c r="AD134" s="1">
        <f>SUM(Table15[[#This Row],[Housing]],Table15[[#This Row],[Household goods and services]])/2</f>
        <v>150</v>
      </c>
      <c r="AE134" s="1">
        <f>SUM(Table15[[#This Row],[Health]])</f>
        <v>148.69999999999999</v>
      </c>
      <c r="AF134" s="1">
        <f>SUM(Table15[[#This Row],[Recreation and amusement]],Table15[[#This Row],[Education]])/2</f>
        <v>148.35</v>
      </c>
      <c r="AG134" s="1">
        <f>SUM(Table15[[#This Row],[Miscellaneous]],Table15[[#This Row],[Personal care and effects]])/2</f>
        <v>150</v>
      </c>
    </row>
    <row r="135" spans="1:33" x14ac:dyDescent="0.3">
      <c r="A135" t="s">
        <v>33</v>
      </c>
      <c r="B135">
        <v>2020</v>
      </c>
      <c r="C135" t="s">
        <v>38</v>
      </c>
      <c r="D135">
        <v>144.6</v>
      </c>
      <c r="E135">
        <v>188.5</v>
      </c>
      <c r="F135">
        <v>173.4</v>
      </c>
      <c r="G135">
        <v>154</v>
      </c>
      <c r="H135">
        <v>150</v>
      </c>
      <c r="I135">
        <v>145.9</v>
      </c>
      <c r="J135">
        <v>225.2</v>
      </c>
      <c r="K135">
        <v>159.5</v>
      </c>
      <c r="L135">
        <v>114.4</v>
      </c>
      <c r="M135">
        <v>163.5</v>
      </c>
      <c r="N135">
        <v>153.4</v>
      </c>
      <c r="O135">
        <v>163.6</v>
      </c>
      <c r="P135">
        <v>164.5</v>
      </c>
      <c r="Q135">
        <f>AVERAGE(Q136:Q137)</f>
        <v>158.4</v>
      </c>
      <c r="R135">
        <v>148.69999999999999</v>
      </c>
      <c r="S135">
        <v>153.4</v>
      </c>
      <c r="T135">
        <v>161.6</v>
      </c>
      <c r="U135">
        <v>146.4</v>
      </c>
      <c r="V135">
        <v>153.9</v>
      </c>
      <c r="W135">
        <v>162.9</v>
      </c>
      <c r="X135">
        <v>156.6</v>
      </c>
      <c r="Y135">
        <v>155.19999999999999</v>
      </c>
      <c r="Z135">
        <v>160.69999999999999</v>
      </c>
      <c r="AA135" s="1">
        <f>SUM(Table15[[#This Row],[Cereals and products]:[Food and beverages]])/13</f>
        <v>161.57692307692307</v>
      </c>
      <c r="AB135" s="1">
        <f>SUM(Table15[[#This Row],[Fuel and light]])</f>
        <v>148.69999999999999</v>
      </c>
      <c r="AC135" s="1">
        <f>SUM(Table15[[#This Row],[Transport and communication]])</f>
        <v>146.4</v>
      </c>
      <c r="AD135" s="1">
        <f>SUM(Table15[[#This Row],[Housing]],Table15[[#This Row],[Household goods and services]])/2</f>
        <v>155.9</v>
      </c>
      <c r="AE135" s="1">
        <f>SUM(Table15[[#This Row],[Health]])</f>
        <v>161.6</v>
      </c>
      <c r="AF135" s="1">
        <f>SUM(Table15[[#This Row],[Recreation and amusement]],Table15[[#This Row],[Education]])/2</f>
        <v>158.4</v>
      </c>
      <c r="AG135" s="1">
        <f>SUM(Table15[[#This Row],[Miscellaneous]],Table15[[#This Row],[Personal care and effects]])/2</f>
        <v>155.89999999999998</v>
      </c>
    </row>
    <row r="136" spans="1:33" x14ac:dyDescent="0.3">
      <c r="A136" t="s">
        <v>35</v>
      </c>
      <c r="B136">
        <v>2020</v>
      </c>
      <c r="C136" t="s">
        <v>38</v>
      </c>
      <c r="D136">
        <v>146</v>
      </c>
      <c r="E136">
        <v>191</v>
      </c>
      <c r="F136">
        <v>175.3</v>
      </c>
      <c r="G136">
        <v>154.1</v>
      </c>
      <c r="H136">
        <v>146.6</v>
      </c>
      <c r="I136">
        <v>147.69999999999999</v>
      </c>
      <c r="J136">
        <v>230.5</v>
      </c>
      <c r="K136">
        <v>160.19999999999999</v>
      </c>
      <c r="L136">
        <v>115.3</v>
      </c>
      <c r="M136">
        <v>163</v>
      </c>
      <c r="N136">
        <v>149.19999999999999</v>
      </c>
      <c r="O136">
        <v>164.8</v>
      </c>
      <c r="P136">
        <v>165.4</v>
      </c>
      <c r="Q136">
        <v>158.4</v>
      </c>
      <c r="R136">
        <v>144.6</v>
      </c>
      <c r="S136">
        <v>149.69999999999999</v>
      </c>
      <c r="T136">
        <v>158.30000000000001</v>
      </c>
      <c r="U136">
        <v>140.69999999999999</v>
      </c>
      <c r="V136">
        <v>148.5</v>
      </c>
      <c r="W136">
        <v>159.4</v>
      </c>
      <c r="X136">
        <v>157.1</v>
      </c>
      <c r="Y136">
        <v>151.19999999999999</v>
      </c>
      <c r="Z136">
        <v>158.9</v>
      </c>
      <c r="AA136" s="1">
        <f>SUM(Table15[[#This Row],[Cereals and products]:[Food and beverages]])/13</f>
        <v>162.23846153846154</v>
      </c>
      <c r="AB136" s="1">
        <f>SUM(Table15[[#This Row],[Fuel and light]])</f>
        <v>144.6</v>
      </c>
      <c r="AC136" s="1">
        <f>SUM(Table15[[#This Row],[Transport and communication]])</f>
        <v>140.69999999999999</v>
      </c>
      <c r="AD136" s="1">
        <f>SUM(Table15[[#This Row],[Housing]],Table15[[#This Row],[Household goods and services]])/2</f>
        <v>154.05000000000001</v>
      </c>
      <c r="AE136" s="1">
        <f>SUM(Table15[[#This Row],[Health]])</f>
        <v>158.30000000000001</v>
      </c>
      <c r="AF136" s="1">
        <f>SUM(Table15[[#This Row],[Recreation and amusement]],Table15[[#This Row],[Education]])/2</f>
        <v>153.94999999999999</v>
      </c>
      <c r="AG136" s="1">
        <f>SUM(Table15[[#This Row],[Miscellaneous]],Table15[[#This Row],[Personal care and effects]])/2</f>
        <v>154.14999999999998</v>
      </c>
    </row>
    <row r="137" spans="1:33" x14ac:dyDescent="0.3">
      <c r="A137" t="s">
        <v>36</v>
      </c>
      <c r="B137">
        <v>2020</v>
      </c>
      <c r="C137" t="s">
        <v>38</v>
      </c>
      <c r="D137">
        <v>149</v>
      </c>
      <c r="E137">
        <v>195.7</v>
      </c>
      <c r="F137">
        <v>178.3</v>
      </c>
      <c r="G137">
        <v>154.19999999999999</v>
      </c>
      <c r="H137">
        <v>140.69999999999999</v>
      </c>
      <c r="I137">
        <v>149.69999999999999</v>
      </c>
      <c r="J137">
        <v>240.9</v>
      </c>
      <c r="K137">
        <v>161.5</v>
      </c>
      <c r="L137">
        <v>117.1</v>
      </c>
      <c r="M137">
        <v>161.9</v>
      </c>
      <c r="N137">
        <v>143.30000000000001</v>
      </c>
      <c r="O137">
        <v>166.1</v>
      </c>
      <c r="P137">
        <v>167</v>
      </c>
      <c r="Q137">
        <v>158.4</v>
      </c>
      <c r="R137">
        <v>137.9</v>
      </c>
      <c r="S137">
        <v>145.5</v>
      </c>
      <c r="T137">
        <v>152.9</v>
      </c>
      <c r="U137">
        <v>135.5</v>
      </c>
      <c r="V137">
        <v>144.30000000000001</v>
      </c>
      <c r="W137">
        <v>156.9</v>
      </c>
      <c r="X137">
        <v>157.9</v>
      </c>
      <c r="Y137">
        <v>146.9</v>
      </c>
      <c r="Z137">
        <v>156.9</v>
      </c>
      <c r="AA137" s="1">
        <f>SUM(Table15[[#This Row],[Cereals and products]:[Food and beverages]])/13</f>
        <v>163.49230769230769</v>
      </c>
      <c r="AB137" s="1">
        <f>SUM(Table15[[#This Row],[Fuel and light]])</f>
        <v>137.9</v>
      </c>
      <c r="AC137" s="1">
        <f>SUM(Table15[[#This Row],[Transport and communication]])</f>
        <v>135.5</v>
      </c>
      <c r="AD137" s="1">
        <f>SUM(Table15[[#This Row],[Housing]],Table15[[#This Row],[Household goods and services]])/2</f>
        <v>151.94999999999999</v>
      </c>
      <c r="AE137" s="1">
        <f>SUM(Table15[[#This Row],[Health]])</f>
        <v>152.9</v>
      </c>
      <c r="AF137" s="1">
        <f>SUM(Table15[[#This Row],[Recreation and amusement]],Table15[[#This Row],[Education]])/2</f>
        <v>150.60000000000002</v>
      </c>
      <c r="AG137" s="1">
        <f>SUM(Table15[[#This Row],[Miscellaneous]],Table15[[#This Row],[Personal care and effects]])/2</f>
        <v>152.4</v>
      </c>
    </row>
    <row r="138" spans="1:33" x14ac:dyDescent="0.3">
      <c r="A138" t="s">
        <v>33</v>
      </c>
      <c r="B138">
        <v>2020</v>
      </c>
      <c r="C138" t="s">
        <v>39</v>
      </c>
      <c r="D138">
        <v>144.19999999999999</v>
      </c>
      <c r="E138">
        <v>167.5</v>
      </c>
      <c r="F138">
        <v>150.9</v>
      </c>
      <c r="G138">
        <v>150.9</v>
      </c>
      <c r="H138">
        <v>133.69999999999999</v>
      </c>
      <c r="I138">
        <v>140.69999999999999</v>
      </c>
      <c r="J138">
        <v>165.1</v>
      </c>
      <c r="K138">
        <v>141.80000000000001</v>
      </c>
      <c r="L138">
        <v>113.1</v>
      </c>
      <c r="M138">
        <v>152.80000000000001</v>
      </c>
      <c r="N138">
        <v>140.1</v>
      </c>
      <c r="O138">
        <v>159.19999999999999</v>
      </c>
      <c r="P138">
        <v>149.80000000000001</v>
      </c>
      <c r="Q138">
        <f>AVERAGE(Q139:Q140)</f>
        <v>154.80000000000001</v>
      </c>
      <c r="R138">
        <v>152.30000000000001</v>
      </c>
      <c r="S138">
        <v>151.80000000000001</v>
      </c>
      <c r="T138">
        <v>156.19999999999999</v>
      </c>
      <c r="U138">
        <v>136</v>
      </c>
      <c r="V138">
        <v>150.4</v>
      </c>
      <c r="W138">
        <v>161.9</v>
      </c>
      <c r="X138">
        <v>143.4</v>
      </c>
      <c r="Y138">
        <v>148.4</v>
      </c>
      <c r="Z138">
        <v>150.4</v>
      </c>
      <c r="AA138" s="1">
        <f>SUM(Table15[[#This Row],[Cereals and products]:[Food and beverages]])/13</f>
        <v>146.90769230769229</v>
      </c>
      <c r="AB138" s="1">
        <f>SUM(Table15[[#This Row],[Fuel and light]])</f>
        <v>152.30000000000001</v>
      </c>
      <c r="AC138" s="1">
        <f>SUM(Table15[[#This Row],[Transport and communication]])</f>
        <v>136</v>
      </c>
      <c r="AD138" s="1">
        <f>SUM(Table15[[#This Row],[Housing]],Table15[[#This Row],[Household goods and services]])/2</f>
        <v>153.30000000000001</v>
      </c>
      <c r="AE138" s="1">
        <f>SUM(Table15[[#This Row],[Health]])</f>
        <v>156.19999999999999</v>
      </c>
      <c r="AF138" s="1">
        <f>SUM(Table15[[#This Row],[Recreation and amusement]],Table15[[#This Row],[Education]])/2</f>
        <v>156.15</v>
      </c>
      <c r="AG138" s="1">
        <f>SUM(Table15[[#This Row],[Miscellaneous]],Table15[[#This Row],[Personal care and effects]])/2</f>
        <v>145.9</v>
      </c>
    </row>
    <row r="139" spans="1:33" x14ac:dyDescent="0.3">
      <c r="A139" t="s">
        <v>35</v>
      </c>
      <c r="B139">
        <v>2020</v>
      </c>
      <c r="C139" t="s">
        <v>39</v>
      </c>
      <c r="D139">
        <v>144.80000000000001</v>
      </c>
      <c r="E139">
        <v>167.5</v>
      </c>
      <c r="F139">
        <v>151.80000000000001</v>
      </c>
      <c r="G139">
        <v>150.80000000000001</v>
      </c>
      <c r="H139">
        <v>131.4</v>
      </c>
      <c r="I139">
        <v>141.80000000000001</v>
      </c>
      <c r="J139">
        <v>170.7</v>
      </c>
      <c r="K139">
        <v>141.1</v>
      </c>
      <c r="L139">
        <v>113.6</v>
      </c>
      <c r="M139">
        <v>152</v>
      </c>
      <c r="N139">
        <v>136.5</v>
      </c>
      <c r="O139">
        <v>159.1</v>
      </c>
      <c r="P139">
        <v>150.5</v>
      </c>
      <c r="Q139">
        <v>154.80000000000001</v>
      </c>
      <c r="R139">
        <v>147.19999999999999</v>
      </c>
      <c r="S139">
        <v>146.4</v>
      </c>
      <c r="T139">
        <v>151.69999999999999</v>
      </c>
      <c r="U139">
        <v>130.30000000000001</v>
      </c>
      <c r="V139">
        <v>143.19999999999999</v>
      </c>
      <c r="W139">
        <v>156.19999999999999</v>
      </c>
      <c r="X139">
        <v>143.4</v>
      </c>
      <c r="Y139">
        <v>143.6</v>
      </c>
      <c r="Z139">
        <v>149.1</v>
      </c>
      <c r="AA139" s="1">
        <f>SUM(Table15[[#This Row],[Cereals and products]:[Food and beverages]])/13</f>
        <v>147.04615384615383</v>
      </c>
      <c r="AB139" s="1">
        <f>SUM(Table15[[#This Row],[Fuel and light]])</f>
        <v>147.19999999999999</v>
      </c>
      <c r="AC139" s="1">
        <f>SUM(Table15[[#This Row],[Transport and communication]])</f>
        <v>130.30000000000001</v>
      </c>
      <c r="AD139" s="1">
        <f>SUM(Table15[[#This Row],[Housing]],Table15[[#This Row],[Household goods and services]])/2</f>
        <v>150.60000000000002</v>
      </c>
      <c r="AE139" s="1">
        <f>SUM(Table15[[#This Row],[Health]])</f>
        <v>151.69999999999999</v>
      </c>
      <c r="AF139" s="1">
        <f>SUM(Table15[[#This Row],[Recreation and amusement]],Table15[[#This Row],[Education]])/2</f>
        <v>149.69999999999999</v>
      </c>
      <c r="AG139" s="1">
        <f>SUM(Table15[[#This Row],[Miscellaneous]],Table15[[#This Row],[Personal care and effects]])/2</f>
        <v>143.5</v>
      </c>
    </row>
    <row r="140" spans="1:33" x14ac:dyDescent="0.3">
      <c r="A140" t="s">
        <v>36</v>
      </c>
      <c r="B140">
        <v>2020</v>
      </c>
      <c r="C140" t="s">
        <v>39</v>
      </c>
      <c r="D140">
        <v>146.19999999999999</v>
      </c>
      <c r="E140">
        <v>167.6</v>
      </c>
      <c r="F140">
        <v>153.1</v>
      </c>
      <c r="G140">
        <v>150.69999999999999</v>
      </c>
      <c r="H140">
        <v>127.4</v>
      </c>
      <c r="I140">
        <v>143.1</v>
      </c>
      <c r="J140">
        <v>181.7</v>
      </c>
      <c r="K140">
        <v>139.6</v>
      </c>
      <c r="L140">
        <v>114.6</v>
      </c>
      <c r="M140">
        <v>150.4</v>
      </c>
      <c r="N140">
        <v>131.5</v>
      </c>
      <c r="O140">
        <v>159</v>
      </c>
      <c r="P140">
        <v>151.69999999999999</v>
      </c>
      <c r="Q140">
        <v>154.80000000000001</v>
      </c>
      <c r="R140">
        <v>138.9</v>
      </c>
      <c r="S140">
        <v>140.4</v>
      </c>
      <c r="T140">
        <v>144.4</v>
      </c>
      <c r="U140">
        <v>125.2</v>
      </c>
      <c r="V140">
        <v>137.69999999999999</v>
      </c>
      <c r="W140">
        <v>152.19999999999999</v>
      </c>
      <c r="X140">
        <v>143.5</v>
      </c>
      <c r="Y140">
        <v>138.4</v>
      </c>
      <c r="Z140">
        <v>147.69999999999999</v>
      </c>
      <c r="AA140" s="1">
        <f>SUM(Table15[[#This Row],[Cereals and products]:[Food and beverages]])/13</f>
        <v>147.43076923076922</v>
      </c>
      <c r="AB140" s="1">
        <f>SUM(Table15[[#This Row],[Fuel and light]])</f>
        <v>138.9</v>
      </c>
      <c r="AC140" s="1">
        <f>SUM(Table15[[#This Row],[Transport and communication]])</f>
        <v>125.2</v>
      </c>
      <c r="AD140" s="1">
        <f>SUM(Table15[[#This Row],[Housing]],Table15[[#This Row],[Household goods and services]])/2</f>
        <v>147.60000000000002</v>
      </c>
      <c r="AE140" s="1">
        <f>SUM(Table15[[#This Row],[Health]])</f>
        <v>144.4</v>
      </c>
      <c r="AF140" s="1">
        <f>SUM(Table15[[#This Row],[Recreation and amusement]],Table15[[#This Row],[Education]])/2</f>
        <v>144.94999999999999</v>
      </c>
      <c r="AG140" s="1">
        <f>SUM(Table15[[#This Row],[Miscellaneous]],Table15[[#This Row],[Personal care and effects]])/2</f>
        <v>140.94999999999999</v>
      </c>
    </row>
    <row r="141" spans="1:33" x14ac:dyDescent="0.3">
      <c r="A141" t="s">
        <v>36</v>
      </c>
      <c r="B141">
        <v>2018</v>
      </c>
      <c r="C141" t="s">
        <v>46</v>
      </c>
      <c r="D141">
        <v>135</v>
      </c>
      <c r="E141">
        <v>143.1</v>
      </c>
      <c r="F141">
        <v>135.5</v>
      </c>
      <c r="G141">
        <v>139.9</v>
      </c>
      <c r="H141">
        <v>116.5</v>
      </c>
      <c r="I141">
        <v>138.5</v>
      </c>
      <c r="J141">
        <v>128</v>
      </c>
      <c r="K141">
        <v>115.5</v>
      </c>
      <c r="L141">
        <v>114.2</v>
      </c>
      <c r="M141">
        <v>140.69999999999999</v>
      </c>
      <c r="N141">
        <v>126.2</v>
      </c>
      <c r="O141">
        <v>147.6</v>
      </c>
      <c r="P141">
        <v>134.80000000000001</v>
      </c>
      <c r="Q141">
        <v>142</v>
      </c>
      <c r="R141">
        <v>126.4</v>
      </c>
      <c r="S141">
        <v>130.80000000000001</v>
      </c>
      <c r="T141">
        <v>130.5</v>
      </c>
      <c r="U141">
        <v>117.8</v>
      </c>
      <c r="V141">
        <v>126.8</v>
      </c>
      <c r="W141">
        <v>137.80000000000001</v>
      </c>
      <c r="X141">
        <v>126.7</v>
      </c>
      <c r="Y141">
        <v>127.1</v>
      </c>
      <c r="Z141">
        <v>134</v>
      </c>
      <c r="AA141" s="1">
        <f>SUM(Table15[[#This Row],[Cereals and products]:[Food and beverages]])/13</f>
        <v>131.96153846153845</v>
      </c>
      <c r="AB141" s="1">
        <f>SUM(Table15[[#This Row],[Fuel and light]])</f>
        <v>126.4</v>
      </c>
      <c r="AC141" s="1">
        <f>SUM(Table15[[#This Row],[Transport and communication]])</f>
        <v>117.8</v>
      </c>
      <c r="AD141" s="1">
        <f>SUM(Table15[[#This Row],[Housing]],Table15[[#This Row],[Household goods and services]])/2</f>
        <v>136.4</v>
      </c>
      <c r="AE141" s="1">
        <f>SUM(Table15[[#This Row],[Health]])</f>
        <v>130.5</v>
      </c>
      <c r="AF141" s="1">
        <f>SUM(Table15[[#This Row],[Recreation and amusement]],Table15[[#This Row],[Education]])/2</f>
        <v>132.30000000000001</v>
      </c>
      <c r="AG141" s="1">
        <f>SUM(Table15[[#This Row],[Miscellaneous]],Table15[[#This Row],[Personal care and effects]])/2</f>
        <v>126.9</v>
      </c>
    </row>
    <row r="142" spans="1:33" x14ac:dyDescent="0.3">
      <c r="A142" t="s">
        <v>35</v>
      </c>
      <c r="B142">
        <v>2018</v>
      </c>
      <c r="C142" t="s">
        <v>46</v>
      </c>
      <c r="D142">
        <v>136.19999999999999</v>
      </c>
      <c r="E142">
        <v>143.6</v>
      </c>
      <c r="F142">
        <v>138.30000000000001</v>
      </c>
      <c r="G142">
        <v>141.19999999999999</v>
      </c>
      <c r="H142">
        <v>120.7</v>
      </c>
      <c r="I142">
        <v>146.19999999999999</v>
      </c>
      <c r="J142">
        <v>134.6</v>
      </c>
      <c r="K142">
        <v>124.6</v>
      </c>
      <c r="L142">
        <v>116.1</v>
      </c>
      <c r="M142">
        <v>137.80000000000001</v>
      </c>
      <c r="N142">
        <v>129.1</v>
      </c>
      <c r="O142">
        <v>150.4</v>
      </c>
      <c r="P142">
        <v>137.19999999999999</v>
      </c>
      <c r="Q142">
        <v>142</v>
      </c>
      <c r="R142">
        <v>136.5</v>
      </c>
      <c r="S142">
        <v>135.6</v>
      </c>
      <c r="T142">
        <v>134.30000000000001</v>
      </c>
      <c r="U142">
        <v>121</v>
      </c>
      <c r="V142">
        <v>130.4</v>
      </c>
      <c r="W142">
        <v>139.80000000000001</v>
      </c>
      <c r="X142">
        <v>128.19999999999999</v>
      </c>
      <c r="Y142">
        <v>130.30000000000001</v>
      </c>
      <c r="Z142">
        <v>136.5</v>
      </c>
      <c r="AA142" s="1">
        <f>SUM(Table15[[#This Row],[Cereals and products]:[Food and beverages]])/13</f>
        <v>135.07692307692307</v>
      </c>
      <c r="AB142" s="1">
        <f>SUM(Table15[[#This Row],[Fuel and light]])</f>
        <v>136.5</v>
      </c>
      <c r="AC142" s="1">
        <f>SUM(Table15[[#This Row],[Transport and communication]])</f>
        <v>121</v>
      </c>
      <c r="AD142" s="1">
        <f>SUM(Table15[[#This Row],[Housing]],Table15[[#This Row],[Household goods and services]])/2</f>
        <v>138.80000000000001</v>
      </c>
      <c r="AE142" s="1">
        <f>SUM(Table15[[#This Row],[Health]])</f>
        <v>134.30000000000001</v>
      </c>
      <c r="AF142" s="1">
        <f>SUM(Table15[[#This Row],[Recreation and amusement]],Table15[[#This Row],[Education]])/2</f>
        <v>135.10000000000002</v>
      </c>
      <c r="AG142" s="1">
        <f>SUM(Table15[[#This Row],[Miscellaneous]],Table15[[#This Row],[Personal care and effects]])/2</f>
        <v>129.25</v>
      </c>
    </row>
    <row r="143" spans="1:33" x14ac:dyDescent="0.3">
      <c r="A143" t="s">
        <v>33</v>
      </c>
      <c r="B143">
        <v>2018</v>
      </c>
      <c r="C143" t="s">
        <v>46</v>
      </c>
      <c r="D143">
        <v>136.80000000000001</v>
      </c>
      <c r="E143">
        <v>143.80000000000001</v>
      </c>
      <c r="F143">
        <v>140</v>
      </c>
      <c r="G143">
        <v>142</v>
      </c>
      <c r="H143">
        <v>123.2</v>
      </c>
      <c r="I143">
        <v>152.9</v>
      </c>
      <c r="J143">
        <v>138</v>
      </c>
      <c r="K143">
        <v>129.30000000000001</v>
      </c>
      <c r="L143">
        <v>117.1</v>
      </c>
      <c r="M143">
        <v>136.30000000000001</v>
      </c>
      <c r="N143">
        <v>131.19999999999999</v>
      </c>
      <c r="O143">
        <v>152.80000000000001</v>
      </c>
      <c r="P143">
        <v>138.6</v>
      </c>
      <c r="Q143">
        <f>AVERAGE(Q141:Q142)</f>
        <v>142</v>
      </c>
      <c r="R143">
        <v>142.6</v>
      </c>
      <c r="S143">
        <v>139.9</v>
      </c>
      <c r="T143">
        <v>136.69999999999999</v>
      </c>
      <c r="U143">
        <v>124.6</v>
      </c>
      <c r="V143">
        <v>135.1</v>
      </c>
      <c r="W143">
        <v>142.69999999999999</v>
      </c>
      <c r="X143">
        <v>129.30000000000001</v>
      </c>
      <c r="Y143">
        <v>133.30000000000001</v>
      </c>
      <c r="Z143">
        <v>138.69999999999999</v>
      </c>
      <c r="AA143" s="1">
        <f>SUM(Table15[[#This Row],[Cereals and products]:[Food and beverages]])/13</f>
        <v>137.07692307692307</v>
      </c>
      <c r="AB143" s="1">
        <f>SUM(Table15[[#This Row],[Fuel and light]])</f>
        <v>142.6</v>
      </c>
      <c r="AC143" s="1">
        <f>SUM(Table15[[#This Row],[Transport and communication]])</f>
        <v>124.6</v>
      </c>
      <c r="AD143" s="1">
        <f>SUM(Table15[[#This Row],[Housing]],Table15[[#This Row],[Household goods and services]])/2</f>
        <v>140.94999999999999</v>
      </c>
      <c r="AE143" s="1">
        <f>SUM(Table15[[#This Row],[Health]])</f>
        <v>136.69999999999999</v>
      </c>
      <c r="AF143" s="1">
        <f>SUM(Table15[[#This Row],[Recreation and amusement]],Table15[[#This Row],[Education]])/2</f>
        <v>138.89999999999998</v>
      </c>
      <c r="AG143" s="1">
        <f>SUM(Table15[[#This Row],[Miscellaneous]],Table15[[#This Row],[Personal care and effects]])/2</f>
        <v>131.30000000000001</v>
      </c>
    </row>
    <row r="144" spans="1:33" x14ac:dyDescent="0.3">
      <c r="A144" t="s">
        <v>36</v>
      </c>
      <c r="B144">
        <v>2017</v>
      </c>
      <c r="C144" t="s">
        <v>46</v>
      </c>
      <c r="D144">
        <v>132.69999999999999</v>
      </c>
      <c r="E144">
        <v>139.4</v>
      </c>
      <c r="F144">
        <v>128.4</v>
      </c>
      <c r="G144">
        <v>134.9</v>
      </c>
      <c r="H144">
        <v>114</v>
      </c>
      <c r="I144">
        <v>136.80000000000001</v>
      </c>
      <c r="J144">
        <v>122.2</v>
      </c>
      <c r="K144">
        <v>135.80000000000001</v>
      </c>
      <c r="L144">
        <v>120.3</v>
      </c>
      <c r="M144">
        <v>142.6</v>
      </c>
      <c r="N144">
        <v>123.6</v>
      </c>
      <c r="O144">
        <v>142.4</v>
      </c>
      <c r="P144">
        <v>132.6</v>
      </c>
      <c r="Q144">
        <v>131.1</v>
      </c>
      <c r="R144">
        <v>120.8</v>
      </c>
      <c r="S144">
        <v>125.6</v>
      </c>
      <c r="T144">
        <v>123.1</v>
      </c>
      <c r="U144">
        <v>115.6</v>
      </c>
      <c r="V144">
        <v>122.4</v>
      </c>
      <c r="W144">
        <v>132.80000000000001</v>
      </c>
      <c r="X144">
        <v>121.7</v>
      </c>
      <c r="Y144">
        <v>122.6</v>
      </c>
      <c r="Z144">
        <v>128.69999999999999</v>
      </c>
      <c r="AA144" s="1">
        <f>SUM(Table15[[#This Row],[Cereals and products]:[Food and beverages]])/13</f>
        <v>131.2076923076923</v>
      </c>
      <c r="AB144" s="1">
        <f>SUM(Table15[[#This Row],[Fuel and light]])</f>
        <v>120.8</v>
      </c>
      <c r="AC144" s="1">
        <f>SUM(Table15[[#This Row],[Transport and communication]])</f>
        <v>115.6</v>
      </c>
      <c r="AD144" s="1">
        <f>SUM(Table15[[#This Row],[Housing]],Table15[[#This Row],[Household goods and services]])/2</f>
        <v>128.35</v>
      </c>
      <c r="AE144" s="1">
        <f>SUM(Table15[[#This Row],[Health]])</f>
        <v>123.1</v>
      </c>
      <c r="AF144" s="1">
        <f>SUM(Table15[[#This Row],[Recreation and amusement]],Table15[[#This Row],[Education]])/2</f>
        <v>127.60000000000001</v>
      </c>
      <c r="AG144" s="1">
        <f>SUM(Table15[[#This Row],[Miscellaneous]],Table15[[#This Row],[Personal care and effects]])/2</f>
        <v>122.15</v>
      </c>
    </row>
    <row r="145" spans="1:33" x14ac:dyDescent="0.3">
      <c r="A145" t="s">
        <v>35</v>
      </c>
      <c r="B145">
        <v>2017</v>
      </c>
      <c r="C145" t="s">
        <v>46</v>
      </c>
      <c r="D145">
        <v>133.30000000000001</v>
      </c>
      <c r="E145">
        <v>139</v>
      </c>
      <c r="F145">
        <v>128.6</v>
      </c>
      <c r="G145">
        <v>136.30000000000001</v>
      </c>
      <c r="H145">
        <v>118.8</v>
      </c>
      <c r="I145">
        <v>138.30000000000001</v>
      </c>
      <c r="J145">
        <v>120.5</v>
      </c>
      <c r="K145">
        <v>143.9</v>
      </c>
      <c r="L145">
        <v>118</v>
      </c>
      <c r="M145">
        <v>137.9</v>
      </c>
      <c r="N145">
        <v>127.2</v>
      </c>
      <c r="O145">
        <v>144</v>
      </c>
      <c r="P145">
        <v>133.1</v>
      </c>
      <c r="Q145">
        <v>131.1</v>
      </c>
      <c r="R145">
        <v>129.1</v>
      </c>
      <c r="S145">
        <v>130.1</v>
      </c>
      <c r="T145">
        <v>127.8</v>
      </c>
      <c r="U145">
        <v>117.6</v>
      </c>
      <c r="V145">
        <v>125</v>
      </c>
      <c r="W145">
        <v>133.80000000000001</v>
      </c>
      <c r="X145">
        <v>122.6</v>
      </c>
      <c r="Y145">
        <v>125.1</v>
      </c>
      <c r="Z145">
        <v>130.9</v>
      </c>
      <c r="AA145" s="1">
        <f>SUM(Table15[[#This Row],[Cereals and products]:[Food and beverages]])/13</f>
        <v>132.22307692307692</v>
      </c>
      <c r="AB145" s="1">
        <f>SUM(Table15[[#This Row],[Fuel and light]])</f>
        <v>129.1</v>
      </c>
      <c r="AC145" s="1">
        <f>SUM(Table15[[#This Row],[Transport and communication]])</f>
        <v>117.6</v>
      </c>
      <c r="AD145" s="1">
        <f>SUM(Table15[[#This Row],[Housing]],Table15[[#This Row],[Household goods and services]])/2</f>
        <v>130.6</v>
      </c>
      <c r="AE145" s="1">
        <f>SUM(Table15[[#This Row],[Health]])</f>
        <v>127.8</v>
      </c>
      <c r="AF145" s="1">
        <f>SUM(Table15[[#This Row],[Recreation and amusement]],Table15[[#This Row],[Education]])/2</f>
        <v>129.4</v>
      </c>
      <c r="AG145" s="1">
        <f>SUM(Table15[[#This Row],[Miscellaneous]],Table15[[#This Row],[Personal care and effects]])/2</f>
        <v>123.85</v>
      </c>
    </row>
    <row r="146" spans="1:33" x14ac:dyDescent="0.3">
      <c r="A146" t="s">
        <v>33</v>
      </c>
      <c r="B146">
        <v>2017</v>
      </c>
      <c r="C146" t="s">
        <v>46</v>
      </c>
      <c r="D146">
        <v>133.6</v>
      </c>
      <c r="E146">
        <v>138.80000000000001</v>
      </c>
      <c r="F146">
        <v>128.80000000000001</v>
      </c>
      <c r="G146">
        <v>137.19999999999999</v>
      </c>
      <c r="H146">
        <v>121.6</v>
      </c>
      <c r="I146">
        <v>139.69999999999999</v>
      </c>
      <c r="J146">
        <v>119.7</v>
      </c>
      <c r="K146">
        <v>148</v>
      </c>
      <c r="L146">
        <v>116.9</v>
      </c>
      <c r="M146">
        <v>135.6</v>
      </c>
      <c r="N146">
        <v>129.80000000000001</v>
      </c>
      <c r="O146">
        <v>145.4</v>
      </c>
      <c r="P146">
        <v>133.4</v>
      </c>
      <c r="Q146">
        <f>AVERAGE(Q144:Q145)</f>
        <v>131.1</v>
      </c>
      <c r="R146">
        <v>134.19999999999999</v>
      </c>
      <c r="S146">
        <v>134.1</v>
      </c>
      <c r="T146">
        <v>130.6</v>
      </c>
      <c r="U146">
        <v>119.8</v>
      </c>
      <c r="V146">
        <v>128.30000000000001</v>
      </c>
      <c r="W146">
        <v>135.19999999999999</v>
      </c>
      <c r="X146">
        <v>123.3</v>
      </c>
      <c r="Y146">
        <v>127.4</v>
      </c>
      <c r="Z146">
        <v>132.80000000000001</v>
      </c>
      <c r="AA146" s="1">
        <f>SUM(Table15[[#This Row],[Cereals and products]:[Food and beverages]])/13</f>
        <v>132.96153846153848</v>
      </c>
      <c r="AB146" s="1">
        <f>SUM(Table15[[#This Row],[Fuel and light]])</f>
        <v>134.19999999999999</v>
      </c>
      <c r="AC146" s="1">
        <f>SUM(Table15[[#This Row],[Transport and communication]])</f>
        <v>119.8</v>
      </c>
      <c r="AD146" s="1">
        <f>SUM(Table15[[#This Row],[Housing]],Table15[[#This Row],[Household goods and services]])/2</f>
        <v>132.6</v>
      </c>
      <c r="AE146" s="1">
        <f>SUM(Table15[[#This Row],[Health]])</f>
        <v>130.6</v>
      </c>
      <c r="AF146" s="1">
        <f>SUM(Table15[[#This Row],[Recreation and amusement]],Table15[[#This Row],[Education]])/2</f>
        <v>131.75</v>
      </c>
      <c r="AG146" s="1">
        <f>SUM(Table15[[#This Row],[Miscellaneous]],Table15[[#This Row],[Personal care and effects]])/2</f>
        <v>125.35</v>
      </c>
    </row>
    <row r="147" spans="1:33" x14ac:dyDescent="0.3">
      <c r="A147" t="s">
        <v>36</v>
      </c>
      <c r="B147">
        <v>2016</v>
      </c>
      <c r="C147" t="s">
        <v>46</v>
      </c>
      <c r="D147">
        <v>124.8</v>
      </c>
      <c r="E147">
        <v>136.30000000000001</v>
      </c>
      <c r="F147">
        <v>123.7</v>
      </c>
      <c r="G147">
        <v>129.69999999999999</v>
      </c>
      <c r="H147">
        <v>107.9</v>
      </c>
      <c r="I147">
        <v>119.9</v>
      </c>
      <c r="J147">
        <v>128.1</v>
      </c>
      <c r="K147">
        <v>170.3</v>
      </c>
      <c r="L147">
        <v>101.8</v>
      </c>
      <c r="M147">
        <v>140.1</v>
      </c>
      <c r="N147">
        <v>120.7</v>
      </c>
      <c r="O147">
        <v>135.4</v>
      </c>
      <c r="P147">
        <v>128.9</v>
      </c>
      <c r="Q147">
        <v>124.9</v>
      </c>
      <c r="R147">
        <v>114.8</v>
      </c>
      <c r="S147">
        <v>122.3</v>
      </c>
      <c r="T147">
        <v>119.7</v>
      </c>
      <c r="U147">
        <v>108.5</v>
      </c>
      <c r="V147">
        <v>119.1</v>
      </c>
      <c r="W147">
        <v>126.4</v>
      </c>
      <c r="X147">
        <v>117.1</v>
      </c>
      <c r="Y147">
        <v>117.3</v>
      </c>
      <c r="Z147">
        <v>123.8</v>
      </c>
      <c r="AA147" s="1">
        <f>SUM(Table15[[#This Row],[Cereals and products]:[Food and beverages]])/13</f>
        <v>128.27692307692308</v>
      </c>
      <c r="AB147" s="1">
        <f>SUM(Table15[[#This Row],[Fuel and light]])</f>
        <v>114.8</v>
      </c>
      <c r="AC147" s="1">
        <f>SUM(Table15[[#This Row],[Transport and communication]])</f>
        <v>108.5</v>
      </c>
      <c r="AD147" s="1">
        <f>SUM(Table15[[#This Row],[Housing]],Table15[[#This Row],[Household goods and services]])/2</f>
        <v>123.6</v>
      </c>
      <c r="AE147" s="1">
        <f>SUM(Table15[[#This Row],[Health]])</f>
        <v>119.7</v>
      </c>
      <c r="AF147" s="1">
        <f>SUM(Table15[[#This Row],[Recreation and amusement]],Table15[[#This Row],[Education]])/2</f>
        <v>122.75</v>
      </c>
      <c r="AG147" s="1">
        <f>SUM(Table15[[#This Row],[Miscellaneous]],Table15[[#This Row],[Personal care and effects]])/2</f>
        <v>117.19999999999999</v>
      </c>
    </row>
    <row r="148" spans="1:33" x14ac:dyDescent="0.3">
      <c r="A148" t="s">
        <v>35</v>
      </c>
      <c r="B148">
        <v>2016</v>
      </c>
      <c r="C148" t="s">
        <v>46</v>
      </c>
      <c r="D148">
        <v>126.5</v>
      </c>
      <c r="E148">
        <v>135.1</v>
      </c>
      <c r="F148">
        <v>124.6</v>
      </c>
      <c r="G148">
        <v>130.19999999999999</v>
      </c>
      <c r="H148">
        <v>114.5</v>
      </c>
      <c r="I148">
        <v>126.2</v>
      </c>
      <c r="J148">
        <v>129.80000000000001</v>
      </c>
      <c r="K148">
        <v>164.3</v>
      </c>
      <c r="L148">
        <v>100.9</v>
      </c>
      <c r="M148">
        <v>133.9</v>
      </c>
      <c r="N148">
        <v>123.1</v>
      </c>
      <c r="O148">
        <v>136.30000000000001</v>
      </c>
      <c r="P148">
        <v>129.80000000000001</v>
      </c>
      <c r="Q148">
        <v>124.9</v>
      </c>
      <c r="R148">
        <v>122.4</v>
      </c>
      <c r="S148">
        <v>125.1</v>
      </c>
      <c r="T148">
        <v>122.9</v>
      </c>
      <c r="U148">
        <v>110.9</v>
      </c>
      <c r="V148">
        <v>120.6</v>
      </c>
      <c r="W148">
        <v>126.9</v>
      </c>
      <c r="X148">
        <v>117.3</v>
      </c>
      <c r="Y148">
        <v>119.3</v>
      </c>
      <c r="Z148">
        <v>126</v>
      </c>
      <c r="AA148" s="1">
        <f>SUM(Table15[[#This Row],[Cereals and products]:[Food and beverages]])/13</f>
        <v>128.86153846153846</v>
      </c>
      <c r="AB148" s="1">
        <f>SUM(Table15[[#This Row],[Fuel and light]])</f>
        <v>122.4</v>
      </c>
      <c r="AC148" s="1">
        <f>SUM(Table15[[#This Row],[Transport and communication]])</f>
        <v>110.9</v>
      </c>
      <c r="AD148" s="1">
        <f>SUM(Table15[[#This Row],[Housing]],Table15[[#This Row],[Household goods and services]])/2</f>
        <v>125</v>
      </c>
      <c r="AE148" s="1">
        <f>SUM(Table15[[#This Row],[Health]])</f>
        <v>122.9</v>
      </c>
      <c r="AF148" s="1">
        <f>SUM(Table15[[#This Row],[Recreation and amusement]],Table15[[#This Row],[Education]])/2</f>
        <v>123.75</v>
      </c>
      <c r="AG148" s="1">
        <f>SUM(Table15[[#This Row],[Miscellaneous]],Table15[[#This Row],[Personal care and effects]])/2</f>
        <v>118.3</v>
      </c>
    </row>
    <row r="149" spans="1:33" x14ac:dyDescent="0.3">
      <c r="A149" t="s">
        <v>33</v>
      </c>
      <c r="B149">
        <v>2016</v>
      </c>
      <c r="C149" t="s">
        <v>46</v>
      </c>
      <c r="D149">
        <v>127.3</v>
      </c>
      <c r="E149">
        <v>134.4</v>
      </c>
      <c r="F149">
        <v>125.1</v>
      </c>
      <c r="G149">
        <v>130.5</v>
      </c>
      <c r="H149">
        <v>118.3</v>
      </c>
      <c r="I149">
        <v>131.69999999999999</v>
      </c>
      <c r="J149">
        <v>130.69999999999999</v>
      </c>
      <c r="K149">
        <v>161.19999999999999</v>
      </c>
      <c r="L149">
        <v>100.4</v>
      </c>
      <c r="M149">
        <v>130.80000000000001</v>
      </c>
      <c r="N149">
        <v>124.9</v>
      </c>
      <c r="O149">
        <v>137</v>
      </c>
      <c r="P149">
        <v>130.4</v>
      </c>
      <c r="Q149">
        <f>AVERAGE(Q147:Q148)</f>
        <v>124.9</v>
      </c>
      <c r="R149">
        <v>127</v>
      </c>
      <c r="S149">
        <v>127.7</v>
      </c>
      <c r="T149">
        <v>124.8</v>
      </c>
      <c r="U149">
        <v>113.6</v>
      </c>
      <c r="V149">
        <v>122.5</v>
      </c>
      <c r="W149">
        <v>127.5</v>
      </c>
      <c r="X149">
        <v>117.4</v>
      </c>
      <c r="Y149">
        <v>121.1</v>
      </c>
      <c r="Z149">
        <v>128</v>
      </c>
      <c r="AA149" s="1">
        <f>SUM(Table15[[#This Row],[Cereals and products]:[Food and beverages]])/13</f>
        <v>129.43846153846155</v>
      </c>
      <c r="AB149" s="1">
        <f>SUM(Table15[[#This Row],[Fuel and light]])</f>
        <v>127</v>
      </c>
      <c r="AC149" s="1">
        <f>SUM(Table15[[#This Row],[Transport and communication]])</f>
        <v>113.6</v>
      </c>
      <c r="AD149" s="1">
        <f>SUM(Table15[[#This Row],[Housing]],Table15[[#This Row],[Household goods and services]])/2</f>
        <v>126.30000000000001</v>
      </c>
      <c r="AE149" s="1">
        <f>SUM(Table15[[#This Row],[Health]])</f>
        <v>124.8</v>
      </c>
      <c r="AF149" s="1">
        <f>SUM(Table15[[#This Row],[Recreation and amusement]],Table15[[#This Row],[Education]])/2</f>
        <v>125</v>
      </c>
      <c r="AG149" s="1">
        <f>SUM(Table15[[#This Row],[Miscellaneous]],Table15[[#This Row],[Personal care and effects]])/2</f>
        <v>119.25</v>
      </c>
    </row>
    <row r="150" spans="1:33" x14ac:dyDescent="0.3">
      <c r="A150" t="s">
        <v>33</v>
      </c>
      <c r="B150">
        <v>2015</v>
      </c>
      <c r="C150" t="s">
        <v>46</v>
      </c>
      <c r="D150">
        <v>123.3</v>
      </c>
      <c r="E150">
        <v>124.7</v>
      </c>
      <c r="F150">
        <v>118.9</v>
      </c>
      <c r="G150">
        <v>126</v>
      </c>
      <c r="H150">
        <v>111.8</v>
      </c>
      <c r="I150">
        <v>130.9</v>
      </c>
      <c r="J150">
        <v>128</v>
      </c>
      <c r="K150">
        <v>119.9</v>
      </c>
      <c r="L150">
        <v>98.9</v>
      </c>
      <c r="M150">
        <v>119.4</v>
      </c>
      <c r="N150">
        <v>118.9</v>
      </c>
      <c r="O150">
        <v>127.7</v>
      </c>
      <c r="P150">
        <v>123.1</v>
      </c>
      <c r="Q150">
        <f>AVERAGE(Q151:Q152)</f>
        <v>118.6</v>
      </c>
      <c r="R150">
        <v>120.6</v>
      </c>
      <c r="S150">
        <v>120.2</v>
      </c>
      <c r="T150">
        <v>118.2</v>
      </c>
      <c r="U150">
        <v>111.6</v>
      </c>
      <c r="V150">
        <v>115.5</v>
      </c>
      <c r="W150">
        <v>119.4</v>
      </c>
      <c r="X150">
        <v>110.8</v>
      </c>
      <c r="Y150">
        <v>115.5</v>
      </c>
      <c r="Z150">
        <v>121.1</v>
      </c>
      <c r="AA150" s="1">
        <f>SUM(Table15[[#This Row],[Cereals and products]:[Food and beverages]])/13</f>
        <v>120.88461538461539</v>
      </c>
      <c r="AB150" s="1">
        <f>SUM(Table15[[#This Row],[Fuel and light]])</f>
        <v>120.6</v>
      </c>
      <c r="AC150" s="1">
        <f>SUM(Table15[[#This Row],[Transport and communication]])</f>
        <v>111.6</v>
      </c>
      <c r="AD150" s="1">
        <f>SUM(Table15[[#This Row],[Housing]],Table15[[#This Row],[Household goods and services]])/2</f>
        <v>119.4</v>
      </c>
      <c r="AE150" s="1">
        <f>SUM(Table15[[#This Row],[Health]])</f>
        <v>118.2</v>
      </c>
      <c r="AF150" s="1">
        <f>SUM(Table15[[#This Row],[Recreation and amusement]],Table15[[#This Row],[Education]])/2</f>
        <v>117.45</v>
      </c>
      <c r="AG150" s="1">
        <f>SUM(Table15[[#This Row],[Miscellaneous]],Table15[[#This Row],[Personal care and effects]])/2</f>
        <v>113.15</v>
      </c>
    </row>
    <row r="151" spans="1:33" x14ac:dyDescent="0.3">
      <c r="A151" t="s">
        <v>35</v>
      </c>
      <c r="B151">
        <v>2015</v>
      </c>
      <c r="C151" t="s">
        <v>46</v>
      </c>
      <c r="D151">
        <v>123.5</v>
      </c>
      <c r="E151">
        <v>125.4</v>
      </c>
      <c r="F151">
        <v>116.8</v>
      </c>
      <c r="G151">
        <v>126</v>
      </c>
      <c r="H151">
        <v>109.2</v>
      </c>
      <c r="I151">
        <v>127.6</v>
      </c>
      <c r="J151">
        <v>129.19999999999999</v>
      </c>
      <c r="K151">
        <v>122.4</v>
      </c>
      <c r="L151">
        <v>97</v>
      </c>
      <c r="M151">
        <v>122.1</v>
      </c>
      <c r="N151">
        <v>118.1</v>
      </c>
      <c r="O151">
        <v>128.4</v>
      </c>
      <c r="P151">
        <v>123.4</v>
      </c>
      <c r="Q151">
        <v>118.6</v>
      </c>
      <c r="R151">
        <v>118.3</v>
      </c>
      <c r="S151">
        <v>119.2</v>
      </c>
      <c r="T151">
        <v>116.7</v>
      </c>
      <c r="U151">
        <v>109.9</v>
      </c>
      <c r="V151">
        <v>115.4</v>
      </c>
      <c r="W151">
        <v>120.1</v>
      </c>
      <c r="X151">
        <v>111</v>
      </c>
      <c r="Y151">
        <v>114.7</v>
      </c>
      <c r="Z151">
        <v>120.2</v>
      </c>
      <c r="AA151" s="1">
        <f>SUM(Table15[[#This Row],[Cereals and products]:[Food and beverages]])/13</f>
        <v>120.69999999999999</v>
      </c>
      <c r="AB151" s="1">
        <f>SUM(Table15[[#This Row],[Fuel and light]])</f>
        <v>118.3</v>
      </c>
      <c r="AC151" s="1">
        <f>SUM(Table15[[#This Row],[Transport and communication]])</f>
        <v>109.9</v>
      </c>
      <c r="AD151" s="1">
        <f>SUM(Table15[[#This Row],[Housing]],Table15[[#This Row],[Household goods and services]])/2</f>
        <v>118.9</v>
      </c>
      <c r="AE151" s="1">
        <f>SUM(Table15[[#This Row],[Health]])</f>
        <v>116.7</v>
      </c>
      <c r="AF151" s="1">
        <f>SUM(Table15[[#This Row],[Recreation and amusement]],Table15[[#This Row],[Education]])/2</f>
        <v>117.75</v>
      </c>
      <c r="AG151" s="1">
        <f>SUM(Table15[[#This Row],[Miscellaneous]],Table15[[#This Row],[Personal care and effects]])/2</f>
        <v>112.85</v>
      </c>
    </row>
    <row r="152" spans="1:33" x14ac:dyDescent="0.3">
      <c r="A152" t="s">
        <v>36</v>
      </c>
      <c r="B152">
        <v>2015</v>
      </c>
      <c r="C152" t="s">
        <v>46</v>
      </c>
      <c r="D152">
        <v>124</v>
      </c>
      <c r="E152">
        <v>126.7</v>
      </c>
      <c r="F152">
        <v>113.5</v>
      </c>
      <c r="G152">
        <v>125.9</v>
      </c>
      <c r="H152">
        <v>104.8</v>
      </c>
      <c r="I152">
        <v>123.8</v>
      </c>
      <c r="J152">
        <v>131.4</v>
      </c>
      <c r="K152">
        <v>127.2</v>
      </c>
      <c r="L152">
        <v>93.2</v>
      </c>
      <c r="M152">
        <v>127.4</v>
      </c>
      <c r="N152">
        <v>117</v>
      </c>
      <c r="O152">
        <v>129.19999999999999</v>
      </c>
      <c r="P152">
        <v>123.9</v>
      </c>
      <c r="Q152">
        <v>118.6</v>
      </c>
      <c r="R152">
        <v>114.4</v>
      </c>
      <c r="S152">
        <v>118</v>
      </c>
      <c r="T152">
        <v>114.3</v>
      </c>
      <c r="U152">
        <v>108.4</v>
      </c>
      <c r="V152">
        <v>115.4</v>
      </c>
      <c r="W152">
        <v>120.6</v>
      </c>
      <c r="X152">
        <v>111.3</v>
      </c>
      <c r="Y152">
        <v>113.8</v>
      </c>
      <c r="Z152">
        <v>119.1</v>
      </c>
      <c r="AA152" s="1">
        <f>SUM(Table15[[#This Row],[Cereals and products]:[Food and beverages]])/13</f>
        <v>120.61538461538463</v>
      </c>
      <c r="AB152" s="1">
        <f>SUM(Table15[[#This Row],[Fuel and light]])</f>
        <v>114.4</v>
      </c>
      <c r="AC152" s="1">
        <f>SUM(Table15[[#This Row],[Transport and communication]])</f>
        <v>108.4</v>
      </c>
      <c r="AD152" s="1">
        <f>SUM(Table15[[#This Row],[Housing]],Table15[[#This Row],[Household goods and services]])/2</f>
        <v>118.3</v>
      </c>
      <c r="AE152" s="1">
        <f>SUM(Table15[[#This Row],[Health]])</f>
        <v>114.3</v>
      </c>
      <c r="AF152" s="1">
        <f>SUM(Table15[[#This Row],[Recreation and amusement]],Table15[[#This Row],[Education]])/2</f>
        <v>118</v>
      </c>
      <c r="AG152" s="1">
        <f>SUM(Table15[[#This Row],[Miscellaneous]],Table15[[#This Row],[Personal care and effects]])/2</f>
        <v>112.55</v>
      </c>
    </row>
    <row r="153" spans="1:33" x14ac:dyDescent="0.3">
      <c r="A153" t="s">
        <v>33</v>
      </c>
      <c r="B153">
        <v>2014</v>
      </c>
      <c r="C153" t="s">
        <v>46</v>
      </c>
      <c r="D153">
        <v>120.1</v>
      </c>
      <c r="E153">
        <v>118.1</v>
      </c>
      <c r="F153">
        <v>120.7</v>
      </c>
      <c r="G153">
        <v>116.1</v>
      </c>
      <c r="H153">
        <v>109.3</v>
      </c>
      <c r="I153">
        <v>119.6</v>
      </c>
      <c r="J153">
        <v>117.9</v>
      </c>
      <c r="K153">
        <v>110.2</v>
      </c>
      <c r="L153">
        <v>101.2</v>
      </c>
      <c r="M153">
        <v>110.7</v>
      </c>
      <c r="N153">
        <v>113</v>
      </c>
      <c r="O153">
        <v>118.3</v>
      </c>
      <c r="P153">
        <v>116.2</v>
      </c>
      <c r="Q153">
        <v>113.2</v>
      </c>
      <c r="R153">
        <v>113.4</v>
      </c>
      <c r="S153">
        <v>113.4</v>
      </c>
      <c r="T153">
        <v>111.4</v>
      </c>
      <c r="U153">
        <v>111.2</v>
      </c>
      <c r="V153">
        <v>110.2</v>
      </c>
      <c r="W153">
        <v>112.4</v>
      </c>
      <c r="X153">
        <v>108.9</v>
      </c>
      <c r="Y153">
        <v>111.3</v>
      </c>
      <c r="Z153">
        <v>114.6</v>
      </c>
      <c r="AA153" s="1">
        <f>SUM(Table15[[#This Row],[Cereals and products]:[Food and beverages]])/13</f>
        <v>114.72307692307693</v>
      </c>
      <c r="AB153" s="1">
        <f>SUM(Table15[[#This Row],[Fuel and light]])</f>
        <v>113.4</v>
      </c>
      <c r="AC153" s="1">
        <f>SUM(Table15[[#This Row],[Transport and communication]])</f>
        <v>111.2</v>
      </c>
      <c r="AD153" s="1">
        <f>SUM(Table15[[#This Row],[Housing]],Table15[[#This Row],[Household goods and services]])/2</f>
        <v>113.30000000000001</v>
      </c>
      <c r="AE153" s="1">
        <f>SUM(Table15[[#This Row],[Health]])</f>
        <v>111.4</v>
      </c>
      <c r="AF153" s="1">
        <f>SUM(Table15[[#This Row],[Recreation and amusement]],Table15[[#This Row],[Education]])/2</f>
        <v>111.30000000000001</v>
      </c>
      <c r="AG153" s="1">
        <f>SUM(Table15[[#This Row],[Miscellaneous]],Table15[[#This Row],[Personal care and effects]])/2</f>
        <v>110.1</v>
      </c>
    </row>
    <row r="154" spans="1:33" x14ac:dyDescent="0.3">
      <c r="A154" t="s">
        <v>36</v>
      </c>
      <c r="B154">
        <v>2014</v>
      </c>
      <c r="C154" t="s">
        <v>46</v>
      </c>
      <c r="D154">
        <v>122.1</v>
      </c>
      <c r="E154">
        <v>121.4</v>
      </c>
      <c r="F154">
        <v>121.5</v>
      </c>
      <c r="G154">
        <v>116.2</v>
      </c>
      <c r="H154">
        <v>102.8</v>
      </c>
      <c r="I154">
        <v>117.7</v>
      </c>
      <c r="J154">
        <v>113.3</v>
      </c>
      <c r="K154">
        <v>108.9</v>
      </c>
      <c r="L154">
        <v>96.3</v>
      </c>
      <c r="M154">
        <v>114.1</v>
      </c>
      <c r="N154">
        <v>112.2</v>
      </c>
      <c r="O154">
        <v>120.5</v>
      </c>
      <c r="P154">
        <v>116</v>
      </c>
      <c r="Q154">
        <v>113.2</v>
      </c>
      <c r="R154">
        <v>110.9</v>
      </c>
      <c r="S154">
        <v>113</v>
      </c>
      <c r="T154">
        <v>110.8</v>
      </c>
      <c r="U154">
        <v>111.6</v>
      </c>
      <c r="V154">
        <v>110.9</v>
      </c>
      <c r="W154">
        <v>111.8</v>
      </c>
      <c r="X154">
        <v>109.2</v>
      </c>
      <c r="Y154">
        <v>111.4</v>
      </c>
      <c r="Z154">
        <v>113.7</v>
      </c>
      <c r="AA154" s="1">
        <f>SUM(Table15[[#This Row],[Cereals and products]:[Food and beverages]])/13</f>
        <v>114.07692307692308</v>
      </c>
      <c r="AB154" s="1">
        <f>SUM(Table15[[#This Row],[Fuel and light]])</f>
        <v>110.9</v>
      </c>
      <c r="AC154" s="1">
        <f>SUM(Table15[[#This Row],[Transport and communication]])</f>
        <v>111.6</v>
      </c>
      <c r="AD154" s="1">
        <f>SUM(Table15[[#This Row],[Housing]],Table15[[#This Row],[Household goods and services]])/2</f>
        <v>113.1</v>
      </c>
      <c r="AE154" s="1">
        <f>SUM(Table15[[#This Row],[Health]])</f>
        <v>110.8</v>
      </c>
      <c r="AF154" s="1">
        <f>SUM(Table15[[#This Row],[Recreation and amusement]],Table15[[#This Row],[Education]])/2</f>
        <v>111.35</v>
      </c>
      <c r="AG154" s="1">
        <f>SUM(Table15[[#This Row],[Miscellaneous]],Table15[[#This Row],[Personal care and effects]])/2</f>
        <v>110.30000000000001</v>
      </c>
    </row>
    <row r="155" spans="1:33" x14ac:dyDescent="0.3">
      <c r="A155" t="s">
        <v>33</v>
      </c>
      <c r="B155">
        <v>2013</v>
      </c>
      <c r="C155" t="s">
        <v>46</v>
      </c>
      <c r="D155">
        <v>110.2</v>
      </c>
      <c r="E155">
        <v>108.8</v>
      </c>
      <c r="F155">
        <v>109.9</v>
      </c>
      <c r="G155">
        <v>105.6</v>
      </c>
      <c r="H155">
        <v>106.2</v>
      </c>
      <c r="I155">
        <v>105.7</v>
      </c>
      <c r="J155">
        <v>101.4</v>
      </c>
      <c r="K155">
        <v>105.7</v>
      </c>
      <c r="L155">
        <v>105</v>
      </c>
      <c r="M155">
        <v>103.3</v>
      </c>
      <c r="N155">
        <v>105.6</v>
      </c>
      <c r="O155">
        <v>108.2</v>
      </c>
      <c r="P155">
        <v>106.6</v>
      </c>
      <c r="Q155">
        <f>AVERAGE(Q156:Q157)</f>
        <v>100.4</v>
      </c>
      <c r="R155">
        <v>106.1</v>
      </c>
      <c r="S155">
        <v>105.6</v>
      </c>
      <c r="T155">
        <v>104.7</v>
      </c>
      <c r="U155">
        <v>104.6</v>
      </c>
      <c r="V155">
        <v>104</v>
      </c>
      <c r="W155">
        <v>104.3</v>
      </c>
      <c r="X155">
        <v>104.3</v>
      </c>
      <c r="Y155">
        <v>104.6</v>
      </c>
      <c r="Z155">
        <v>106</v>
      </c>
      <c r="AA155" s="1">
        <f>SUM(Table15[[#This Row],[Cereals and products]:[Food and beverages]])/13</f>
        <v>106.32307692307693</v>
      </c>
      <c r="AB155" s="1">
        <f>SUM(Table15[[#This Row],[Fuel and light]])</f>
        <v>106.1</v>
      </c>
      <c r="AC155" s="1">
        <f>SUM(Table15[[#This Row],[Transport and communication]])</f>
        <v>104.6</v>
      </c>
      <c r="AD155" s="1">
        <f>SUM(Table15[[#This Row],[Housing]],Table15[[#This Row],[Household goods and services]])/2</f>
        <v>103</v>
      </c>
      <c r="AE155" s="1">
        <f>SUM(Table15[[#This Row],[Health]])</f>
        <v>104.7</v>
      </c>
      <c r="AF155" s="1">
        <f>SUM(Table15[[#This Row],[Recreation and amusement]],Table15[[#This Row],[Education]])/2</f>
        <v>104.15</v>
      </c>
      <c r="AG155" s="1">
        <f>SUM(Table15[[#This Row],[Miscellaneous]],Table15[[#This Row],[Personal care and effects]])/2</f>
        <v>104.44999999999999</v>
      </c>
    </row>
    <row r="156" spans="1:33" x14ac:dyDescent="0.3">
      <c r="A156" t="s">
        <v>35</v>
      </c>
      <c r="B156">
        <v>2013</v>
      </c>
      <c r="C156" t="s">
        <v>46</v>
      </c>
      <c r="D156">
        <v>111.4</v>
      </c>
      <c r="E156">
        <v>109.7</v>
      </c>
      <c r="F156">
        <v>111.2</v>
      </c>
      <c r="G156">
        <v>105.1</v>
      </c>
      <c r="H156">
        <v>104.9</v>
      </c>
      <c r="I156">
        <v>105.3</v>
      </c>
      <c r="J156">
        <v>102.2</v>
      </c>
      <c r="K156">
        <v>105</v>
      </c>
      <c r="L156">
        <v>104.2</v>
      </c>
      <c r="M156">
        <v>103</v>
      </c>
      <c r="N156">
        <v>106.2</v>
      </c>
      <c r="O156">
        <v>108.9</v>
      </c>
      <c r="P156">
        <v>106.9</v>
      </c>
      <c r="Q156">
        <v>100.4</v>
      </c>
      <c r="R156">
        <v>106.1</v>
      </c>
      <c r="S156">
        <v>105.6</v>
      </c>
      <c r="T156">
        <v>104.9</v>
      </c>
      <c r="U156">
        <v>105.1</v>
      </c>
      <c r="V156">
        <v>103.7</v>
      </c>
      <c r="W156">
        <v>104</v>
      </c>
      <c r="X156">
        <v>104.3</v>
      </c>
      <c r="Y156">
        <v>104.7</v>
      </c>
      <c r="Z156">
        <v>105.5</v>
      </c>
      <c r="AA156" s="1">
        <f>SUM(Table15[[#This Row],[Cereals and products]:[Food and beverages]])/13</f>
        <v>106.46153846153848</v>
      </c>
      <c r="AB156" s="1">
        <f>SUM(Table15[[#This Row],[Fuel and light]])</f>
        <v>106.1</v>
      </c>
      <c r="AC156" s="1">
        <f>SUM(Table15[[#This Row],[Transport and communication]])</f>
        <v>105.1</v>
      </c>
      <c r="AD156" s="1">
        <f>SUM(Table15[[#This Row],[Housing]],Table15[[#This Row],[Household goods and services]])/2</f>
        <v>103</v>
      </c>
      <c r="AE156" s="1">
        <f>SUM(Table15[[#This Row],[Health]])</f>
        <v>104.9</v>
      </c>
      <c r="AF156" s="1">
        <f>SUM(Table15[[#This Row],[Recreation and amusement]],Table15[[#This Row],[Education]])/2</f>
        <v>103.85</v>
      </c>
      <c r="AG156" s="1">
        <f>SUM(Table15[[#This Row],[Miscellaneous]],Table15[[#This Row],[Personal care and effects]])/2</f>
        <v>104.5</v>
      </c>
    </row>
    <row r="157" spans="1:33" x14ac:dyDescent="0.3">
      <c r="A157" t="s">
        <v>36</v>
      </c>
      <c r="B157">
        <v>2013</v>
      </c>
      <c r="C157" t="s">
        <v>46</v>
      </c>
      <c r="D157">
        <v>113.9</v>
      </c>
      <c r="E157">
        <v>111.4</v>
      </c>
      <c r="F157">
        <v>113.2</v>
      </c>
      <c r="G157">
        <v>104.3</v>
      </c>
      <c r="H157">
        <v>102.7</v>
      </c>
      <c r="I157">
        <v>104.9</v>
      </c>
      <c r="J157">
        <v>103.8</v>
      </c>
      <c r="K157">
        <v>103.5</v>
      </c>
      <c r="L157">
        <v>102.6</v>
      </c>
      <c r="M157">
        <v>102.4</v>
      </c>
      <c r="N157">
        <v>107</v>
      </c>
      <c r="O157">
        <v>109.8</v>
      </c>
      <c r="P157">
        <v>107.3</v>
      </c>
      <c r="Q157">
        <v>100.4</v>
      </c>
      <c r="R157">
        <v>106</v>
      </c>
      <c r="S157">
        <v>105.7</v>
      </c>
      <c r="T157">
        <v>105.2</v>
      </c>
      <c r="U157">
        <v>105.5</v>
      </c>
      <c r="V157">
        <v>103.5</v>
      </c>
      <c r="W157">
        <v>103.8</v>
      </c>
      <c r="X157">
        <v>104.2</v>
      </c>
      <c r="Y157">
        <v>104.9</v>
      </c>
      <c r="Z157">
        <v>105</v>
      </c>
      <c r="AA157" s="1">
        <f>SUM(Table15[[#This Row],[Cereals and products]:[Food and beverages]])/13</f>
        <v>106.67692307692307</v>
      </c>
      <c r="AB157" s="1">
        <f>SUM(Table15[[#This Row],[Fuel and light]])</f>
        <v>106</v>
      </c>
      <c r="AC157" s="1">
        <f>SUM(Table15[[#This Row],[Transport and communication]])</f>
        <v>105.5</v>
      </c>
      <c r="AD157" s="1">
        <f>SUM(Table15[[#This Row],[Housing]],Table15[[#This Row],[Household goods and services]])/2</f>
        <v>103.05000000000001</v>
      </c>
      <c r="AE157" s="1">
        <f>SUM(Table15[[#This Row],[Health]])</f>
        <v>105.2</v>
      </c>
      <c r="AF157" s="1">
        <f>SUM(Table15[[#This Row],[Recreation and amusement]],Table15[[#This Row],[Education]])/2</f>
        <v>103.65</v>
      </c>
      <c r="AG157" s="1">
        <f>SUM(Table15[[#This Row],[Miscellaneous]],Table15[[#This Row],[Personal care and effects]])/2</f>
        <v>104.55000000000001</v>
      </c>
    </row>
    <row r="158" spans="1:33" x14ac:dyDescent="0.3">
      <c r="A158" t="s">
        <v>33</v>
      </c>
      <c r="B158">
        <v>2022</v>
      </c>
      <c r="C158" t="s">
        <v>43</v>
      </c>
      <c r="D158">
        <v>153.80000000000001</v>
      </c>
      <c r="E158">
        <v>217.2</v>
      </c>
      <c r="F158">
        <v>169.6</v>
      </c>
      <c r="G158">
        <v>165.4</v>
      </c>
      <c r="H158">
        <v>208.1</v>
      </c>
      <c r="I158">
        <v>165.8</v>
      </c>
      <c r="J158">
        <v>167.3</v>
      </c>
      <c r="K158">
        <v>164.6</v>
      </c>
      <c r="L158">
        <v>119.1</v>
      </c>
      <c r="M158">
        <v>188.9</v>
      </c>
      <c r="N158">
        <v>174.2</v>
      </c>
      <c r="O158">
        <v>181.9</v>
      </c>
      <c r="P158">
        <v>172.4</v>
      </c>
      <c r="Q158">
        <f>AVERAGE(Q159:Q160)</f>
        <v>166.8</v>
      </c>
      <c r="R158">
        <v>176.7</v>
      </c>
      <c r="S158">
        <v>170.3</v>
      </c>
      <c r="T158">
        <v>178.2</v>
      </c>
      <c r="U158">
        <v>165.5</v>
      </c>
      <c r="V158">
        <v>168</v>
      </c>
      <c r="W158">
        <v>172.6</v>
      </c>
      <c r="X158">
        <v>169.5</v>
      </c>
      <c r="Y158">
        <v>171</v>
      </c>
      <c r="Z158">
        <v>173.6</v>
      </c>
      <c r="AA158" s="1">
        <f>SUM(Table15[[#This Row],[Cereals and products]:[Food and beverages]])/13</f>
        <v>172.94615384615386</v>
      </c>
      <c r="AB158" s="1">
        <f>SUM(Table15[[#This Row],[Fuel and light]])</f>
        <v>176.7</v>
      </c>
      <c r="AC158" s="1">
        <f>SUM(Table15[[#This Row],[Transport and communication]])</f>
        <v>165.5</v>
      </c>
      <c r="AD158" s="1">
        <f>SUM(Table15[[#This Row],[Housing]],Table15[[#This Row],[Household goods and services]])/2</f>
        <v>168.55</v>
      </c>
      <c r="AE158" s="1">
        <f>SUM(Table15[[#This Row],[Health]])</f>
        <v>178.2</v>
      </c>
      <c r="AF158" s="1">
        <f>SUM(Table15[[#This Row],[Recreation and amusement]],Table15[[#This Row],[Education]])/2</f>
        <v>170.3</v>
      </c>
      <c r="AG158" s="1">
        <f>SUM(Table15[[#This Row],[Miscellaneous]],Table15[[#This Row],[Personal care and effects]])/2</f>
        <v>170.25</v>
      </c>
    </row>
    <row r="159" spans="1:33" x14ac:dyDescent="0.3">
      <c r="A159" t="s">
        <v>35</v>
      </c>
      <c r="B159">
        <v>2022</v>
      </c>
      <c r="C159" t="s">
        <v>43</v>
      </c>
      <c r="D159">
        <v>155</v>
      </c>
      <c r="E159">
        <v>219.4</v>
      </c>
      <c r="F159">
        <v>170.8</v>
      </c>
      <c r="G159">
        <v>165.8</v>
      </c>
      <c r="H159">
        <v>200.9</v>
      </c>
      <c r="I159">
        <v>169.7</v>
      </c>
      <c r="J159">
        <v>182.3</v>
      </c>
      <c r="K159">
        <v>164.3</v>
      </c>
      <c r="L159">
        <v>119.9</v>
      </c>
      <c r="M159">
        <v>187.1</v>
      </c>
      <c r="N159">
        <v>167.9</v>
      </c>
      <c r="O159">
        <v>183.9</v>
      </c>
      <c r="P159">
        <v>174.9</v>
      </c>
      <c r="Q159">
        <v>166.8</v>
      </c>
      <c r="R159">
        <v>176</v>
      </c>
      <c r="S159">
        <v>166.4</v>
      </c>
      <c r="T159">
        <v>175.4</v>
      </c>
      <c r="U159">
        <v>161.1</v>
      </c>
      <c r="V159">
        <v>165.8</v>
      </c>
      <c r="W159">
        <v>169</v>
      </c>
      <c r="X159">
        <v>169.4</v>
      </c>
      <c r="Y159">
        <v>167.5</v>
      </c>
      <c r="Z159">
        <v>172.6</v>
      </c>
      <c r="AA159" s="1">
        <f>SUM(Table15[[#This Row],[Cereals and products]:[Food and beverages]])/13</f>
        <v>173.99230769230769</v>
      </c>
      <c r="AB159" s="1">
        <f>SUM(Table15[[#This Row],[Fuel and light]])</f>
        <v>176</v>
      </c>
      <c r="AC159" s="1">
        <f>SUM(Table15[[#This Row],[Transport and communication]])</f>
        <v>161.1</v>
      </c>
      <c r="AD159" s="1">
        <f>SUM(Table15[[#This Row],[Housing]],Table15[[#This Row],[Household goods and services]])/2</f>
        <v>166.60000000000002</v>
      </c>
      <c r="AE159" s="1">
        <f>SUM(Table15[[#This Row],[Health]])</f>
        <v>175.4</v>
      </c>
      <c r="AF159" s="1">
        <f>SUM(Table15[[#This Row],[Recreation and amusement]],Table15[[#This Row],[Education]])/2</f>
        <v>167.4</v>
      </c>
      <c r="AG159" s="1">
        <f>SUM(Table15[[#This Row],[Miscellaneous]],Table15[[#This Row],[Personal care and effects]])/2</f>
        <v>168.45</v>
      </c>
    </row>
    <row r="160" spans="1:33" x14ac:dyDescent="0.3">
      <c r="A160" t="s">
        <v>36</v>
      </c>
      <c r="B160">
        <v>2022</v>
      </c>
      <c r="C160" t="s">
        <v>43</v>
      </c>
      <c r="D160">
        <v>157.5</v>
      </c>
      <c r="E160">
        <v>223.4</v>
      </c>
      <c r="F160">
        <v>172.8</v>
      </c>
      <c r="G160">
        <v>166.4</v>
      </c>
      <c r="H160">
        <v>188.6</v>
      </c>
      <c r="I160">
        <v>174.1</v>
      </c>
      <c r="J160">
        <v>211.5</v>
      </c>
      <c r="K160">
        <v>163.6</v>
      </c>
      <c r="L160">
        <v>121.4</v>
      </c>
      <c r="M160">
        <v>183.5</v>
      </c>
      <c r="N160">
        <v>159.1</v>
      </c>
      <c r="O160">
        <v>186.3</v>
      </c>
      <c r="P160">
        <v>179.3</v>
      </c>
      <c r="Q160">
        <v>166.8</v>
      </c>
      <c r="R160">
        <v>174.9</v>
      </c>
      <c r="S160">
        <v>162.1</v>
      </c>
      <c r="T160">
        <v>170.9</v>
      </c>
      <c r="U160">
        <v>157.19999999999999</v>
      </c>
      <c r="V160">
        <v>164.1</v>
      </c>
      <c r="W160">
        <v>166.5</v>
      </c>
      <c r="X160">
        <v>169.2</v>
      </c>
      <c r="Y160">
        <v>163.80000000000001</v>
      </c>
      <c r="Z160">
        <v>171.4</v>
      </c>
      <c r="AA160" s="1">
        <f>SUM(Table15[[#This Row],[Cereals and products]:[Food and beverages]])/13</f>
        <v>175.96153846153845</v>
      </c>
      <c r="AB160" s="1">
        <f>SUM(Table15[[#This Row],[Fuel and light]])</f>
        <v>174.9</v>
      </c>
      <c r="AC160" s="1">
        <f>SUM(Table15[[#This Row],[Transport and communication]])</f>
        <v>157.19999999999999</v>
      </c>
      <c r="AD160" s="1">
        <f>SUM(Table15[[#This Row],[Housing]],Table15[[#This Row],[Household goods and services]])/2</f>
        <v>164.45</v>
      </c>
      <c r="AE160" s="1">
        <f>SUM(Table15[[#This Row],[Health]])</f>
        <v>170.9</v>
      </c>
      <c r="AF160" s="1">
        <f>SUM(Table15[[#This Row],[Recreation and amusement]],Table15[[#This Row],[Education]])/2</f>
        <v>165.3</v>
      </c>
      <c r="AG160" s="1">
        <f>SUM(Table15[[#This Row],[Miscellaneous]],Table15[[#This Row],[Personal care and effects]])/2</f>
        <v>166.5</v>
      </c>
    </row>
    <row r="161" spans="1:33" x14ac:dyDescent="0.3">
      <c r="A161" t="s">
        <v>33</v>
      </c>
      <c r="B161">
        <v>2020</v>
      </c>
      <c r="C161" t="s">
        <v>41</v>
      </c>
      <c r="D161">
        <v>143.69999999999999</v>
      </c>
      <c r="E161">
        <v>167.3</v>
      </c>
      <c r="F161">
        <v>153.5</v>
      </c>
      <c r="G161">
        <v>150.5</v>
      </c>
      <c r="H161">
        <v>132</v>
      </c>
      <c r="I161">
        <v>142.19999999999999</v>
      </c>
      <c r="J161">
        <v>191.5</v>
      </c>
      <c r="K161">
        <v>141.1</v>
      </c>
      <c r="L161">
        <v>113.8</v>
      </c>
      <c r="M161">
        <v>151.6</v>
      </c>
      <c r="N161">
        <v>139.69999999999999</v>
      </c>
      <c r="O161">
        <v>158.69999999999999</v>
      </c>
      <c r="P161">
        <v>153</v>
      </c>
      <c r="Q161">
        <f>AVERAGE(Q162:Q163)</f>
        <v>153.9</v>
      </c>
      <c r="R161">
        <v>150.4</v>
      </c>
      <c r="S161">
        <v>151.69999999999999</v>
      </c>
      <c r="T161">
        <v>155.69999999999999</v>
      </c>
      <c r="U161">
        <v>136.30000000000001</v>
      </c>
      <c r="V161">
        <v>150.1</v>
      </c>
      <c r="W161">
        <v>161.69999999999999</v>
      </c>
      <c r="X161">
        <v>142.5</v>
      </c>
      <c r="Y161">
        <v>148.1</v>
      </c>
      <c r="Z161">
        <v>151.9</v>
      </c>
      <c r="AA161" s="1">
        <f>SUM(Table15[[#This Row],[Cereals and products]:[Food and beverages]])/13</f>
        <v>149.12307692307692</v>
      </c>
      <c r="AB161" s="1">
        <f>SUM(Table15[[#This Row],[Fuel and light]])</f>
        <v>150.4</v>
      </c>
      <c r="AC161" s="1">
        <f>SUM(Table15[[#This Row],[Transport and communication]])</f>
        <v>136.30000000000001</v>
      </c>
      <c r="AD161" s="1">
        <f>SUM(Table15[[#This Row],[Housing]],Table15[[#This Row],[Household goods and services]])/2</f>
        <v>152.80000000000001</v>
      </c>
      <c r="AE161" s="1">
        <f>SUM(Table15[[#This Row],[Health]])</f>
        <v>155.69999999999999</v>
      </c>
      <c r="AF161" s="1">
        <f>SUM(Table15[[#This Row],[Recreation and amusement]],Table15[[#This Row],[Education]])/2</f>
        <v>155.89999999999998</v>
      </c>
      <c r="AG161" s="1">
        <f>SUM(Table15[[#This Row],[Miscellaneous]],Table15[[#This Row],[Personal care and effects]])/2</f>
        <v>145.30000000000001</v>
      </c>
    </row>
    <row r="162" spans="1:33" x14ac:dyDescent="0.3">
      <c r="A162" t="s">
        <v>35</v>
      </c>
      <c r="B162">
        <v>2020</v>
      </c>
      <c r="C162" t="s">
        <v>41</v>
      </c>
      <c r="D162">
        <v>144.30000000000001</v>
      </c>
      <c r="E162">
        <v>167.4</v>
      </c>
      <c r="F162">
        <v>154.9</v>
      </c>
      <c r="G162">
        <v>150.1</v>
      </c>
      <c r="H162">
        <v>129.9</v>
      </c>
      <c r="I162">
        <v>143.19999999999999</v>
      </c>
      <c r="J162">
        <v>197</v>
      </c>
      <c r="K162">
        <v>140.4</v>
      </c>
      <c r="L162">
        <v>114.1</v>
      </c>
      <c r="M162">
        <v>150.9</v>
      </c>
      <c r="N162">
        <v>136.1</v>
      </c>
      <c r="O162">
        <v>158.6</v>
      </c>
      <c r="P162">
        <v>153.5</v>
      </c>
      <c r="Q162">
        <v>153.9</v>
      </c>
      <c r="R162">
        <v>144.6</v>
      </c>
      <c r="S162">
        <v>146.19999999999999</v>
      </c>
      <c r="T162">
        <v>151.19999999999999</v>
      </c>
      <c r="U162">
        <v>130.9</v>
      </c>
      <c r="V162">
        <v>142.80000000000001</v>
      </c>
      <c r="W162">
        <v>156.1</v>
      </c>
      <c r="X162">
        <v>142.30000000000001</v>
      </c>
      <c r="Y162">
        <v>143.4</v>
      </c>
      <c r="Z162">
        <v>150.19999999999999</v>
      </c>
      <c r="AA162" s="1">
        <f>SUM(Table15[[#This Row],[Cereals and products]:[Food and beverages]])/13</f>
        <v>149.26153846153846</v>
      </c>
      <c r="AB162" s="1">
        <f>SUM(Table15[[#This Row],[Fuel and light]])</f>
        <v>144.6</v>
      </c>
      <c r="AC162" s="1">
        <f>SUM(Table15[[#This Row],[Transport and communication]])</f>
        <v>130.9</v>
      </c>
      <c r="AD162" s="1">
        <f>SUM(Table15[[#This Row],[Housing]],Table15[[#This Row],[Household goods and services]])/2</f>
        <v>150.05000000000001</v>
      </c>
      <c r="AE162" s="1">
        <f>SUM(Table15[[#This Row],[Health]])</f>
        <v>151.19999999999999</v>
      </c>
      <c r="AF162" s="1">
        <f>SUM(Table15[[#This Row],[Recreation and amusement]],Table15[[#This Row],[Education]])/2</f>
        <v>149.44999999999999</v>
      </c>
      <c r="AG162" s="1">
        <f>SUM(Table15[[#This Row],[Miscellaneous]],Table15[[#This Row],[Personal care and effects]])/2</f>
        <v>142.85000000000002</v>
      </c>
    </row>
    <row r="163" spans="1:33" x14ac:dyDescent="0.3">
      <c r="A163" t="s">
        <v>36</v>
      </c>
      <c r="B163">
        <v>2020</v>
      </c>
      <c r="C163" t="s">
        <v>41</v>
      </c>
      <c r="D163">
        <v>145.6</v>
      </c>
      <c r="E163">
        <v>167.6</v>
      </c>
      <c r="F163">
        <v>157</v>
      </c>
      <c r="G163">
        <v>149.30000000000001</v>
      </c>
      <c r="H163">
        <v>126.3</v>
      </c>
      <c r="I163">
        <v>144.4</v>
      </c>
      <c r="J163">
        <v>207.8</v>
      </c>
      <c r="K163">
        <v>139.1</v>
      </c>
      <c r="L163">
        <v>114.8</v>
      </c>
      <c r="M163">
        <v>149.5</v>
      </c>
      <c r="N163">
        <v>131.1</v>
      </c>
      <c r="O163">
        <v>158.5</v>
      </c>
      <c r="P163">
        <v>154.4</v>
      </c>
      <c r="Q163">
        <v>153.9</v>
      </c>
      <c r="R163">
        <v>135.1</v>
      </c>
      <c r="S163">
        <v>140.1</v>
      </c>
      <c r="T163">
        <v>143.80000000000001</v>
      </c>
      <c r="U163">
        <v>126.1</v>
      </c>
      <c r="V163">
        <v>137.19999999999999</v>
      </c>
      <c r="W163">
        <v>152.1</v>
      </c>
      <c r="X163">
        <v>142.1</v>
      </c>
      <c r="Y163">
        <v>138.4</v>
      </c>
      <c r="Z163">
        <v>148.19999999999999</v>
      </c>
      <c r="AA163" s="1">
        <f>SUM(Table15[[#This Row],[Cereals and products]:[Food and beverages]])/13</f>
        <v>149.64615384615382</v>
      </c>
      <c r="AB163" s="1">
        <f>SUM(Table15[[#This Row],[Fuel and light]])</f>
        <v>135.1</v>
      </c>
      <c r="AC163" s="1">
        <f>SUM(Table15[[#This Row],[Transport and communication]])</f>
        <v>126.1</v>
      </c>
      <c r="AD163" s="1">
        <f>SUM(Table15[[#This Row],[Housing]],Table15[[#This Row],[Household goods and services]])/2</f>
        <v>147</v>
      </c>
      <c r="AE163" s="1">
        <f>SUM(Table15[[#This Row],[Health]])</f>
        <v>143.80000000000001</v>
      </c>
      <c r="AF163" s="1">
        <f>SUM(Table15[[#This Row],[Recreation and amusement]],Table15[[#This Row],[Education]])/2</f>
        <v>144.64999999999998</v>
      </c>
      <c r="AG163" s="1">
        <f>SUM(Table15[[#This Row],[Miscellaneous]],Table15[[#This Row],[Personal care and effects]])/2</f>
        <v>140.25</v>
      </c>
    </row>
    <row r="164" spans="1:33" x14ac:dyDescent="0.3">
      <c r="A164" t="s">
        <v>33</v>
      </c>
      <c r="B164">
        <v>2020</v>
      </c>
      <c r="C164" t="s">
        <v>42</v>
      </c>
      <c r="D164">
        <v>148.19999999999999</v>
      </c>
      <c r="E164">
        <v>190.3</v>
      </c>
      <c r="F164">
        <v>149.4</v>
      </c>
      <c r="G164">
        <v>153.30000000000001</v>
      </c>
      <c r="H164">
        <v>138.19999999999999</v>
      </c>
      <c r="I164">
        <v>143.19999999999999</v>
      </c>
      <c r="J164">
        <v>148.9</v>
      </c>
      <c r="K164">
        <v>150.30000000000001</v>
      </c>
      <c r="L164">
        <v>113.2</v>
      </c>
      <c r="M164">
        <v>159.80000000000001</v>
      </c>
      <c r="N164">
        <v>142.1</v>
      </c>
      <c r="O164">
        <v>161.80000000000001</v>
      </c>
      <c r="P164">
        <v>152.30000000000001</v>
      </c>
      <c r="Q164">
        <f>AVERAGE(Q165:Q166)</f>
        <v>154.69999999999999</v>
      </c>
      <c r="R164">
        <v>144.9</v>
      </c>
      <c r="S164">
        <v>151.69999999999999</v>
      </c>
      <c r="T164">
        <v>158.19999999999999</v>
      </c>
      <c r="U164">
        <v>141.4</v>
      </c>
      <c r="V164">
        <v>153.19999999999999</v>
      </c>
      <c r="W164">
        <v>161.80000000000001</v>
      </c>
      <c r="X164">
        <v>151.19999999999999</v>
      </c>
      <c r="Y164">
        <v>151.69999999999999</v>
      </c>
      <c r="Z164">
        <v>152.69999999999999</v>
      </c>
      <c r="AA164" s="1">
        <f>SUM(Table15[[#This Row],[Cereals and products]:[Food and beverages]])/13</f>
        <v>150.07692307692307</v>
      </c>
      <c r="AB164" s="1">
        <f>SUM(Table15[[#This Row],[Fuel and light]])</f>
        <v>144.9</v>
      </c>
      <c r="AC164" s="1">
        <f>SUM(Table15[[#This Row],[Transport and communication]])</f>
        <v>141.4</v>
      </c>
      <c r="AD164" s="1">
        <f>SUM(Table15[[#This Row],[Housing]],Table15[[#This Row],[Household goods and services]])/2</f>
        <v>153.19999999999999</v>
      </c>
      <c r="AE164" s="1">
        <f>SUM(Table15[[#This Row],[Health]])</f>
        <v>158.19999999999999</v>
      </c>
      <c r="AF164" s="1">
        <f>SUM(Table15[[#This Row],[Recreation and amusement]],Table15[[#This Row],[Education]])/2</f>
        <v>157.5</v>
      </c>
      <c r="AG164" s="1">
        <f>SUM(Table15[[#This Row],[Miscellaneous]],Table15[[#This Row],[Personal care and effects]])/2</f>
        <v>151.44999999999999</v>
      </c>
    </row>
    <row r="165" spans="1:33" x14ac:dyDescent="0.3">
      <c r="A165" t="s">
        <v>35</v>
      </c>
      <c r="B165">
        <v>2020</v>
      </c>
      <c r="C165" t="s">
        <v>42</v>
      </c>
      <c r="D165">
        <v>149.6</v>
      </c>
      <c r="E165">
        <v>192.7</v>
      </c>
      <c r="F165">
        <v>151.4</v>
      </c>
      <c r="G165">
        <v>153.30000000000001</v>
      </c>
      <c r="H165">
        <v>136.30000000000001</v>
      </c>
      <c r="I165">
        <v>147.19999999999999</v>
      </c>
      <c r="J165">
        <v>156.5</v>
      </c>
      <c r="K165">
        <v>150.9</v>
      </c>
      <c r="L165">
        <v>114.2</v>
      </c>
      <c r="M165">
        <v>159.5</v>
      </c>
      <c r="N165">
        <v>139.4</v>
      </c>
      <c r="O165">
        <v>161.80000000000001</v>
      </c>
      <c r="P165">
        <v>154</v>
      </c>
      <c r="Q165">
        <v>154.69999999999999</v>
      </c>
      <c r="R165">
        <v>141.9</v>
      </c>
      <c r="S165">
        <v>146.4</v>
      </c>
      <c r="T165">
        <v>154.4</v>
      </c>
      <c r="U165">
        <v>135</v>
      </c>
      <c r="V165">
        <v>148.30000000000001</v>
      </c>
      <c r="W165">
        <v>156.4</v>
      </c>
      <c r="X165">
        <v>151.6</v>
      </c>
      <c r="Y165">
        <v>147</v>
      </c>
      <c r="Z165">
        <v>151.80000000000001</v>
      </c>
      <c r="AA165" s="1">
        <f>SUM(Table15[[#This Row],[Cereals and products]:[Food and beverages]])/13</f>
        <v>151.2923076923077</v>
      </c>
      <c r="AB165" s="1">
        <f>SUM(Table15[[#This Row],[Fuel and light]])</f>
        <v>141.9</v>
      </c>
      <c r="AC165" s="1">
        <f>SUM(Table15[[#This Row],[Transport and communication]])</f>
        <v>135</v>
      </c>
      <c r="AD165" s="1">
        <f>SUM(Table15[[#This Row],[Housing]],Table15[[#This Row],[Household goods and services]])/2</f>
        <v>150.55000000000001</v>
      </c>
      <c r="AE165" s="1">
        <f>SUM(Table15[[#This Row],[Health]])</f>
        <v>154.4</v>
      </c>
      <c r="AF165" s="1">
        <f>SUM(Table15[[#This Row],[Recreation and amusement]],Table15[[#This Row],[Education]])/2</f>
        <v>152.35000000000002</v>
      </c>
      <c r="AG165" s="1">
        <f>SUM(Table15[[#This Row],[Miscellaneous]],Table15[[#This Row],[Personal care and effects]])/2</f>
        <v>149.30000000000001</v>
      </c>
    </row>
    <row r="166" spans="1:33" x14ac:dyDescent="0.3">
      <c r="A166" t="s">
        <v>36</v>
      </c>
      <c r="B166">
        <v>2020</v>
      </c>
      <c r="C166" t="s">
        <v>42</v>
      </c>
      <c r="D166">
        <v>152.69999999999999</v>
      </c>
      <c r="E166">
        <v>197</v>
      </c>
      <c r="F166">
        <v>154.6</v>
      </c>
      <c r="G166">
        <v>153.4</v>
      </c>
      <c r="H166">
        <v>132.9</v>
      </c>
      <c r="I166">
        <v>151.80000000000001</v>
      </c>
      <c r="J166">
        <v>171.2</v>
      </c>
      <c r="K166">
        <v>152</v>
      </c>
      <c r="L166">
        <v>116.3</v>
      </c>
      <c r="M166">
        <v>158.80000000000001</v>
      </c>
      <c r="N166">
        <v>135.6</v>
      </c>
      <c r="O166">
        <v>161.69999999999999</v>
      </c>
      <c r="P166">
        <v>157</v>
      </c>
      <c r="Q166">
        <v>154.69999999999999</v>
      </c>
      <c r="R166">
        <v>137.1</v>
      </c>
      <c r="S166">
        <v>140.4</v>
      </c>
      <c r="T166">
        <v>148.1</v>
      </c>
      <c r="U166">
        <v>129.30000000000001</v>
      </c>
      <c r="V166">
        <v>144.5</v>
      </c>
      <c r="W166">
        <v>152.5</v>
      </c>
      <c r="X166">
        <v>152.19999999999999</v>
      </c>
      <c r="Y166">
        <v>142</v>
      </c>
      <c r="Z166">
        <v>150.80000000000001</v>
      </c>
      <c r="AA166" s="1">
        <f>SUM(Table15[[#This Row],[Cereals and products]:[Food and beverages]])/13</f>
        <v>153.46153846153845</v>
      </c>
      <c r="AB166" s="1">
        <f>SUM(Table15[[#This Row],[Fuel and light]])</f>
        <v>137.1</v>
      </c>
      <c r="AC166" s="1">
        <f>SUM(Table15[[#This Row],[Transport and communication]])</f>
        <v>129.30000000000001</v>
      </c>
      <c r="AD166" s="1">
        <f>SUM(Table15[[#This Row],[Housing]],Table15[[#This Row],[Household goods and services]])/2</f>
        <v>147.55000000000001</v>
      </c>
      <c r="AE166" s="1">
        <f>SUM(Table15[[#This Row],[Health]])</f>
        <v>148.1</v>
      </c>
      <c r="AF166" s="1">
        <f>SUM(Table15[[#This Row],[Recreation and amusement]],Table15[[#This Row],[Education]])/2</f>
        <v>148.5</v>
      </c>
      <c r="AG166" s="1">
        <f>SUM(Table15[[#This Row],[Miscellaneous]],Table15[[#This Row],[Personal care and effects]])/2</f>
        <v>147.1</v>
      </c>
    </row>
    <row r="167" spans="1:33" x14ac:dyDescent="0.3">
      <c r="A167" t="s">
        <v>33</v>
      </c>
      <c r="B167">
        <v>2020</v>
      </c>
      <c r="C167" t="s">
        <v>43</v>
      </c>
      <c r="D167">
        <v>148.19999999999999</v>
      </c>
      <c r="E167">
        <v>190.3</v>
      </c>
      <c r="F167">
        <v>149.4</v>
      </c>
      <c r="G167">
        <v>153.30000000000001</v>
      </c>
      <c r="H167">
        <v>138.19999999999999</v>
      </c>
      <c r="I167">
        <v>143.19999999999999</v>
      </c>
      <c r="J167">
        <v>148.9</v>
      </c>
      <c r="K167">
        <v>150.30000000000001</v>
      </c>
      <c r="L167">
        <v>113.2</v>
      </c>
      <c r="M167">
        <v>159.80000000000001</v>
      </c>
      <c r="N167">
        <v>142.1</v>
      </c>
      <c r="O167">
        <v>161.80000000000001</v>
      </c>
      <c r="P167">
        <v>152.30000000000001</v>
      </c>
      <c r="Q167">
        <f>AVERAGE(Q168:Q169)</f>
        <v>154.69999999999999</v>
      </c>
      <c r="R167">
        <v>144.9</v>
      </c>
      <c r="S167">
        <v>151.69999999999999</v>
      </c>
      <c r="T167">
        <v>158.19999999999999</v>
      </c>
      <c r="U167">
        <v>141.4</v>
      </c>
      <c r="V167">
        <v>153.19999999999999</v>
      </c>
      <c r="W167">
        <v>161.80000000000001</v>
      </c>
      <c r="X167">
        <v>151.19999999999999</v>
      </c>
      <c r="Y167">
        <v>151.69999999999999</v>
      </c>
      <c r="Z167">
        <v>152.69999999999999</v>
      </c>
      <c r="AA167" s="1">
        <f>SUM(Table15[[#This Row],[Cereals and products]:[Food and beverages]])/13</f>
        <v>150.07692307692307</v>
      </c>
      <c r="AB167" s="1">
        <f>SUM(Table15[[#This Row],[Fuel and light]])</f>
        <v>144.9</v>
      </c>
      <c r="AC167" s="1">
        <f>SUM(Table15[[#This Row],[Transport and communication]])</f>
        <v>141.4</v>
      </c>
      <c r="AD167" s="1">
        <f>SUM(Table15[[#This Row],[Housing]],Table15[[#This Row],[Household goods and services]])/2</f>
        <v>153.19999999999999</v>
      </c>
      <c r="AE167" s="1">
        <f>SUM(Table15[[#This Row],[Health]])</f>
        <v>158.19999999999999</v>
      </c>
      <c r="AF167" s="1">
        <f>SUM(Table15[[#This Row],[Recreation and amusement]],Table15[[#This Row],[Education]])/2</f>
        <v>157.5</v>
      </c>
      <c r="AG167" s="1">
        <f>SUM(Table15[[#This Row],[Miscellaneous]],Table15[[#This Row],[Personal care and effects]])/2</f>
        <v>151.44999999999999</v>
      </c>
    </row>
    <row r="168" spans="1:33" x14ac:dyDescent="0.3">
      <c r="A168" t="s">
        <v>35</v>
      </c>
      <c r="B168">
        <v>2020</v>
      </c>
      <c r="C168" t="s">
        <v>43</v>
      </c>
      <c r="D168">
        <v>149.6</v>
      </c>
      <c r="E168">
        <v>192.7</v>
      </c>
      <c r="F168">
        <v>151.4</v>
      </c>
      <c r="G168">
        <v>153.30000000000001</v>
      </c>
      <c r="H168">
        <v>136.30000000000001</v>
      </c>
      <c r="I168">
        <v>147.19999999999999</v>
      </c>
      <c r="J168">
        <v>156.5</v>
      </c>
      <c r="K168">
        <v>150.9</v>
      </c>
      <c r="L168">
        <v>114.2</v>
      </c>
      <c r="M168">
        <v>159.5</v>
      </c>
      <c r="N168">
        <v>139.4</v>
      </c>
      <c r="O168">
        <v>161.80000000000001</v>
      </c>
      <c r="P168">
        <v>154</v>
      </c>
      <c r="Q168">
        <v>154.69999999999999</v>
      </c>
      <c r="R168">
        <v>141.9</v>
      </c>
      <c r="S168">
        <v>146.4</v>
      </c>
      <c r="T168">
        <v>154.4</v>
      </c>
      <c r="U168">
        <v>135</v>
      </c>
      <c r="V168">
        <v>148.30000000000001</v>
      </c>
      <c r="W168">
        <v>156.4</v>
      </c>
      <c r="X168">
        <v>151.6</v>
      </c>
      <c r="Y168">
        <v>147</v>
      </c>
      <c r="Z168">
        <v>151.80000000000001</v>
      </c>
      <c r="AA168" s="1">
        <f>SUM(Table15[[#This Row],[Cereals and products]:[Food and beverages]])/13</f>
        <v>151.2923076923077</v>
      </c>
      <c r="AB168" s="1">
        <f>SUM(Table15[[#This Row],[Fuel and light]])</f>
        <v>141.9</v>
      </c>
      <c r="AC168" s="1">
        <f>SUM(Table15[[#This Row],[Transport and communication]])</f>
        <v>135</v>
      </c>
      <c r="AD168" s="1">
        <f>SUM(Table15[[#This Row],[Housing]],Table15[[#This Row],[Household goods and services]])/2</f>
        <v>150.55000000000001</v>
      </c>
      <c r="AE168" s="1">
        <f>SUM(Table15[[#This Row],[Health]])</f>
        <v>154.4</v>
      </c>
      <c r="AF168" s="1">
        <f>SUM(Table15[[#This Row],[Recreation and amusement]],Table15[[#This Row],[Education]])/2</f>
        <v>152.35000000000002</v>
      </c>
      <c r="AG168" s="1">
        <f>SUM(Table15[[#This Row],[Miscellaneous]],Table15[[#This Row],[Personal care and effects]])/2</f>
        <v>149.30000000000001</v>
      </c>
    </row>
    <row r="169" spans="1:33" x14ac:dyDescent="0.3">
      <c r="A169" t="s">
        <v>36</v>
      </c>
      <c r="B169">
        <v>2020</v>
      </c>
      <c r="C169" t="s">
        <v>43</v>
      </c>
      <c r="D169">
        <v>152.69999999999999</v>
      </c>
      <c r="E169">
        <v>197</v>
      </c>
      <c r="F169">
        <v>154.6</v>
      </c>
      <c r="G169">
        <v>153.4</v>
      </c>
      <c r="H169">
        <v>132.9</v>
      </c>
      <c r="I169">
        <v>151.80000000000001</v>
      </c>
      <c r="J169">
        <v>171.2</v>
      </c>
      <c r="K169">
        <v>152</v>
      </c>
      <c r="L169">
        <v>116.3</v>
      </c>
      <c r="M169">
        <v>158.80000000000001</v>
      </c>
      <c r="N169">
        <v>135.6</v>
      </c>
      <c r="O169">
        <v>161.69999999999999</v>
      </c>
      <c r="P169">
        <v>157</v>
      </c>
      <c r="Q169">
        <v>154.69999999999999</v>
      </c>
      <c r="R169">
        <v>137.1</v>
      </c>
      <c r="S169">
        <v>140.4</v>
      </c>
      <c r="T169">
        <v>148.1</v>
      </c>
      <c r="U169">
        <v>129.30000000000001</v>
      </c>
      <c r="V169">
        <v>144.5</v>
      </c>
      <c r="W169">
        <v>152.5</v>
      </c>
      <c r="X169">
        <v>152.19999999999999</v>
      </c>
      <c r="Y169">
        <v>142</v>
      </c>
      <c r="Z169">
        <v>150.80000000000001</v>
      </c>
      <c r="AA169" s="1">
        <f>SUM(Table15[[#This Row],[Cereals and products]:[Food and beverages]])/13</f>
        <v>153.46153846153845</v>
      </c>
      <c r="AB169" s="1">
        <f>SUM(Table15[[#This Row],[Fuel and light]])</f>
        <v>137.1</v>
      </c>
      <c r="AC169" s="1">
        <f>SUM(Table15[[#This Row],[Transport and communication]])</f>
        <v>129.30000000000001</v>
      </c>
      <c r="AD169" s="1">
        <f>SUM(Table15[[#This Row],[Housing]],Table15[[#This Row],[Household goods and services]])/2</f>
        <v>147.55000000000001</v>
      </c>
      <c r="AE169" s="1">
        <f>SUM(Table15[[#This Row],[Health]])</f>
        <v>148.1</v>
      </c>
      <c r="AF169" s="1">
        <f>SUM(Table15[[#This Row],[Recreation and amusement]],Table15[[#This Row],[Education]])/2</f>
        <v>148.5</v>
      </c>
      <c r="AG169" s="1">
        <f>SUM(Table15[[#This Row],[Miscellaneous]],Table15[[#This Row],[Personal care and effects]])/2</f>
        <v>147.1</v>
      </c>
    </row>
    <row r="170" spans="1:33" x14ac:dyDescent="0.3">
      <c r="A170" t="s">
        <v>36</v>
      </c>
      <c r="B170">
        <v>2018</v>
      </c>
      <c r="C170" t="s">
        <v>43</v>
      </c>
      <c r="D170">
        <v>135.30000000000001</v>
      </c>
      <c r="E170">
        <v>149.69999999999999</v>
      </c>
      <c r="F170">
        <v>133.9</v>
      </c>
      <c r="G170">
        <v>140.80000000000001</v>
      </c>
      <c r="H170">
        <v>116.6</v>
      </c>
      <c r="I170">
        <v>152.19999999999999</v>
      </c>
      <c r="J170">
        <v>144</v>
      </c>
      <c r="K170">
        <v>112.3</v>
      </c>
      <c r="L170">
        <v>108.4</v>
      </c>
      <c r="M170">
        <v>140</v>
      </c>
      <c r="N170">
        <v>126.7</v>
      </c>
      <c r="O170">
        <v>149</v>
      </c>
      <c r="P170">
        <v>138.4</v>
      </c>
      <c r="Q170">
        <v>142.5</v>
      </c>
      <c r="R170">
        <v>126.5</v>
      </c>
      <c r="S170">
        <v>133.1</v>
      </c>
      <c r="T170">
        <v>132.6</v>
      </c>
      <c r="U170">
        <v>120.4</v>
      </c>
      <c r="V170">
        <v>128.5</v>
      </c>
      <c r="W170">
        <v>141.19999999999999</v>
      </c>
      <c r="X170">
        <v>128.19999999999999</v>
      </c>
      <c r="Y170">
        <v>129.5</v>
      </c>
      <c r="Z170">
        <v>136.19999999999999</v>
      </c>
      <c r="AA170" s="1">
        <f>SUM(Table15[[#This Row],[Cereals and products]:[Food and beverages]])/13</f>
        <v>134.40769230769232</v>
      </c>
      <c r="AB170" s="1">
        <f>SUM(Table15[[#This Row],[Fuel and light]])</f>
        <v>126.5</v>
      </c>
      <c r="AC170" s="1">
        <f>SUM(Table15[[#This Row],[Transport and communication]])</f>
        <v>120.4</v>
      </c>
      <c r="AD170" s="1">
        <f>SUM(Table15[[#This Row],[Housing]],Table15[[#This Row],[Household goods and services]])/2</f>
        <v>137.80000000000001</v>
      </c>
      <c r="AE170" s="1">
        <f>SUM(Table15[[#This Row],[Health]])</f>
        <v>132.6</v>
      </c>
      <c r="AF170" s="1">
        <f>SUM(Table15[[#This Row],[Recreation and amusement]],Table15[[#This Row],[Education]])/2</f>
        <v>134.85</v>
      </c>
      <c r="AG170" s="1">
        <f>SUM(Table15[[#This Row],[Miscellaneous]],Table15[[#This Row],[Personal care and effects]])/2</f>
        <v>128.85</v>
      </c>
    </row>
    <row r="171" spans="1:33" x14ac:dyDescent="0.3">
      <c r="A171" t="s">
        <v>35</v>
      </c>
      <c r="B171">
        <v>2018</v>
      </c>
      <c r="C171" t="s">
        <v>43</v>
      </c>
      <c r="D171">
        <v>136.9</v>
      </c>
      <c r="E171">
        <v>148.69999999999999</v>
      </c>
      <c r="F171">
        <v>135.6</v>
      </c>
      <c r="G171">
        <v>142.30000000000001</v>
      </c>
      <c r="H171">
        <v>121.3</v>
      </c>
      <c r="I171">
        <v>153.19999999999999</v>
      </c>
      <c r="J171">
        <v>143.69999999999999</v>
      </c>
      <c r="K171">
        <v>121.4</v>
      </c>
      <c r="L171">
        <v>111.1</v>
      </c>
      <c r="M171">
        <v>138.4</v>
      </c>
      <c r="N171">
        <v>130.30000000000001</v>
      </c>
      <c r="O171">
        <v>151.80000000000001</v>
      </c>
      <c r="P171">
        <v>139.4</v>
      </c>
      <c r="Q171">
        <v>142.5</v>
      </c>
      <c r="R171">
        <v>138.1</v>
      </c>
      <c r="S171">
        <v>137.9</v>
      </c>
      <c r="T171">
        <v>136.19999999999999</v>
      </c>
      <c r="U171">
        <v>123.7</v>
      </c>
      <c r="V171">
        <v>132.6</v>
      </c>
      <c r="W171">
        <v>142.80000000000001</v>
      </c>
      <c r="X171">
        <v>130.1</v>
      </c>
      <c r="Y171">
        <v>132.6</v>
      </c>
      <c r="Z171">
        <v>138.5</v>
      </c>
      <c r="AA171" s="1">
        <f>SUM(Table15[[#This Row],[Cereals and products]:[Food and beverages]])/13</f>
        <v>136.46923076923079</v>
      </c>
      <c r="AB171" s="1">
        <f>SUM(Table15[[#This Row],[Fuel and light]])</f>
        <v>138.1</v>
      </c>
      <c r="AC171" s="1">
        <f>SUM(Table15[[#This Row],[Transport and communication]])</f>
        <v>123.7</v>
      </c>
      <c r="AD171" s="1">
        <f>SUM(Table15[[#This Row],[Housing]],Table15[[#This Row],[Household goods and services]])/2</f>
        <v>140.19999999999999</v>
      </c>
      <c r="AE171" s="1">
        <f>SUM(Table15[[#This Row],[Health]])</f>
        <v>136.19999999999999</v>
      </c>
      <c r="AF171" s="1">
        <f>SUM(Table15[[#This Row],[Recreation and amusement]],Table15[[#This Row],[Education]])/2</f>
        <v>137.69999999999999</v>
      </c>
      <c r="AG171" s="1">
        <f>SUM(Table15[[#This Row],[Miscellaneous]],Table15[[#This Row],[Personal care and effects]])/2</f>
        <v>131.35</v>
      </c>
    </row>
    <row r="172" spans="1:33" x14ac:dyDescent="0.3">
      <c r="A172" t="s">
        <v>33</v>
      </c>
      <c r="B172">
        <v>2018</v>
      </c>
      <c r="C172" t="s">
        <v>43</v>
      </c>
      <c r="D172">
        <v>137.6</v>
      </c>
      <c r="E172">
        <v>148.1</v>
      </c>
      <c r="F172">
        <v>136.69999999999999</v>
      </c>
      <c r="G172">
        <v>143.19999999999999</v>
      </c>
      <c r="H172">
        <v>124</v>
      </c>
      <c r="I172">
        <v>154.1</v>
      </c>
      <c r="J172">
        <v>143.5</v>
      </c>
      <c r="K172">
        <v>126</v>
      </c>
      <c r="L172">
        <v>112.4</v>
      </c>
      <c r="M172">
        <v>137.6</v>
      </c>
      <c r="N172">
        <v>132.80000000000001</v>
      </c>
      <c r="O172">
        <v>154.30000000000001</v>
      </c>
      <c r="P172">
        <v>140</v>
      </c>
      <c r="Q172">
        <f>AVERAGE(Q170:Q171)</f>
        <v>142.5</v>
      </c>
      <c r="R172">
        <v>145.1</v>
      </c>
      <c r="S172">
        <v>142.19999999999999</v>
      </c>
      <c r="T172">
        <v>138.4</v>
      </c>
      <c r="U172">
        <v>127.4</v>
      </c>
      <c r="V172">
        <v>137.80000000000001</v>
      </c>
      <c r="W172">
        <v>145.1</v>
      </c>
      <c r="X172">
        <v>131.4</v>
      </c>
      <c r="Y172">
        <v>135.6</v>
      </c>
      <c r="Z172">
        <v>140.5</v>
      </c>
      <c r="AA172" s="1">
        <f>SUM(Table15[[#This Row],[Cereals and products]:[Food and beverages]])/13</f>
        <v>137.71538461538461</v>
      </c>
      <c r="AB172" s="1">
        <f>SUM(Table15[[#This Row],[Fuel and light]])</f>
        <v>145.1</v>
      </c>
      <c r="AC172" s="1">
        <f>SUM(Table15[[#This Row],[Transport and communication]])</f>
        <v>127.4</v>
      </c>
      <c r="AD172" s="1">
        <f>SUM(Table15[[#This Row],[Housing]],Table15[[#This Row],[Household goods and services]])/2</f>
        <v>142.35</v>
      </c>
      <c r="AE172" s="1">
        <f>SUM(Table15[[#This Row],[Health]])</f>
        <v>138.4</v>
      </c>
      <c r="AF172" s="1">
        <f>SUM(Table15[[#This Row],[Recreation and amusement]],Table15[[#This Row],[Education]])/2</f>
        <v>141.44999999999999</v>
      </c>
      <c r="AG172" s="1">
        <f>SUM(Table15[[#This Row],[Miscellaneous]],Table15[[#This Row],[Personal care and effects]])/2</f>
        <v>133.5</v>
      </c>
    </row>
    <row r="173" spans="1:33" x14ac:dyDescent="0.3">
      <c r="A173" t="s">
        <v>36</v>
      </c>
      <c r="B173">
        <v>2017</v>
      </c>
      <c r="C173" t="s">
        <v>43</v>
      </c>
      <c r="D173">
        <v>132.9</v>
      </c>
      <c r="E173">
        <v>148.69999999999999</v>
      </c>
      <c r="F173">
        <v>128.30000000000001</v>
      </c>
      <c r="G173">
        <v>137.30000000000001</v>
      </c>
      <c r="H173">
        <v>113.5</v>
      </c>
      <c r="I173">
        <v>137.19999999999999</v>
      </c>
      <c r="J173">
        <v>142.19999999999999</v>
      </c>
      <c r="K173">
        <v>128.19999999999999</v>
      </c>
      <c r="L173">
        <v>120.9</v>
      </c>
      <c r="M173">
        <v>138.80000000000001</v>
      </c>
      <c r="N173">
        <v>124.2</v>
      </c>
      <c r="O173">
        <v>143.1</v>
      </c>
      <c r="P173">
        <v>135.69999999999999</v>
      </c>
      <c r="Q173">
        <v>131.4</v>
      </c>
      <c r="R173">
        <v>119</v>
      </c>
      <c r="S173">
        <v>126.8</v>
      </c>
      <c r="T173">
        <v>123.8</v>
      </c>
      <c r="U173">
        <v>113.9</v>
      </c>
      <c r="V173">
        <v>122.9</v>
      </c>
      <c r="W173">
        <v>134.30000000000001</v>
      </c>
      <c r="X173">
        <v>122.5</v>
      </c>
      <c r="Y173">
        <v>122.7</v>
      </c>
      <c r="Z173">
        <v>129.9</v>
      </c>
      <c r="AA173" s="1">
        <f>SUM(Table15[[#This Row],[Cereals and products]:[Food and beverages]])/13</f>
        <v>133.15384615384616</v>
      </c>
      <c r="AB173" s="1">
        <f>SUM(Table15[[#This Row],[Fuel and light]])</f>
        <v>119</v>
      </c>
      <c r="AC173" s="1">
        <f>SUM(Table15[[#This Row],[Transport and communication]])</f>
        <v>113.9</v>
      </c>
      <c r="AD173" s="1">
        <f>SUM(Table15[[#This Row],[Housing]],Table15[[#This Row],[Household goods and services]])/2</f>
        <v>129.1</v>
      </c>
      <c r="AE173" s="1">
        <f>SUM(Table15[[#This Row],[Health]])</f>
        <v>123.8</v>
      </c>
      <c r="AF173" s="1">
        <f>SUM(Table15[[#This Row],[Recreation and amusement]],Table15[[#This Row],[Education]])/2</f>
        <v>128.60000000000002</v>
      </c>
      <c r="AG173" s="1">
        <f>SUM(Table15[[#This Row],[Miscellaneous]],Table15[[#This Row],[Personal care and effects]])/2</f>
        <v>122.6</v>
      </c>
    </row>
    <row r="174" spans="1:33" x14ac:dyDescent="0.3">
      <c r="A174" t="s">
        <v>35</v>
      </c>
      <c r="B174">
        <v>2017</v>
      </c>
      <c r="C174" t="s">
        <v>43</v>
      </c>
      <c r="D174">
        <v>133.30000000000001</v>
      </c>
      <c r="E174">
        <v>145.5</v>
      </c>
      <c r="F174">
        <v>128.1</v>
      </c>
      <c r="G174">
        <v>138.1</v>
      </c>
      <c r="H174">
        <v>118.2</v>
      </c>
      <c r="I174">
        <v>139.19999999999999</v>
      </c>
      <c r="J174">
        <v>133.30000000000001</v>
      </c>
      <c r="K174">
        <v>136.19999999999999</v>
      </c>
      <c r="L174">
        <v>119.6</v>
      </c>
      <c r="M174">
        <v>135.30000000000001</v>
      </c>
      <c r="N174">
        <v>127.8</v>
      </c>
      <c r="O174">
        <v>144.9</v>
      </c>
      <c r="P174">
        <v>135.19999999999999</v>
      </c>
      <c r="Q174">
        <v>131.4</v>
      </c>
      <c r="R174">
        <v>128.80000000000001</v>
      </c>
      <c r="S174">
        <v>131.19999999999999</v>
      </c>
      <c r="T174">
        <v>128.5</v>
      </c>
      <c r="U174">
        <v>116.5</v>
      </c>
      <c r="V174">
        <v>125.9</v>
      </c>
      <c r="W174">
        <v>135.4</v>
      </c>
      <c r="X174">
        <v>123.4</v>
      </c>
      <c r="Y174">
        <v>125.5</v>
      </c>
      <c r="Z174">
        <v>132</v>
      </c>
      <c r="AA174" s="1">
        <f>SUM(Table15[[#This Row],[Cereals and products]:[Food and beverages]])/13</f>
        <v>133.43846153846155</v>
      </c>
      <c r="AB174" s="1">
        <f>SUM(Table15[[#This Row],[Fuel and light]])</f>
        <v>128.80000000000001</v>
      </c>
      <c r="AC174" s="1">
        <f>SUM(Table15[[#This Row],[Transport and communication]])</f>
        <v>116.5</v>
      </c>
      <c r="AD174" s="1">
        <f>SUM(Table15[[#This Row],[Housing]],Table15[[#This Row],[Household goods and services]])/2</f>
        <v>131.30000000000001</v>
      </c>
      <c r="AE174" s="1">
        <f>SUM(Table15[[#This Row],[Health]])</f>
        <v>128.5</v>
      </c>
      <c r="AF174" s="1">
        <f>SUM(Table15[[#This Row],[Recreation and amusement]],Table15[[#This Row],[Education]])/2</f>
        <v>130.65</v>
      </c>
      <c r="AG174" s="1">
        <f>SUM(Table15[[#This Row],[Miscellaneous]],Table15[[#This Row],[Personal care and effects]])/2</f>
        <v>124.45</v>
      </c>
    </row>
    <row r="175" spans="1:33" x14ac:dyDescent="0.3">
      <c r="A175" t="s">
        <v>33</v>
      </c>
      <c r="B175">
        <v>2017</v>
      </c>
      <c r="C175" t="s">
        <v>43</v>
      </c>
      <c r="D175">
        <v>133.5</v>
      </c>
      <c r="E175">
        <v>143.69999999999999</v>
      </c>
      <c r="F175">
        <v>128</v>
      </c>
      <c r="G175">
        <v>138.6</v>
      </c>
      <c r="H175">
        <v>120.9</v>
      </c>
      <c r="I175">
        <v>140.9</v>
      </c>
      <c r="J175">
        <v>128.80000000000001</v>
      </c>
      <c r="K175">
        <v>140.19999999999999</v>
      </c>
      <c r="L175">
        <v>118.9</v>
      </c>
      <c r="M175">
        <v>133.5</v>
      </c>
      <c r="N175">
        <v>130.4</v>
      </c>
      <c r="O175">
        <v>146.5</v>
      </c>
      <c r="P175">
        <v>134.9</v>
      </c>
      <c r="Q175">
        <f>AVERAGE(Q173:Q174)</f>
        <v>131.4</v>
      </c>
      <c r="R175">
        <v>134.80000000000001</v>
      </c>
      <c r="S175">
        <v>135.19999999999999</v>
      </c>
      <c r="T175">
        <v>131.30000000000001</v>
      </c>
      <c r="U175">
        <v>119.4</v>
      </c>
      <c r="V175">
        <v>129.80000000000001</v>
      </c>
      <c r="W175">
        <v>136.9</v>
      </c>
      <c r="X175">
        <v>124.1</v>
      </c>
      <c r="Y175">
        <v>128.1</v>
      </c>
      <c r="Z175">
        <v>133.9</v>
      </c>
      <c r="AA175" s="1">
        <f>SUM(Table15[[#This Row],[Cereals and products]:[Food and beverages]])/13</f>
        <v>133.75384615384615</v>
      </c>
      <c r="AB175" s="1">
        <f>SUM(Table15[[#This Row],[Fuel and light]])</f>
        <v>134.80000000000001</v>
      </c>
      <c r="AC175" s="1">
        <f>SUM(Table15[[#This Row],[Transport and communication]])</f>
        <v>119.4</v>
      </c>
      <c r="AD175" s="1">
        <f>SUM(Table15[[#This Row],[Housing]],Table15[[#This Row],[Household goods and services]])/2</f>
        <v>133.30000000000001</v>
      </c>
      <c r="AE175" s="1">
        <f>SUM(Table15[[#This Row],[Health]])</f>
        <v>131.30000000000001</v>
      </c>
      <c r="AF175" s="1">
        <f>SUM(Table15[[#This Row],[Recreation and amusement]],Table15[[#This Row],[Education]])/2</f>
        <v>133.35000000000002</v>
      </c>
      <c r="AG175" s="1">
        <f>SUM(Table15[[#This Row],[Miscellaneous]],Table15[[#This Row],[Personal care and effects]])/2</f>
        <v>126.1</v>
      </c>
    </row>
    <row r="176" spans="1:33" x14ac:dyDescent="0.3">
      <c r="A176" t="s">
        <v>36</v>
      </c>
      <c r="B176">
        <v>2016</v>
      </c>
      <c r="C176" t="s">
        <v>43</v>
      </c>
      <c r="D176">
        <v>125.9</v>
      </c>
      <c r="E176">
        <v>143.9</v>
      </c>
      <c r="F176">
        <v>130.9</v>
      </c>
      <c r="G176">
        <v>131</v>
      </c>
      <c r="H176">
        <v>110.2</v>
      </c>
      <c r="I176">
        <v>135.5</v>
      </c>
      <c r="J176">
        <v>173.7</v>
      </c>
      <c r="K176">
        <v>184.4</v>
      </c>
      <c r="L176">
        <v>112</v>
      </c>
      <c r="M176">
        <v>142.80000000000001</v>
      </c>
      <c r="N176">
        <v>121.6</v>
      </c>
      <c r="O176">
        <v>136.9</v>
      </c>
      <c r="P176">
        <v>138.19999999999999</v>
      </c>
      <c r="Q176">
        <v>125.5</v>
      </c>
      <c r="R176">
        <v>115.5</v>
      </c>
      <c r="S176">
        <v>123.2</v>
      </c>
      <c r="T176">
        <v>120.6</v>
      </c>
      <c r="U176">
        <v>112.3</v>
      </c>
      <c r="V176">
        <v>119.9</v>
      </c>
      <c r="W176">
        <v>129.30000000000001</v>
      </c>
      <c r="X176">
        <v>118.8</v>
      </c>
      <c r="Y176">
        <v>119.6</v>
      </c>
      <c r="Z176">
        <v>128.1</v>
      </c>
      <c r="AA176" s="1">
        <f>SUM(Table15[[#This Row],[Cereals and products]:[Food and beverages]])/13</f>
        <v>137.46153846153848</v>
      </c>
      <c r="AB176" s="1">
        <f>SUM(Table15[[#This Row],[Fuel and light]])</f>
        <v>115.5</v>
      </c>
      <c r="AC176" s="1">
        <f>SUM(Table15[[#This Row],[Transport and communication]])</f>
        <v>112.3</v>
      </c>
      <c r="AD176" s="1">
        <f>SUM(Table15[[#This Row],[Housing]],Table15[[#This Row],[Household goods and services]])/2</f>
        <v>124.35</v>
      </c>
      <c r="AE176" s="1">
        <f>SUM(Table15[[#This Row],[Health]])</f>
        <v>120.6</v>
      </c>
      <c r="AF176" s="1">
        <f>SUM(Table15[[#This Row],[Recreation and amusement]],Table15[[#This Row],[Education]])/2</f>
        <v>124.60000000000001</v>
      </c>
      <c r="AG176" s="1">
        <f>SUM(Table15[[#This Row],[Miscellaneous]],Table15[[#This Row],[Personal care and effects]])/2</f>
        <v>119.19999999999999</v>
      </c>
    </row>
    <row r="177" spans="1:33" x14ac:dyDescent="0.3">
      <c r="A177" t="s">
        <v>35</v>
      </c>
      <c r="B177">
        <v>2016</v>
      </c>
      <c r="C177" t="s">
        <v>43</v>
      </c>
      <c r="D177">
        <v>127.7</v>
      </c>
      <c r="E177">
        <v>140.5</v>
      </c>
      <c r="F177">
        <v>128.30000000000001</v>
      </c>
      <c r="G177">
        <v>132.6</v>
      </c>
      <c r="H177">
        <v>115.5</v>
      </c>
      <c r="I177">
        <v>136.5</v>
      </c>
      <c r="J177">
        <v>159.69999999999999</v>
      </c>
      <c r="K177">
        <v>174.3</v>
      </c>
      <c r="L177">
        <v>109.9</v>
      </c>
      <c r="M177">
        <v>136.30000000000001</v>
      </c>
      <c r="N177">
        <v>124.4</v>
      </c>
      <c r="O177">
        <v>138.1</v>
      </c>
      <c r="P177">
        <v>136.80000000000001</v>
      </c>
      <c r="Q177">
        <v>125.5</v>
      </c>
      <c r="R177">
        <v>123.3</v>
      </c>
      <c r="S177">
        <v>126.4</v>
      </c>
      <c r="T177">
        <v>124.1</v>
      </c>
      <c r="U177">
        <v>114.2</v>
      </c>
      <c r="V177">
        <v>121.7</v>
      </c>
      <c r="W177">
        <v>129.69999999999999</v>
      </c>
      <c r="X177">
        <v>119.4</v>
      </c>
      <c r="Y177">
        <v>121.5</v>
      </c>
      <c r="Z177">
        <v>130.1</v>
      </c>
      <c r="AA177" s="1">
        <f>SUM(Table15[[#This Row],[Cereals and products]:[Food and beverages]])/13</f>
        <v>135.43076923076922</v>
      </c>
      <c r="AB177" s="1">
        <f>SUM(Table15[[#This Row],[Fuel and light]])</f>
        <v>123.3</v>
      </c>
      <c r="AC177" s="1">
        <f>SUM(Table15[[#This Row],[Transport and communication]])</f>
        <v>114.2</v>
      </c>
      <c r="AD177" s="1">
        <f>SUM(Table15[[#This Row],[Housing]],Table15[[#This Row],[Household goods and services]])/2</f>
        <v>125.95</v>
      </c>
      <c r="AE177" s="1">
        <f>SUM(Table15[[#This Row],[Health]])</f>
        <v>124.1</v>
      </c>
      <c r="AF177" s="1">
        <f>SUM(Table15[[#This Row],[Recreation and amusement]],Table15[[#This Row],[Education]])/2</f>
        <v>125.69999999999999</v>
      </c>
      <c r="AG177" s="1">
        <f>SUM(Table15[[#This Row],[Miscellaneous]],Table15[[#This Row],[Personal care and effects]])/2</f>
        <v>120.45</v>
      </c>
    </row>
    <row r="178" spans="1:33" x14ac:dyDescent="0.3">
      <c r="A178" t="s">
        <v>33</v>
      </c>
      <c r="B178">
        <v>2016</v>
      </c>
      <c r="C178" t="s">
        <v>43</v>
      </c>
      <c r="D178">
        <v>128.6</v>
      </c>
      <c r="E178">
        <v>138.6</v>
      </c>
      <c r="F178">
        <v>126.6</v>
      </c>
      <c r="G178">
        <v>133.6</v>
      </c>
      <c r="H178">
        <v>118.6</v>
      </c>
      <c r="I178">
        <v>137.4</v>
      </c>
      <c r="J178">
        <v>152.5</v>
      </c>
      <c r="K178">
        <v>169.2</v>
      </c>
      <c r="L178">
        <v>108.8</v>
      </c>
      <c r="M178">
        <v>133.1</v>
      </c>
      <c r="N178">
        <v>126.4</v>
      </c>
      <c r="O178">
        <v>139.19999999999999</v>
      </c>
      <c r="P178">
        <v>136</v>
      </c>
      <c r="Q178">
        <f>AVERAGE(Q176:Q177)</f>
        <v>125.5</v>
      </c>
      <c r="R178">
        <v>128</v>
      </c>
      <c r="S178">
        <v>129.30000000000001</v>
      </c>
      <c r="T178">
        <v>126.2</v>
      </c>
      <c r="U178">
        <v>116.3</v>
      </c>
      <c r="V178">
        <v>124.1</v>
      </c>
      <c r="W178">
        <v>130.19999999999999</v>
      </c>
      <c r="X178">
        <v>119.9</v>
      </c>
      <c r="Y178">
        <v>123.3</v>
      </c>
      <c r="Z178">
        <v>131.9</v>
      </c>
      <c r="AA178" s="1">
        <f>SUM(Table15[[#This Row],[Cereals and products]:[Food and beverages]])/13</f>
        <v>134.50769230769231</v>
      </c>
      <c r="AB178" s="1">
        <f>SUM(Table15[[#This Row],[Fuel and light]])</f>
        <v>128</v>
      </c>
      <c r="AC178" s="1">
        <f>SUM(Table15[[#This Row],[Transport and communication]])</f>
        <v>116.3</v>
      </c>
      <c r="AD178" s="1">
        <f>SUM(Table15[[#This Row],[Housing]],Table15[[#This Row],[Household goods and services]])/2</f>
        <v>127.4</v>
      </c>
      <c r="AE178" s="1">
        <f>SUM(Table15[[#This Row],[Health]])</f>
        <v>126.2</v>
      </c>
      <c r="AF178" s="1">
        <f>SUM(Table15[[#This Row],[Recreation and amusement]],Table15[[#This Row],[Education]])/2</f>
        <v>127.14999999999999</v>
      </c>
      <c r="AG178" s="1">
        <f>SUM(Table15[[#This Row],[Miscellaneous]],Table15[[#This Row],[Personal care and effects]])/2</f>
        <v>121.6</v>
      </c>
    </row>
    <row r="179" spans="1:33" x14ac:dyDescent="0.3">
      <c r="A179" t="s">
        <v>36</v>
      </c>
      <c r="B179">
        <v>2015</v>
      </c>
      <c r="C179" t="s">
        <v>43</v>
      </c>
      <c r="D179">
        <v>123.6</v>
      </c>
      <c r="E179">
        <v>134.4</v>
      </c>
      <c r="F179">
        <v>120.9</v>
      </c>
      <c r="G179">
        <v>127.3</v>
      </c>
      <c r="H179">
        <v>106</v>
      </c>
      <c r="I179">
        <v>132.30000000000001</v>
      </c>
      <c r="J179">
        <v>146.69999999999999</v>
      </c>
      <c r="K179">
        <v>148.1</v>
      </c>
      <c r="L179">
        <v>89.8</v>
      </c>
      <c r="M179">
        <v>130.5</v>
      </c>
      <c r="N179">
        <v>118</v>
      </c>
      <c r="O179">
        <v>130.5</v>
      </c>
      <c r="P179">
        <v>128.5</v>
      </c>
      <c r="Q179">
        <v>119</v>
      </c>
      <c r="R179">
        <v>115.1</v>
      </c>
      <c r="S179">
        <v>119.2</v>
      </c>
      <c r="T179">
        <v>115.4</v>
      </c>
      <c r="U179">
        <v>111.7</v>
      </c>
      <c r="V179">
        <v>116.2</v>
      </c>
      <c r="W179">
        <v>123.8</v>
      </c>
      <c r="X179">
        <v>112.5</v>
      </c>
      <c r="Y179">
        <v>116</v>
      </c>
      <c r="Z179">
        <v>121.7</v>
      </c>
      <c r="AA179" s="1">
        <f>SUM(Table15[[#This Row],[Cereals and products]:[Food and beverages]])/13</f>
        <v>125.89230769230768</v>
      </c>
      <c r="AB179" s="1">
        <f>SUM(Table15[[#This Row],[Fuel and light]])</f>
        <v>115.1</v>
      </c>
      <c r="AC179" s="1">
        <f>SUM(Table15[[#This Row],[Transport and communication]])</f>
        <v>111.7</v>
      </c>
      <c r="AD179" s="1">
        <f>SUM(Table15[[#This Row],[Housing]],Table15[[#This Row],[Household goods and services]])/2</f>
        <v>119.1</v>
      </c>
      <c r="AE179" s="1">
        <f>SUM(Table15[[#This Row],[Health]])</f>
        <v>115.4</v>
      </c>
      <c r="AF179" s="1">
        <f>SUM(Table15[[#This Row],[Recreation and amusement]],Table15[[#This Row],[Education]])/2</f>
        <v>120</v>
      </c>
      <c r="AG179" s="1">
        <f>SUM(Table15[[#This Row],[Miscellaneous]],Table15[[#This Row],[Personal care and effects]])/2</f>
        <v>114.25</v>
      </c>
    </row>
    <row r="180" spans="1:33" x14ac:dyDescent="0.3">
      <c r="A180" t="s">
        <v>35</v>
      </c>
      <c r="B180">
        <v>2015</v>
      </c>
      <c r="C180" t="s">
        <v>43</v>
      </c>
      <c r="D180">
        <v>123.9</v>
      </c>
      <c r="E180">
        <v>131.80000000000001</v>
      </c>
      <c r="F180">
        <v>121.6</v>
      </c>
      <c r="G180">
        <v>128.19999999999999</v>
      </c>
      <c r="H180">
        <v>111.1</v>
      </c>
      <c r="I180">
        <v>132.80000000000001</v>
      </c>
      <c r="J180">
        <v>139.1</v>
      </c>
      <c r="K180">
        <v>137.4</v>
      </c>
      <c r="L180">
        <v>94.1</v>
      </c>
      <c r="M180">
        <v>125.5</v>
      </c>
      <c r="N180">
        <v>119.8</v>
      </c>
      <c r="O180">
        <v>130.9</v>
      </c>
      <c r="P180">
        <v>127.3</v>
      </c>
      <c r="Q180">
        <v>119</v>
      </c>
      <c r="R180">
        <v>119.8</v>
      </c>
      <c r="S180">
        <v>121.1</v>
      </c>
      <c r="T180">
        <v>118.5</v>
      </c>
      <c r="U180">
        <v>112.9</v>
      </c>
      <c r="V180">
        <v>116.9</v>
      </c>
      <c r="W180">
        <v>123.1</v>
      </c>
      <c r="X180">
        <v>112.8</v>
      </c>
      <c r="Y180">
        <v>117</v>
      </c>
      <c r="Z180">
        <v>123</v>
      </c>
      <c r="AA180" s="1">
        <f>SUM(Table15[[#This Row],[Cereals and products]:[Food and beverages]])/13</f>
        <v>124.88461538461539</v>
      </c>
      <c r="AB180" s="1">
        <f>SUM(Table15[[#This Row],[Fuel and light]])</f>
        <v>119.8</v>
      </c>
      <c r="AC180" s="1">
        <f>SUM(Table15[[#This Row],[Transport and communication]])</f>
        <v>112.9</v>
      </c>
      <c r="AD180" s="1">
        <f>SUM(Table15[[#This Row],[Housing]],Table15[[#This Row],[Household goods and services]])/2</f>
        <v>120.05</v>
      </c>
      <c r="AE180" s="1">
        <f>SUM(Table15[[#This Row],[Health]])</f>
        <v>118.5</v>
      </c>
      <c r="AF180" s="1">
        <f>SUM(Table15[[#This Row],[Recreation and amusement]],Table15[[#This Row],[Education]])/2</f>
        <v>120</v>
      </c>
      <c r="AG180" s="1">
        <f>SUM(Table15[[#This Row],[Miscellaneous]],Table15[[#This Row],[Personal care and effects]])/2</f>
        <v>114.9</v>
      </c>
    </row>
    <row r="181" spans="1:33" x14ac:dyDescent="0.3">
      <c r="A181" t="s">
        <v>33</v>
      </c>
      <c r="B181">
        <v>2015</v>
      </c>
      <c r="C181" t="s">
        <v>43</v>
      </c>
      <c r="D181">
        <v>124.1</v>
      </c>
      <c r="E181">
        <v>130.4</v>
      </c>
      <c r="F181">
        <v>122.1</v>
      </c>
      <c r="G181">
        <v>128.69999999999999</v>
      </c>
      <c r="H181">
        <v>114.1</v>
      </c>
      <c r="I181">
        <v>133.19999999999999</v>
      </c>
      <c r="J181">
        <v>135.19999999999999</v>
      </c>
      <c r="K181">
        <v>131.9</v>
      </c>
      <c r="L181">
        <v>96.3</v>
      </c>
      <c r="M181">
        <v>123</v>
      </c>
      <c r="N181">
        <v>121.1</v>
      </c>
      <c r="O181">
        <v>131.19999999999999</v>
      </c>
      <c r="P181">
        <v>126.6</v>
      </c>
      <c r="Q181">
        <f>AVERAGE(Q179:Q180)</f>
        <v>119</v>
      </c>
      <c r="R181">
        <v>122.6</v>
      </c>
      <c r="S181">
        <v>122.8</v>
      </c>
      <c r="T181">
        <v>120.4</v>
      </c>
      <c r="U181">
        <v>114.2</v>
      </c>
      <c r="V181">
        <v>117.9</v>
      </c>
      <c r="W181">
        <v>122</v>
      </c>
      <c r="X181">
        <v>113</v>
      </c>
      <c r="Y181">
        <v>117.9</v>
      </c>
      <c r="Z181">
        <v>124.1</v>
      </c>
      <c r="AA181" s="1">
        <f>SUM(Table15[[#This Row],[Cereals and products]:[Food and beverages]])/13</f>
        <v>124.45384615384614</v>
      </c>
      <c r="AB181" s="1">
        <f>SUM(Table15[[#This Row],[Fuel and light]])</f>
        <v>122.6</v>
      </c>
      <c r="AC181" s="1">
        <f>SUM(Table15[[#This Row],[Transport and communication]])</f>
        <v>114.2</v>
      </c>
      <c r="AD181" s="1">
        <f>SUM(Table15[[#This Row],[Housing]],Table15[[#This Row],[Household goods and services]])/2</f>
        <v>120.9</v>
      </c>
      <c r="AE181" s="1">
        <f>SUM(Table15[[#This Row],[Health]])</f>
        <v>120.4</v>
      </c>
      <c r="AF181" s="1">
        <f>SUM(Table15[[#This Row],[Recreation and amusement]],Table15[[#This Row],[Education]])/2</f>
        <v>119.95</v>
      </c>
      <c r="AG181" s="1">
        <f>SUM(Table15[[#This Row],[Miscellaneous]],Table15[[#This Row],[Personal care and effects]])/2</f>
        <v>115.45</v>
      </c>
    </row>
    <row r="182" spans="1:33" x14ac:dyDescent="0.3">
      <c r="A182" t="s">
        <v>33</v>
      </c>
      <c r="B182">
        <v>2014</v>
      </c>
      <c r="C182" t="s">
        <v>43</v>
      </c>
      <c r="D182">
        <v>120.7</v>
      </c>
      <c r="E182">
        <v>121.6</v>
      </c>
      <c r="F182">
        <v>116.1</v>
      </c>
      <c r="G182">
        <v>119.3</v>
      </c>
      <c r="H182">
        <v>110.3</v>
      </c>
      <c r="I182">
        <v>125.8</v>
      </c>
      <c r="J182">
        <v>129.30000000000001</v>
      </c>
      <c r="K182">
        <v>112.2</v>
      </c>
      <c r="L182">
        <v>103.6</v>
      </c>
      <c r="M182">
        <v>112.3</v>
      </c>
      <c r="N182">
        <v>114.9</v>
      </c>
      <c r="O182">
        <v>120.1</v>
      </c>
      <c r="P182">
        <v>119.5</v>
      </c>
      <c r="Q182">
        <f>AVERAGE(Q183:Q184)</f>
        <v>113.9</v>
      </c>
      <c r="R182">
        <v>114.4</v>
      </c>
      <c r="S182">
        <v>114.9</v>
      </c>
      <c r="T182">
        <v>112.8</v>
      </c>
      <c r="U182">
        <v>112.2</v>
      </c>
      <c r="V182">
        <v>111.4</v>
      </c>
      <c r="W182">
        <v>114.3</v>
      </c>
      <c r="X182">
        <v>108</v>
      </c>
      <c r="Y182">
        <v>112.3</v>
      </c>
      <c r="Z182">
        <v>117</v>
      </c>
      <c r="AA182" s="1">
        <f>SUM(Table15[[#This Row],[Cereals and products]:[Food and beverages]])/13</f>
        <v>117.36153846153844</v>
      </c>
      <c r="AB182" s="1">
        <f>SUM(Table15[[#This Row],[Fuel and light]])</f>
        <v>114.4</v>
      </c>
      <c r="AC182" s="1">
        <f>SUM(Table15[[#This Row],[Transport and communication]])</f>
        <v>112.2</v>
      </c>
      <c r="AD182" s="1">
        <f>SUM(Table15[[#This Row],[Housing]],Table15[[#This Row],[Household goods and services]])/2</f>
        <v>114.4</v>
      </c>
      <c r="AE182" s="1">
        <f>SUM(Table15[[#This Row],[Health]])</f>
        <v>112.8</v>
      </c>
      <c r="AF182" s="1">
        <f>SUM(Table15[[#This Row],[Recreation and amusement]],Table15[[#This Row],[Education]])/2</f>
        <v>112.85</v>
      </c>
      <c r="AG182" s="1">
        <f>SUM(Table15[[#This Row],[Miscellaneous]],Table15[[#This Row],[Personal care and effects]])/2</f>
        <v>110.15</v>
      </c>
    </row>
    <row r="183" spans="1:33" x14ac:dyDescent="0.3">
      <c r="A183" t="s">
        <v>35</v>
      </c>
      <c r="B183">
        <v>2014</v>
      </c>
      <c r="C183" t="s">
        <v>43</v>
      </c>
      <c r="D183">
        <v>121.5</v>
      </c>
      <c r="E183">
        <v>123.1</v>
      </c>
      <c r="F183">
        <v>115.8</v>
      </c>
      <c r="G183">
        <v>119.7</v>
      </c>
      <c r="H183">
        <v>107.8</v>
      </c>
      <c r="I183">
        <v>128.30000000000001</v>
      </c>
      <c r="J183">
        <v>132.1</v>
      </c>
      <c r="K183">
        <v>112.4</v>
      </c>
      <c r="L183">
        <v>102.9</v>
      </c>
      <c r="M183">
        <v>114.3</v>
      </c>
      <c r="N183">
        <v>114.2</v>
      </c>
      <c r="O183">
        <v>121.2</v>
      </c>
      <c r="P183">
        <v>120.4</v>
      </c>
      <c r="Q183">
        <v>113.9</v>
      </c>
      <c r="R183">
        <v>113.2</v>
      </c>
      <c r="S183">
        <v>114.6</v>
      </c>
      <c r="T183">
        <v>112.3</v>
      </c>
      <c r="U183">
        <v>111.8</v>
      </c>
      <c r="V183">
        <v>111.6</v>
      </c>
      <c r="W183">
        <v>114.8</v>
      </c>
      <c r="X183">
        <v>108.3</v>
      </c>
      <c r="Y183">
        <v>112.3</v>
      </c>
      <c r="Z183">
        <v>116.7</v>
      </c>
      <c r="AA183" s="1">
        <f>SUM(Table15[[#This Row],[Cereals and products]:[Food and beverages]])/13</f>
        <v>117.9769230769231</v>
      </c>
      <c r="AB183" s="1">
        <f>SUM(Table15[[#This Row],[Fuel and light]])</f>
        <v>113.2</v>
      </c>
      <c r="AC183" s="1">
        <f>SUM(Table15[[#This Row],[Transport and communication]])</f>
        <v>111.8</v>
      </c>
      <c r="AD183" s="1">
        <f>SUM(Table15[[#This Row],[Housing]],Table15[[#This Row],[Household goods and services]])/2</f>
        <v>114.25</v>
      </c>
      <c r="AE183" s="1">
        <f>SUM(Table15[[#This Row],[Health]])</f>
        <v>112.3</v>
      </c>
      <c r="AF183" s="1">
        <f>SUM(Table15[[#This Row],[Recreation and amusement]],Table15[[#This Row],[Education]])/2</f>
        <v>113.19999999999999</v>
      </c>
      <c r="AG183" s="1">
        <f>SUM(Table15[[#This Row],[Miscellaneous]],Table15[[#This Row],[Personal care and effects]])/2</f>
        <v>110.3</v>
      </c>
    </row>
    <row r="184" spans="1:33" x14ac:dyDescent="0.3">
      <c r="A184" t="s">
        <v>36</v>
      </c>
      <c r="B184">
        <v>2014</v>
      </c>
      <c r="C184" t="s">
        <v>43</v>
      </c>
      <c r="D184">
        <v>123.1</v>
      </c>
      <c r="E184">
        <v>125.9</v>
      </c>
      <c r="F184">
        <v>115.4</v>
      </c>
      <c r="G184">
        <v>120.4</v>
      </c>
      <c r="H184">
        <v>103.4</v>
      </c>
      <c r="I184">
        <v>131.19999999999999</v>
      </c>
      <c r="J184">
        <v>137.5</v>
      </c>
      <c r="K184">
        <v>112.8</v>
      </c>
      <c r="L184">
        <v>101.4</v>
      </c>
      <c r="M184">
        <v>118.3</v>
      </c>
      <c r="N184">
        <v>113.2</v>
      </c>
      <c r="O184">
        <v>122.4</v>
      </c>
      <c r="P184">
        <v>122</v>
      </c>
      <c r="Q184">
        <v>113.9</v>
      </c>
      <c r="R184">
        <v>111.2</v>
      </c>
      <c r="S184">
        <v>114.3</v>
      </c>
      <c r="T184">
        <v>111.4</v>
      </c>
      <c r="U184">
        <v>111.5</v>
      </c>
      <c r="V184">
        <v>111.8</v>
      </c>
      <c r="W184">
        <v>115.1</v>
      </c>
      <c r="X184">
        <v>108.7</v>
      </c>
      <c r="Y184">
        <v>112.2</v>
      </c>
      <c r="Z184">
        <v>116.4</v>
      </c>
      <c r="AA184" s="1">
        <f>SUM(Table15[[#This Row],[Cereals and products]:[Food and beverages]])/13</f>
        <v>119</v>
      </c>
      <c r="AB184" s="1">
        <f>SUM(Table15[[#This Row],[Fuel and light]])</f>
        <v>111.2</v>
      </c>
      <c r="AC184" s="1">
        <f>SUM(Table15[[#This Row],[Transport and communication]])</f>
        <v>111.5</v>
      </c>
      <c r="AD184" s="1">
        <f>SUM(Table15[[#This Row],[Housing]],Table15[[#This Row],[Household goods and services]])/2</f>
        <v>114.1</v>
      </c>
      <c r="AE184" s="1">
        <f>SUM(Table15[[#This Row],[Health]])</f>
        <v>111.4</v>
      </c>
      <c r="AF184" s="1">
        <f>SUM(Table15[[#This Row],[Recreation and amusement]],Table15[[#This Row],[Education]])/2</f>
        <v>113.44999999999999</v>
      </c>
      <c r="AG184" s="1">
        <f>SUM(Table15[[#This Row],[Miscellaneous]],Table15[[#This Row],[Personal care and effects]])/2</f>
        <v>110.45</v>
      </c>
    </row>
    <row r="185" spans="1:33" x14ac:dyDescent="0.3">
      <c r="A185" t="s">
        <v>33</v>
      </c>
      <c r="B185">
        <v>2013</v>
      </c>
      <c r="C185" t="s">
        <v>43</v>
      </c>
      <c r="D185">
        <v>112.3</v>
      </c>
      <c r="E185">
        <v>112.1</v>
      </c>
      <c r="F185">
        <v>108.1</v>
      </c>
      <c r="G185">
        <v>108.3</v>
      </c>
      <c r="H185">
        <v>105.9</v>
      </c>
      <c r="I185">
        <v>109.2</v>
      </c>
      <c r="J185">
        <v>118</v>
      </c>
      <c r="K185">
        <v>106.8</v>
      </c>
      <c r="L185">
        <v>104.1</v>
      </c>
      <c r="M185">
        <v>105.4</v>
      </c>
      <c r="N185">
        <v>108.2</v>
      </c>
      <c r="O185">
        <v>111</v>
      </c>
      <c r="P185">
        <v>110.6</v>
      </c>
      <c r="Q185">
        <f>AVERAGE(Q186:Q187)</f>
        <v>106.6</v>
      </c>
      <c r="R185">
        <v>108.5</v>
      </c>
      <c r="S185">
        <v>107.5</v>
      </c>
      <c r="T185">
        <v>106.3</v>
      </c>
      <c r="U185">
        <v>105</v>
      </c>
      <c r="V185">
        <v>105.6</v>
      </c>
      <c r="W185">
        <v>106.5</v>
      </c>
      <c r="X185">
        <v>102.5</v>
      </c>
      <c r="Y185">
        <v>105.5</v>
      </c>
      <c r="Z185">
        <v>108.9</v>
      </c>
      <c r="AA185" s="1">
        <f>SUM(Table15[[#This Row],[Cereals and products]:[Food and beverages]])/13</f>
        <v>109.23076923076923</v>
      </c>
      <c r="AB185" s="1">
        <f>SUM(Table15[[#This Row],[Fuel and light]])</f>
        <v>108.5</v>
      </c>
      <c r="AC185" s="1">
        <f>SUM(Table15[[#This Row],[Transport and communication]])</f>
        <v>105</v>
      </c>
      <c r="AD185" s="1">
        <f>SUM(Table15[[#This Row],[Housing]],Table15[[#This Row],[Household goods and services]])/2</f>
        <v>107.05</v>
      </c>
      <c r="AE185" s="1">
        <f>SUM(Table15[[#This Row],[Health]])</f>
        <v>106.3</v>
      </c>
      <c r="AF185" s="1">
        <f>SUM(Table15[[#This Row],[Recreation and amusement]],Table15[[#This Row],[Education]])/2</f>
        <v>106.05</v>
      </c>
      <c r="AG185" s="1">
        <f>SUM(Table15[[#This Row],[Miscellaneous]],Table15[[#This Row],[Personal care and effects]])/2</f>
        <v>104</v>
      </c>
    </row>
    <row r="186" spans="1:33" x14ac:dyDescent="0.3">
      <c r="A186" t="s">
        <v>35</v>
      </c>
      <c r="B186">
        <v>2013</v>
      </c>
      <c r="C186" t="s">
        <v>43</v>
      </c>
      <c r="D186">
        <v>113.8</v>
      </c>
      <c r="E186">
        <v>114.9</v>
      </c>
      <c r="F186">
        <v>109.8</v>
      </c>
      <c r="G186">
        <v>107.9</v>
      </c>
      <c r="H186">
        <v>104.2</v>
      </c>
      <c r="I186">
        <v>110.7</v>
      </c>
      <c r="J186">
        <v>126.7</v>
      </c>
      <c r="K186">
        <v>106.3</v>
      </c>
      <c r="L186">
        <v>103.2</v>
      </c>
      <c r="M186">
        <v>105.7</v>
      </c>
      <c r="N186">
        <v>109</v>
      </c>
      <c r="O186">
        <v>111.6</v>
      </c>
      <c r="P186">
        <v>112.2</v>
      </c>
      <c r="Q186">
        <v>106.6</v>
      </c>
      <c r="R186">
        <v>108.3</v>
      </c>
      <c r="S186">
        <v>107.6</v>
      </c>
      <c r="T186">
        <v>106.4</v>
      </c>
      <c r="U186">
        <v>105.1</v>
      </c>
      <c r="V186">
        <v>105.4</v>
      </c>
      <c r="W186">
        <v>107.4</v>
      </c>
      <c r="X186">
        <v>102.8</v>
      </c>
      <c r="Y186">
        <v>105.8</v>
      </c>
      <c r="Z186">
        <v>109.3</v>
      </c>
      <c r="AA186" s="1">
        <f>SUM(Table15[[#This Row],[Cereals and products]:[Food and beverages]])/13</f>
        <v>110.46153846153847</v>
      </c>
      <c r="AB186" s="1">
        <f>SUM(Table15[[#This Row],[Fuel and light]])</f>
        <v>108.3</v>
      </c>
      <c r="AC186" s="1">
        <f>SUM(Table15[[#This Row],[Transport and communication]])</f>
        <v>105.1</v>
      </c>
      <c r="AD186" s="1">
        <f>SUM(Table15[[#This Row],[Housing]],Table15[[#This Row],[Household goods and services]])/2</f>
        <v>107.1</v>
      </c>
      <c r="AE186" s="1">
        <f>SUM(Table15[[#This Row],[Health]])</f>
        <v>106.4</v>
      </c>
      <c r="AF186" s="1">
        <f>SUM(Table15[[#This Row],[Recreation and amusement]],Table15[[#This Row],[Education]])/2</f>
        <v>106.4</v>
      </c>
      <c r="AG186" s="1">
        <f>SUM(Table15[[#This Row],[Miscellaneous]],Table15[[#This Row],[Personal care and effects]])/2</f>
        <v>104.3</v>
      </c>
    </row>
    <row r="187" spans="1:33" x14ac:dyDescent="0.3">
      <c r="A187" t="s">
        <v>36</v>
      </c>
      <c r="B187">
        <v>2013</v>
      </c>
      <c r="C187" t="s">
        <v>43</v>
      </c>
      <c r="D187">
        <v>117</v>
      </c>
      <c r="E187">
        <v>120.1</v>
      </c>
      <c r="F187">
        <v>112.5</v>
      </c>
      <c r="G187">
        <v>107.3</v>
      </c>
      <c r="H187">
        <v>101.3</v>
      </c>
      <c r="I187">
        <v>112.4</v>
      </c>
      <c r="J187">
        <v>143.6</v>
      </c>
      <c r="K187">
        <v>105.4</v>
      </c>
      <c r="L187">
        <v>101.4</v>
      </c>
      <c r="M187">
        <v>106.4</v>
      </c>
      <c r="N187">
        <v>110</v>
      </c>
      <c r="O187">
        <v>112.2</v>
      </c>
      <c r="P187">
        <v>115</v>
      </c>
      <c r="Q187">
        <v>106.6</v>
      </c>
      <c r="R187">
        <v>108</v>
      </c>
      <c r="S187">
        <v>107.7</v>
      </c>
      <c r="T187">
        <v>106.5</v>
      </c>
      <c r="U187">
        <v>105.2</v>
      </c>
      <c r="V187">
        <v>105.2</v>
      </c>
      <c r="W187">
        <v>108.1</v>
      </c>
      <c r="X187">
        <v>103.3</v>
      </c>
      <c r="Y187">
        <v>106.1</v>
      </c>
      <c r="Z187">
        <v>109.7</v>
      </c>
      <c r="AA187" s="1">
        <f>SUM(Table15[[#This Row],[Cereals and products]:[Food and beverages]])/13</f>
        <v>112.66153846153847</v>
      </c>
      <c r="AB187" s="1">
        <f>SUM(Table15[[#This Row],[Fuel and light]])</f>
        <v>108</v>
      </c>
      <c r="AC187" s="1">
        <f>SUM(Table15[[#This Row],[Transport and communication]])</f>
        <v>105.2</v>
      </c>
      <c r="AD187" s="1">
        <f>SUM(Table15[[#This Row],[Housing]],Table15[[#This Row],[Household goods and services]])/2</f>
        <v>107.15</v>
      </c>
      <c r="AE187" s="1">
        <f>SUM(Table15[[#This Row],[Health]])</f>
        <v>106.5</v>
      </c>
      <c r="AF187" s="1">
        <f>SUM(Table15[[#This Row],[Recreation and amusement]],Table15[[#This Row],[Education]])/2</f>
        <v>106.65</v>
      </c>
      <c r="AG187" s="1">
        <f>SUM(Table15[[#This Row],[Miscellaneous]],Table15[[#This Row],[Personal care and effects]])/2</f>
        <v>104.69999999999999</v>
      </c>
    </row>
    <row r="188" spans="1:33" x14ac:dyDescent="0.3">
      <c r="A188" t="s">
        <v>33</v>
      </c>
      <c r="B188">
        <v>2022</v>
      </c>
      <c r="C188" t="s">
        <v>42</v>
      </c>
      <c r="D188">
        <v>155.19999999999999</v>
      </c>
      <c r="E188">
        <v>210.8</v>
      </c>
      <c r="F188">
        <v>174.3</v>
      </c>
      <c r="G188">
        <v>166.3</v>
      </c>
      <c r="H188">
        <v>202.2</v>
      </c>
      <c r="I188">
        <v>169.6</v>
      </c>
      <c r="J188">
        <v>168.6</v>
      </c>
      <c r="K188">
        <v>164.4</v>
      </c>
      <c r="L188">
        <v>119.2</v>
      </c>
      <c r="M188">
        <v>191.8</v>
      </c>
      <c r="N188">
        <v>174.5</v>
      </c>
      <c r="O188">
        <v>183.1</v>
      </c>
      <c r="P188">
        <v>172.5</v>
      </c>
      <c r="Q188">
        <f>AVERAGE(Q189:Q190)</f>
        <v>167.8</v>
      </c>
      <c r="R188">
        <v>179.6</v>
      </c>
      <c r="S188">
        <v>171.3</v>
      </c>
      <c r="T188">
        <v>178.8</v>
      </c>
      <c r="U188">
        <v>166.3</v>
      </c>
      <c r="V188">
        <v>168.6</v>
      </c>
      <c r="W188">
        <v>174.7</v>
      </c>
      <c r="X188">
        <v>169.7</v>
      </c>
      <c r="Y188">
        <v>171.8</v>
      </c>
      <c r="Z188">
        <v>174.3</v>
      </c>
      <c r="AA188" s="1">
        <f>SUM(Table15[[#This Row],[Cereals and products]:[Food and beverages]])/13</f>
        <v>173.26923076923077</v>
      </c>
      <c r="AB188" s="1">
        <f>SUM(Table15[[#This Row],[Fuel and light]])</f>
        <v>179.6</v>
      </c>
      <c r="AC188" s="1">
        <f>SUM(Table15[[#This Row],[Transport and communication]])</f>
        <v>166.3</v>
      </c>
      <c r="AD188" s="1">
        <f>SUM(Table15[[#This Row],[Housing]],Table15[[#This Row],[Household goods and services]])/2</f>
        <v>169.55</v>
      </c>
      <c r="AE188" s="1">
        <f>SUM(Table15[[#This Row],[Health]])</f>
        <v>178.8</v>
      </c>
      <c r="AF188" s="1">
        <f>SUM(Table15[[#This Row],[Recreation and amusement]],Table15[[#This Row],[Education]])/2</f>
        <v>171.64999999999998</v>
      </c>
      <c r="AG188" s="1">
        <f>SUM(Table15[[#This Row],[Miscellaneous]],Table15[[#This Row],[Personal care and effects]])/2</f>
        <v>170.75</v>
      </c>
    </row>
    <row r="189" spans="1:33" x14ac:dyDescent="0.3">
      <c r="A189" t="s">
        <v>35</v>
      </c>
      <c r="B189">
        <v>2022</v>
      </c>
      <c r="C189" t="s">
        <v>42</v>
      </c>
      <c r="D189">
        <v>156.5</v>
      </c>
      <c r="E189">
        <v>213</v>
      </c>
      <c r="F189">
        <v>175.2</v>
      </c>
      <c r="G189">
        <v>166.6</v>
      </c>
      <c r="H189">
        <v>195.8</v>
      </c>
      <c r="I189">
        <v>174.2</v>
      </c>
      <c r="J189">
        <v>182.1</v>
      </c>
      <c r="K189">
        <v>164.3</v>
      </c>
      <c r="L189">
        <v>120</v>
      </c>
      <c r="M189">
        <v>190</v>
      </c>
      <c r="N189">
        <v>168.4</v>
      </c>
      <c r="O189">
        <v>185.2</v>
      </c>
      <c r="P189">
        <v>175</v>
      </c>
      <c r="Q189">
        <v>167.8</v>
      </c>
      <c r="R189">
        <v>179.6</v>
      </c>
      <c r="S189">
        <v>167.4</v>
      </c>
      <c r="T189">
        <v>176.1</v>
      </c>
      <c r="U189">
        <v>161.6</v>
      </c>
      <c r="V189">
        <v>166.3</v>
      </c>
      <c r="W189">
        <v>171.4</v>
      </c>
      <c r="X189">
        <v>169.7</v>
      </c>
      <c r="Y189">
        <v>168.4</v>
      </c>
      <c r="Z189">
        <v>173.4</v>
      </c>
      <c r="AA189" s="1">
        <f>SUM(Table15[[#This Row],[Cereals and products]:[Food and beverages]])/13</f>
        <v>174.33076923076925</v>
      </c>
      <c r="AB189" s="1">
        <f>SUM(Table15[[#This Row],[Fuel and light]])</f>
        <v>179.6</v>
      </c>
      <c r="AC189" s="1">
        <f>SUM(Table15[[#This Row],[Transport and communication]])</f>
        <v>161.6</v>
      </c>
      <c r="AD189" s="1">
        <f>SUM(Table15[[#This Row],[Housing]],Table15[[#This Row],[Household goods and services]])/2</f>
        <v>167.60000000000002</v>
      </c>
      <c r="AE189" s="1">
        <f>SUM(Table15[[#This Row],[Health]])</f>
        <v>176.1</v>
      </c>
      <c r="AF189" s="1">
        <f>SUM(Table15[[#This Row],[Recreation and amusement]],Table15[[#This Row],[Education]])/2</f>
        <v>168.85000000000002</v>
      </c>
      <c r="AG189" s="1">
        <f>SUM(Table15[[#This Row],[Miscellaneous]],Table15[[#This Row],[Personal care and effects]])/2</f>
        <v>169.05</v>
      </c>
    </row>
    <row r="190" spans="1:33" x14ac:dyDescent="0.3">
      <c r="A190" t="s">
        <v>36</v>
      </c>
      <c r="B190">
        <v>2022</v>
      </c>
      <c r="C190" t="s">
        <v>42</v>
      </c>
      <c r="D190">
        <v>159.30000000000001</v>
      </c>
      <c r="E190">
        <v>217.1</v>
      </c>
      <c r="F190">
        <v>176.6</v>
      </c>
      <c r="G190">
        <v>167.1</v>
      </c>
      <c r="H190">
        <v>184.8</v>
      </c>
      <c r="I190">
        <v>179.5</v>
      </c>
      <c r="J190">
        <v>208.5</v>
      </c>
      <c r="K190">
        <v>164</v>
      </c>
      <c r="L190">
        <v>121.5</v>
      </c>
      <c r="M190">
        <v>186.3</v>
      </c>
      <c r="N190">
        <v>159.80000000000001</v>
      </c>
      <c r="O190">
        <v>187.7</v>
      </c>
      <c r="P190">
        <v>179.4</v>
      </c>
      <c r="Q190">
        <v>167.8</v>
      </c>
      <c r="R190">
        <v>179.5</v>
      </c>
      <c r="S190">
        <v>163.1</v>
      </c>
      <c r="T190">
        <v>171.7</v>
      </c>
      <c r="U190">
        <v>157.4</v>
      </c>
      <c r="V190">
        <v>164.6</v>
      </c>
      <c r="W190">
        <v>169.1</v>
      </c>
      <c r="X190">
        <v>169.8</v>
      </c>
      <c r="Y190">
        <v>164.7</v>
      </c>
      <c r="Z190">
        <v>172.3</v>
      </c>
      <c r="AA190" s="1">
        <f>SUM(Table15[[#This Row],[Cereals and products]:[Food and beverages]])/13</f>
        <v>176.27692307692308</v>
      </c>
      <c r="AB190" s="1">
        <f>SUM(Table15[[#This Row],[Fuel and light]])</f>
        <v>179.5</v>
      </c>
      <c r="AC190" s="1">
        <f>SUM(Table15[[#This Row],[Transport and communication]])</f>
        <v>157.4</v>
      </c>
      <c r="AD190" s="1">
        <f>SUM(Table15[[#This Row],[Housing]],Table15[[#This Row],[Household goods and services]])/2</f>
        <v>165.45</v>
      </c>
      <c r="AE190" s="1">
        <f>SUM(Table15[[#This Row],[Health]])</f>
        <v>171.7</v>
      </c>
      <c r="AF190" s="1">
        <f>SUM(Table15[[#This Row],[Recreation and amusement]],Table15[[#This Row],[Education]])/2</f>
        <v>166.85</v>
      </c>
      <c r="AG190" s="1">
        <f>SUM(Table15[[#This Row],[Miscellaneous]],Table15[[#This Row],[Personal care and effects]])/2</f>
        <v>167.25</v>
      </c>
    </row>
    <row r="191" spans="1:33" x14ac:dyDescent="0.3">
      <c r="A191" t="s">
        <v>33</v>
      </c>
      <c r="B191">
        <v>2020</v>
      </c>
      <c r="C191" t="s">
        <v>46</v>
      </c>
      <c r="D191">
        <v>144.4</v>
      </c>
      <c r="E191">
        <v>166.8</v>
      </c>
      <c r="F191">
        <v>147.6</v>
      </c>
      <c r="G191">
        <v>151.69999999999999</v>
      </c>
      <c r="H191">
        <v>133.30000000000001</v>
      </c>
      <c r="I191">
        <v>141.80000000000001</v>
      </c>
      <c r="J191">
        <v>152.30000000000001</v>
      </c>
      <c r="K191">
        <v>141.80000000000001</v>
      </c>
      <c r="L191">
        <v>112.6</v>
      </c>
      <c r="M191">
        <v>154</v>
      </c>
      <c r="N191">
        <v>140.1</v>
      </c>
      <c r="O191">
        <v>160</v>
      </c>
      <c r="P191">
        <v>148.19999999999999</v>
      </c>
      <c r="Q191">
        <f>AVERAGE(Q192:Q193)</f>
        <v>154.5</v>
      </c>
      <c r="R191">
        <v>153.4</v>
      </c>
      <c r="S191">
        <v>151.5</v>
      </c>
      <c r="T191">
        <v>156.69999999999999</v>
      </c>
      <c r="U191">
        <v>135.80000000000001</v>
      </c>
      <c r="V191">
        <v>151.19999999999999</v>
      </c>
      <c r="W191">
        <v>161.19999999999999</v>
      </c>
      <c r="X191">
        <v>145.1</v>
      </c>
      <c r="Y191">
        <v>148.6</v>
      </c>
      <c r="Z191">
        <v>149.80000000000001</v>
      </c>
      <c r="AA191" s="1">
        <f>SUM(Table15[[#This Row],[Cereals and products]:[Food and beverages]])/13</f>
        <v>145.73846153846151</v>
      </c>
      <c r="AB191" s="1">
        <f>SUM(Table15[[#This Row],[Fuel and light]])</f>
        <v>153.4</v>
      </c>
      <c r="AC191" s="1">
        <f>SUM(Table15[[#This Row],[Transport and communication]])</f>
        <v>135.80000000000001</v>
      </c>
      <c r="AD191" s="1">
        <f>SUM(Table15[[#This Row],[Housing]],Table15[[#This Row],[Household goods and services]])/2</f>
        <v>153</v>
      </c>
      <c r="AE191" s="1">
        <f>SUM(Table15[[#This Row],[Health]])</f>
        <v>156.69999999999999</v>
      </c>
      <c r="AF191" s="1">
        <f>SUM(Table15[[#This Row],[Recreation and amusement]],Table15[[#This Row],[Education]])/2</f>
        <v>156.19999999999999</v>
      </c>
      <c r="AG191" s="1">
        <f>SUM(Table15[[#This Row],[Miscellaneous]],Table15[[#This Row],[Personal care and effects]])/2</f>
        <v>146.85</v>
      </c>
    </row>
    <row r="192" spans="1:33" x14ac:dyDescent="0.3">
      <c r="A192" t="s">
        <v>35</v>
      </c>
      <c r="B192">
        <v>2020</v>
      </c>
      <c r="C192" t="s">
        <v>46</v>
      </c>
      <c r="D192">
        <v>145.1</v>
      </c>
      <c r="E192">
        <v>167</v>
      </c>
      <c r="F192">
        <v>148.1</v>
      </c>
      <c r="G192">
        <v>151.5</v>
      </c>
      <c r="H192">
        <v>131.19999999999999</v>
      </c>
      <c r="I192">
        <v>142.5</v>
      </c>
      <c r="J192">
        <v>157.30000000000001</v>
      </c>
      <c r="K192">
        <v>141.1</v>
      </c>
      <c r="L192">
        <v>113.2</v>
      </c>
      <c r="M192">
        <v>153.19999999999999</v>
      </c>
      <c r="N192">
        <v>136.69999999999999</v>
      </c>
      <c r="O192">
        <v>159.6</v>
      </c>
      <c r="P192">
        <v>148.9</v>
      </c>
      <c r="Q192">
        <v>154.5</v>
      </c>
      <c r="R192">
        <v>148.9</v>
      </c>
      <c r="S192">
        <v>146.4</v>
      </c>
      <c r="T192">
        <v>152.30000000000001</v>
      </c>
      <c r="U192">
        <v>129.9</v>
      </c>
      <c r="V192">
        <v>143.69999999999999</v>
      </c>
      <c r="W192">
        <v>156.1</v>
      </c>
      <c r="X192">
        <v>145.19999999999999</v>
      </c>
      <c r="Y192">
        <v>143.80000000000001</v>
      </c>
      <c r="Z192">
        <v>148.6</v>
      </c>
      <c r="AA192" s="1">
        <f>SUM(Table15[[#This Row],[Cereals and products]:[Food and beverages]])/13</f>
        <v>145.80000000000001</v>
      </c>
      <c r="AB192" s="1">
        <f>SUM(Table15[[#This Row],[Fuel and light]])</f>
        <v>148.9</v>
      </c>
      <c r="AC192" s="1">
        <f>SUM(Table15[[#This Row],[Transport and communication]])</f>
        <v>129.9</v>
      </c>
      <c r="AD192" s="1">
        <f>SUM(Table15[[#This Row],[Housing]],Table15[[#This Row],[Household goods and services]])/2</f>
        <v>150.44999999999999</v>
      </c>
      <c r="AE192" s="1">
        <f>SUM(Table15[[#This Row],[Health]])</f>
        <v>152.30000000000001</v>
      </c>
      <c r="AF192" s="1">
        <f>SUM(Table15[[#This Row],[Recreation and amusement]],Table15[[#This Row],[Education]])/2</f>
        <v>149.89999999999998</v>
      </c>
      <c r="AG192" s="1">
        <f>SUM(Table15[[#This Row],[Miscellaneous]],Table15[[#This Row],[Personal care and effects]])/2</f>
        <v>144.5</v>
      </c>
    </row>
    <row r="193" spans="1:33" x14ac:dyDescent="0.3">
      <c r="A193" t="s">
        <v>36</v>
      </c>
      <c r="B193">
        <v>2020</v>
      </c>
      <c r="C193" t="s">
        <v>46</v>
      </c>
      <c r="D193">
        <v>146.5</v>
      </c>
      <c r="E193">
        <v>167.5</v>
      </c>
      <c r="F193">
        <v>148.9</v>
      </c>
      <c r="G193">
        <v>151.1</v>
      </c>
      <c r="H193">
        <v>127.5</v>
      </c>
      <c r="I193">
        <v>143.30000000000001</v>
      </c>
      <c r="J193">
        <v>167</v>
      </c>
      <c r="K193">
        <v>139.69999999999999</v>
      </c>
      <c r="L193">
        <v>114.4</v>
      </c>
      <c r="M193">
        <v>151.5</v>
      </c>
      <c r="N193">
        <v>131.9</v>
      </c>
      <c r="O193">
        <v>159.1</v>
      </c>
      <c r="P193">
        <v>150.1</v>
      </c>
      <c r="Q193">
        <v>154.5</v>
      </c>
      <c r="R193">
        <v>141.4</v>
      </c>
      <c r="S193">
        <v>140.80000000000001</v>
      </c>
      <c r="T193">
        <v>145</v>
      </c>
      <c r="U193">
        <v>124.6</v>
      </c>
      <c r="V193">
        <v>137.9</v>
      </c>
      <c r="W193">
        <v>152.5</v>
      </c>
      <c r="X193">
        <v>145.30000000000001</v>
      </c>
      <c r="Y193">
        <v>138.69999999999999</v>
      </c>
      <c r="Z193">
        <v>147.30000000000001</v>
      </c>
      <c r="AA193" s="1">
        <f>SUM(Table15[[#This Row],[Cereals and products]:[Food and beverages]])/13</f>
        <v>146.03846153846155</v>
      </c>
      <c r="AB193" s="1">
        <f>SUM(Table15[[#This Row],[Fuel and light]])</f>
        <v>141.4</v>
      </c>
      <c r="AC193" s="1">
        <f>SUM(Table15[[#This Row],[Transport and communication]])</f>
        <v>124.6</v>
      </c>
      <c r="AD193" s="1">
        <f>SUM(Table15[[#This Row],[Housing]],Table15[[#This Row],[Household goods and services]])/2</f>
        <v>147.65</v>
      </c>
      <c r="AE193" s="1">
        <f>SUM(Table15[[#This Row],[Health]])</f>
        <v>145</v>
      </c>
      <c r="AF193" s="1">
        <f>SUM(Table15[[#This Row],[Recreation and amusement]],Table15[[#This Row],[Education]])/2</f>
        <v>145.19999999999999</v>
      </c>
      <c r="AG193" s="1">
        <f>SUM(Table15[[#This Row],[Miscellaneous]],Table15[[#This Row],[Personal care and effects]])/2</f>
        <v>142</v>
      </c>
    </row>
    <row r="194" spans="1:33" x14ac:dyDescent="0.3">
      <c r="A194" t="s">
        <v>33</v>
      </c>
      <c r="B194">
        <v>2020</v>
      </c>
      <c r="C194" t="s">
        <v>47</v>
      </c>
      <c r="D194">
        <v>139.35</v>
      </c>
      <c r="E194">
        <v>157.6</v>
      </c>
      <c r="F194">
        <v>137.15</v>
      </c>
      <c r="G194">
        <v>142.5</v>
      </c>
      <c r="H194">
        <v>120.3</v>
      </c>
      <c r="I194">
        <v>148.1</v>
      </c>
      <c r="J194">
        <v>152.30000000000001</v>
      </c>
      <c r="K194">
        <v>124.7</v>
      </c>
      <c r="L194">
        <v>110.6</v>
      </c>
      <c r="M194">
        <v>140.44999999999999</v>
      </c>
      <c r="N194">
        <v>131.5</v>
      </c>
      <c r="O194">
        <v>155</v>
      </c>
      <c r="P194">
        <v>142.4</v>
      </c>
      <c r="Q194">
        <v>150.1</v>
      </c>
      <c r="R194" s="1">
        <f t="shared" ref="R194:Z196" si="0">(R191+R192+R193+R197+R198+R199)/6</f>
        <v>145.35000000000002</v>
      </c>
      <c r="S194" s="1">
        <f t="shared" si="0"/>
        <v>147.63333333333335</v>
      </c>
      <c r="T194" s="1">
        <f t="shared" si="0"/>
        <v>153.93333333333331</v>
      </c>
      <c r="U194" s="1">
        <f t="shared" si="0"/>
        <v>135.33333333333334</v>
      </c>
      <c r="V194" s="1">
        <f t="shared" si="0"/>
        <v>146.53333333333333</v>
      </c>
      <c r="W194" s="1">
        <f t="shared" si="0"/>
        <v>157.73333333333332</v>
      </c>
      <c r="X194" s="1">
        <f t="shared" si="0"/>
        <v>151.1</v>
      </c>
      <c r="Y194" s="1">
        <f t="shared" si="0"/>
        <v>147.15</v>
      </c>
      <c r="Z194" s="1">
        <f t="shared" si="0"/>
        <v>153.43333333333331</v>
      </c>
      <c r="AA194" s="1">
        <f>SUM(Table15[[#This Row],[Cereals and products]:[Food and beverages]])/13</f>
        <v>138.61153846153846</v>
      </c>
      <c r="AB194" s="1">
        <f>SUM(Table15[[#This Row],[Fuel and light]])</f>
        <v>145.35000000000002</v>
      </c>
      <c r="AC194" s="1">
        <f>SUM(Table15[[#This Row],[Transport and communication]])</f>
        <v>135.33333333333334</v>
      </c>
      <c r="AD194" s="1">
        <f>SUM(Table15[[#This Row],[Housing]],Table15[[#This Row],[Household goods and services]])/2</f>
        <v>148.86666666666667</v>
      </c>
      <c r="AE194" s="1">
        <f>SUM(Table15[[#This Row],[Health]])</f>
        <v>153.93333333333331</v>
      </c>
      <c r="AF194" s="1">
        <f>SUM(Table15[[#This Row],[Recreation and amusement]],Table15[[#This Row],[Education]])/2</f>
        <v>152.13333333333333</v>
      </c>
      <c r="AG194" s="1">
        <f>SUM(Table15[[#This Row],[Miscellaneous]],Table15[[#This Row],[Personal care and effects]])/2</f>
        <v>149.125</v>
      </c>
    </row>
    <row r="195" spans="1:33" x14ac:dyDescent="0.3">
      <c r="A195" t="s">
        <v>36</v>
      </c>
      <c r="B195">
        <v>2020</v>
      </c>
      <c r="C195" t="s">
        <v>47</v>
      </c>
      <c r="D195">
        <v>139.875</v>
      </c>
      <c r="E195">
        <v>157.19999999999999</v>
      </c>
      <c r="F195">
        <v>137.72499999999999</v>
      </c>
      <c r="G195">
        <v>142.4</v>
      </c>
      <c r="H195">
        <v>119.5</v>
      </c>
      <c r="I195">
        <v>148.9</v>
      </c>
      <c r="J195">
        <v>156.94999999999999</v>
      </c>
      <c r="K195">
        <v>124.5</v>
      </c>
      <c r="L195">
        <v>110.9</v>
      </c>
      <c r="M195">
        <v>140.72499999999999</v>
      </c>
      <c r="N195">
        <v>130.19999999999999</v>
      </c>
      <c r="O195">
        <v>154.80000000000001</v>
      </c>
      <c r="P195">
        <v>143.1</v>
      </c>
      <c r="Q195">
        <v>150.1</v>
      </c>
      <c r="R195" s="1">
        <f t="shared" si="0"/>
        <v>140.77500000000001</v>
      </c>
      <c r="S195" s="1">
        <f t="shared" si="0"/>
        <v>143.78888888888889</v>
      </c>
      <c r="T195" s="1">
        <f t="shared" si="0"/>
        <v>149.00555555555556</v>
      </c>
      <c r="U195" s="1">
        <f t="shared" si="0"/>
        <v>130.92222222222225</v>
      </c>
      <c r="V195" s="1">
        <f t="shared" si="0"/>
        <v>141.65555555555554</v>
      </c>
      <c r="W195" s="1">
        <f t="shared" si="0"/>
        <v>154.22222222222223</v>
      </c>
      <c r="X195" s="1">
        <f t="shared" si="0"/>
        <v>147.43333333333331</v>
      </c>
      <c r="Y195" s="1">
        <f t="shared" si="0"/>
        <v>142.85833333333332</v>
      </c>
      <c r="Z195" s="1">
        <f t="shared" si="0"/>
        <v>150.32222222222219</v>
      </c>
      <c r="AA195" s="1">
        <f>SUM(Table15[[#This Row],[Cereals and products]:[Food and beverages]])/13</f>
        <v>138.9826923076923</v>
      </c>
      <c r="AB195" s="1">
        <f>SUM(Table15[[#This Row],[Fuel and light]])</f>
        <v>140.77500000000001</v>
      </c>
      <c r="AC195" s="1">
        <f>SUM(Table15[[#This Row],[Transport and communication]])</f>
        <v>130.92222222222225</v>
      </c>
      <c r="AD195" s="1">
        <f>SUM(Table15[[#This Row],[Housing]],Table15[[#This Row],[Household goods and services]])/2</f>
        <v>146.94444444444446</v>
      </c>
      <c r="AE195" s="1">
        <f>SUM(Table15[[#This Row],[Health]])</f>
        <v>149.00555555555556</v>
      </c>
      <c r="AF195" s="1">
        <f>SUM(Table15[[#This Row],[Recreation and amusement]],Table15[[#This Row],[Education]])/2</f>
        <v>147.93888888888887</v>
      </c>
      <c r="AG195" s="1">
        <f>SUM(Table15[[#This Row],[Miscellaneous]],Table15[[#This Row],[Personal care and effects]])/2</f>
        <v>145.14583333333331</v>
      </c>
    </row>
    <row r="196" spans="1:33" x14ac:dyDescent="0.3">
      <c r="A196" t="s">
        <v>35</v>
      </c>
      <c r="B196">
        <v>2020</v>
      </c>
      <c r="C196" t="s">
        <v>47</v>
      </c>
      <c r="D196">
        <v>139.61250000000001</v>
      </c>
      <c r="E196">
        <v>157.4</v>
      </c>
      <c r="F196">
        <v>137.4375</v>
      </c>
      <c r="G196">
        <v>142.4</v>
      </c>
      <c r="H196">
        <v>119.9</v>
      </c>
      <c r="I196">
        <v>148.5</v>
      </c>
      <c r="J196">
        <v>154.625</v>
      </c>
      <c r="K196">
        <v>124.6</v>
      </c>
      <c r="L196">
        <v>110.7</v>
      </c>
      <c r="M196">
        <v>140.58750000000001</v>
      </c>
      <c r="N196">
        <v>130.80000000000001</v>
      </c>
      <c r="O196">
        <v>154.9</v>
      </c>
      <c r="P196">
        <v>142.69999999999999</v>
      </c>
      <c r="Q196">
        <v>150.1</v>
      </c>
      <c r="R196" s="1">
        <f t="shared" si="0"/>
        <v>138.77083333333334</v>
      </c>
      <c r="S196" s="1">
        <f t="shared" si="0"/>
        <v>141.58703703703705</v>
      </c>
      <c r="T196" s="1">
        <f t="shared" si="0"/>
        <v>145.08981481481482</v>
      </c>
      <c r="U196" s="1">
        <f t="shared" si="0"/>
        <v>128.29259259259263</v>
      </c>
      <c r="V196" s="1">
        <f t="shared" si="0"/>
        <v>138.7648148148148</v>
      </c>
      <c r="W196" s="1">
        <f t="shared" si="0"/>
        <v>151.59259259259261</v>
      </c>
      <c r="X196" s="1">
        <f t="shared" si="0"/>
        <v>143.33888888888887</v>
      </c>
      <c r="Y196" s="1">
        <f t="shared" si="0"/>
        <v>139.78472222222226</v>
      </c>
      <c r="Z196" s="1">
        <f t="shared" si="0"/>
        <v>147.50925925925924</v>
      </c>
      <c r="AA196" s="1">
        <f>SUM(Table15[[#This Row],[Cereals and products]:[Food and beverages]])/13</f>
        <v>138.78173076923079</v>
      </c>
      <c r="AB196" s="1">
        <f>SUM(Table15[[#This Row],[Fuel and light]])</f>
        <v>138.77083333333334</v>
      </c>
      <c r="AC196" s="1">
        <f>SUM(Table15[[#This Row],[Transport and communication]])</f>
        <v>128.29259259259263</v>
      </c>
      <c r="AD196" s="1">
        <f>SUM(Table15[[#This Row],[Housing]],Table15[[#This Row],[Household goods and services]])/2</f>
        <v>145.84351851851852</v>
      </c>
      <c r="AE196" s="1">
        <f>SUM(Table15[[#This Row],[Health]])</f>
        <v>145.08981481481482</v>
      </c>
      <c r="AF196" s="1">
        <f>SUM(Table15[[#This Row],[Recreation and amusement]],Table15[[#This Row],[Education]])/2</f>
        <v>145.17870370370372</v>
      </c>
      <c r="AG196" s="1">
        <f>SUM(Table15[[#This Row],[Miscellaneous]],Table15[[#This Row],[Personal care and effects]])/2</f>
        <v>141.56180555555557</v>
      </c>
    </row>
    <row r="197" spans="1:33" x14ac:dyDescent="0.3">
      <c r="A197" t="s">
        <v>33</v>
      </c>
      <c r="B197">
        <v>2020</v>
      </c>
      <c r="C197" t="s">
        <v>45</v>
      </c>
      <c r="D197">
        <v>145.4</v>
      </c>
      <c r="E197">
        <v>188.6</v>
      </c>
      <c r="F197">
        <v>171.6</v>
      </c>
      <c r="G197">
        <v>153.80000000000001</v>
      </c>
      <c r="H197">
        <v>145.4</v>
      </c>
      <c r="I197">
        <v>146.5</v>
      </c>
      <c r="J197">
        <v>222.2</v>
      </c>
      <c r="K197">
        <v>155.9</v>
      </c>
      <c r="L197">
        <v>114.9</v>
      </c>
      <c r="M197">
        <v>162</v>
      </c>
      <c r="N197">
        <v>150</v>
      </c>
      <c r="O197">
        <v>162.69999999999999</v>
      </c>
      <c r="P197">
        <v>163.4</v>
      </c>
      <c r="Q197">
        <v>153.5</v>
      </c>
      <c r="R197">
        <v>147.5</v>
      </c>
      <c r="S197">
        <v>152.80000000000001</v>
      </c>
      <c r="T197">
        <v>160.4</v>
      </c>
      <c r="U197">
        <v>146.1</v>
      </c>
      <c r="V197">
        <v>153.6</v>
      </c>
      <c r="W197">
        <v>161.6</v>
      </c>
      <c r="X197">
        <v>156.19999999999999</v>
      </c>
      <c r="Y197">
        <v>154.5</v>
      </c>
      <c r="Z197">
        <v>159.80000000000001</v>
      </c>
      <c r="AA197" s="1">
        <f>SUM(Table15[[#This Row],[Cereals and products]:[Food and beverages]])/13</f>
        <v>160.1846153846154</v>
      </c>
      <c r="AB197" s="1">
        <f>SUM(Table15[[#This Row],[Fuel and light]])</f>
        <v>147.5</v>
      </c>
      <c r="AC197" s="1">
        <f>SUM(Table15[[#This Row],[Transport and communication]])</f>
        <v>146.1</v>
      </c>
      <c r="AD197" s="1">
        <f>SUM(Table15[[#This Row],[Housing]],Table15[[#This Row],[Household goods and services]])/2</f>
        <v>153.15</v>
      </c>
      <c r="AE197" s="1">
        <f>SUM(Table15[[#This Row],[Health]])</f>
        <v>160.4</v>
      </c>
      <c r="AF197" s="1">
        <f>SUM(Table15[[#This Row],[Recreation and amusement]],Table15[[#This Row],[Education]])/2</f>
        <v>157.6</v>
      </c>
      <c r="AG197" s="1">
        <f>SUM(Table15[[#This Row],[Miscellaneous]],Table15[[#This Row],[Personal care and effects]])/2</f>
        <v>155.35</v>
      </c>
    </row>
    <row r="198" spans="1:33" x14ac:dyDescent="0.3">
      <c r="A198" t="s">
        <v>35</v>
      </c>
      <c r="B198">
        <v>2020</v>
      </c>
      <c r="C198" t="s">
        <v>45</v>
      </c>
      <c r="D198">
        <v>146.80000000000001</v>
      </c>
      <c r="E198">
        <v>191</v>
      </c>
      <c r="F198">
        <v>173.6</v>
      </c>
      <c r="G198">
        <v>153.80000000000001</v>
      </c>
      <c r="H198">
        <v>142.69999999999999</v>
      </c>
      <c r="I198">
        <v>148.4</v>
      </c>
      <c r="J198">
        <v>230</v>
      </c>
      <c r="K198">
        <v>156.80000000000001</v>
      </c>
      <c r="L198">
        <v>115.7</v>
      </c>
      <c r="M198">
        <v>161.80000000000001</v>
      </c>
      <c r="N198">
        <v>146.5</v>
      </c>
      <c r="O198">
        <v>163.80000000000001</v>
      </c>
      <c r="P198">
        <v>164.7</v>
      </c>
      <c r="Q198">
        <v>158</v>
      </c>
      <c r="R198">
        <v>143.6</v>
      </c>
      <c r="S198">
        <v>149.19999999999999</v>
      </c>
      <c r="T198">
        <v>157.19999999999999</v>
      </c>
      <c r="U198">
        <v>140.4</v>
      </c>
      <c r="V198">
        <v>148.4</v>
      </c>
      <c r="W198">
        <v>158.6</v>
      </c>
      <c r="X198">
        <v>156.9</v>
      </c>
      <c r="Y198">
        <v>150.69999999999999</v>
      </c>
      <c r="Z198">
        <v>158.4</v>
      </c>
      <c r="AA198" s="1">
        <f>SUM(Table15[[#This Row],[Cereals and products]:[Food and beverages]])/13</f>
        <v>161.19999999999999</v>
      </c>
      <c r="AB198" s="1">
        <f>SUM(Table15[[#This Row],[Fuel and light]])</f>
        <v>143.6</v>
      </c>
      <c r="AC198" s="1">
        <f>SUM(Table15[[#This Row],[Transport and communication]])</f>
        <v>140.4</v>
      </c>
      <c r="AD198" s="1">
        <f>SUM(Table15[[#This Row],[Housing]],Table15[[#This Row],[Household goods and services]])/2</f>
        <v>153.6</v>
      </c>
      <c r="AE198" s="1">
        <f>SUM(Table15[[#This Row],[Health]])</f>
        <v>157.19999999999999</v>
      </c>
      <c r="AF198" s="1">
        <f>SUM(Table15[[#This Row],[Recreation and amusement]],Table15[[#This Row],[Education]])/2</f>
        <v>153.5</v>
      </c>
      <c r="AG198" s="1">
        <f>SUM(Table15[[#This Row],[Miscellaneous]],Table15[[#This Row],[Personal care and effects]])/2</f>
        <v>153.80000000000001</v>
      </c>
    </row>
    <row r="199" spans="1:33" x14ac:dyDescent="0.3">
      <c r="A199" t="s">
        <v>36</v>
      </c>
      <c r="B199">
        <v>2020</v>
      </c>
      <c r="C199" t="s">
        <v>45</v>
      </c>
      <c r="D199">
        <v>149.69999999999999</v>
      </c>
      <c r="E199">
        <v>195.5</v>
      </c>
      <c r="F199">
        <v>176.9</v>
      </c>
      <c r="G199">
        <v>153.9</v>
      </c>
      <c r="H199">
        <v>138</v>
      </c>
      <c r="I199">
        <v>150.5</v>
      </c>
      <c r="J199">
        <v>245.3</v>
      </c>
      <c r="K199">
        <v>158.69999999999999</v>
      </c>
      <c r="L199">
        <v>117.2</v>
      </c>
      <c r="M199">
        <v>161.4</v>
      </c>
      <c r="N199">
        <v>141.5</v>
      </c>
      <c r="O199">
        <v>165.1</v>
      </c>
      <c r="P199">
        <v>167</v>
      </c>
      <c r="Q199">
        <v>158</v>
      </c>
      <c r="R199">
        <v>137.30000000000001</v>
      </c>
      <c r="S199">
        <v>145.1</v>
      </c>
      <c r="T199">
        <v>152</v>
      </c>
      <c r="U199">
        <v>135.19999999999999</v>
      </c>
      <c r="V199">
        <v>144.4</v>
      </c>
      <c r="W199">
        <v>156.4</v>
      </c>
      <c r="X199">
        <v>157.9</v>
      </c>
      <c r="Y199">
        <v>146.6</v>
      </c>
      <c r="Z199">
        <v>156.69999999999999</v>
      </c>
      <c r="AA199" s="1">
        <f>SUM(Table15[[#This Row],[Cereals and products]:[Food and beverages]])/13</f>
        <v>163.1307692307692</v>
      </c>
      <c r="AB199" s="1">
        <f>SUM(Table15[[#This Row],[Fuel and light]])</f>
        <v>137.30000000000001</v>
      </c>
      <c r="AC199" s="1">
        <f>SUM(Table15[[#This Row],[Transport and communication]])</f>
        <v>135.19999999999999</v>
      </c>
      <c r="AD199" s="1">
        <f>SUM(Table15[[#This Row],[Housing]],Table15[[#This Row],[Household goods and services]])/2</f>
        <v>151.55000000000001</v>
      </c>
      <c r="AE199" s="1">
        <f>SUM(Table15[[#This Row],[Health]])</f>
        <v>152</v>
      </c>
      <c r="AF199" s="1">
        <f>SUM(Table15[[#This Row],[Recreation and amusement]],Table15[[#This Row],[Education]])/2</f>
        <v>150.4</v>
      </c>
      <c r="AG199" s="1">
        <f>SUM(Table15[[#This Row],[Miscellaneous]],Table15[[#This Row],[Personal care and effects]])/2</f>
        <v>152.25</v>
      </c>
    </row>
    <row r="200" spans="1:33" x14ac:dyDescent="0.3">
      <c r="A200" t="s">
        <v>36</v>
      </c>
      <c r="B200">
        <v>2018</v>
      </c>
      <c r="C200" t="s">
        <v>42</v>
      </c>
      <c r="D200">
        <v>135.6</v>
      </c>
      <c r="E200">
        <v>148.6</v>
      </c>
      <c r="F200">
        <v>139.1</v>
      </c>
      <c r="G200">
        <v>141</v>
      </c>
      <c r="H200">
        <v>116.7</v>
      </c>
      <c r="I200">
        <v>149.69999999999999</v>
      </c>
      <c r="J200">
        <v>159.19999999999999</v>
      </c>
      <c r="K200">
        <v>112.6</v>
      </c>
      <c r="L200">
        <v>111.8</v>
      </c>
      <c r="M200">
        <v>140.30000000000001</v>
      </c>
      <c r="N200">
        <v>126.8</v>
      </c>
      <c r="O200">
        <v>149.4</v>
      </c>
      <c r="P200">
        <v>140.30000000000001</v>
      </c>
      <c r="Q200">
        <v>143.6</v>
      </c>
      <c r="R200">
        <v>128.1</v>
      </c>
      <c r="S200">
        <v>133.6</v>
      </c>
      <c r="T200">
        <v>133.6</v>
      </c>
      <c r="U200">
        <v>120.1</v>
      </c>
      <c r="V200">
        <v>129</v>
      </c>
      <c r="W200">
        <v>144</v>
      </c>
      <c r="X200">
        <v>128.19999999999999</v>
      </c>
      <c r="Y200">
        <v>130.19999999999999</v>
      </c>
      <c r="Z200">
        <v>137.5</v>
      </c>
      <c r="AA200" s="1">
        <f>SUM(Table15[[#This Row],[Cereals and products]:[Food and beverages]])/13</f>
        <v>136.23846153846154</v>
      </c>
      <c r="AB200" s="1">
        <f>SUM(Table15[[#This Row],[Fuel and light]])</f>
        <v>128.1</v>
      </c>
      <c r="AC200" s="1">
        <f>SUM(Table15[[#This Row],[Transport and communication]])</f>
        <v>120.1</v>
      </c>
      <c r="AD200" s="1">
        <f>SUM(Table15[[#This Row],[Housing]],Table15[[#This Row],[Household goods and services]])/2</f>
        <v>138.6</v>
      </c>
      <c r="AE200" s="1">
        <f>SUM(Table15[[#This Row],[Health]])</f>
        <v>133.6</v>
      </c>
      <c r="AF200" s="1">
        <f>SUM(Table15[[#This Row],[Recreation and amusement]],Table15[[#This Row],[Education]])/2</f>
        <v>136.5</v>
      </c>
      <c r="AG200" s="1">
        <f>SUM(Table15[[#This Row],[Miscellaneous]],Table15[[#This Row],[Personal care and effects]])/2</f>
        <v>129.19999999999999</v>
      </c>
    </row>
    <row r="201" spans="1:33" x14ac:dyDescent="0.3">
      <c r="A201" t="s">
        <v>35</v>
      </c>
      <c r="B201">
        <v>2018</v>
      </c>
      <c r="C201" t="s">
        <v>42</v>
      </c>
      <c r="D201">
        <v>137.5</v>
      </c>
      <c r="E201">
        <v>149.1</v>
      </c>
      <c r="F201">
        <v>139.19999999999999</v>
      </c>
      <c r="G201">
        <v>142.5</v>
      </c>
      <c r="H201">
        <v>121.4</v>
      </c>
      <c r="I201">
        <v>151.6</v>
      </c>
      <c r="J201">
        <v>155.9</v>
      </c>
      <c r="K201">
        <v>121.7</v>
      </c>
      <c r="L201">
        <v>113.5</v>
      </c>
      <c r="M201">
        <v>138.9</v>
      </c>
      <c r="N201">
        <v>130.30000000000001</v>
      </c>
      <c r="O201">
        <v>152.30000000000001</v>
      </c>
      <c r="P201">
        <v>141.4</v>
      </c>
      <c r="Q201">
        <v>143.6</v>
      </c>
      <c r="R201">
        <v>139.69999999999999</v>
      </c>
      <c r="S201">
        <v>138.6</v>
      </c>
      <c r="T201">
        <v>137</v>
      </c>
      <c r="U201">
        <v>123.6</v>
      </c>
      <c r="V201">
        <v>133.1</v>
      </c>
      <c r="W201">
        <v>144.69999999999999</v>
      </c>
      <c r="X201">
        <v>130.1</v>
      </c>
      <c r="Y201">
        <v>133.19999999999999</v>
      </c>
      <c r="Z201">
        <v>139.80000000000001</v>
      </c>
      <c r="AA201" s="1">
        <f>SUM(Table15[[#This Row],[Cereals and products]:[Food and beverages]])/13</f>
        <v>138.1</v>
      </c>
      <c r="AB201" s="1">
        <f>SUM(Table15[[#This Row],[Fuel and light]])</f>
        <v>139.69999999999999</v>
      </c>
      <c r="AC201" s="1">
        <f>SUM(Table15[[#This Row],[Transport and communication]])</f>
        <v>123.6</v>
      </c>
      <c r="AD201" s="1">
        <f>SUM(Table15[[#This Row],[Housing]],Table15[[#This Row],[Household goods and services]])/2</f>
        <v>141.1</v>
      </c>
      <c r="AE201" s="1">
        <f>SUM(Table15[[#This Row],[Health]])</f>
        <v>137</v>
      </c>
      <c r="AF201" s="1">
        <f>SUM(Table15[[#This Row],[Recreation and amusement]],Table15[[#This Row],[Education]])/2</f>
        <v>138.89999999999998</v>
      </c>
      <c r="AG201" s="1">
        <f>SUM(Table15[[#This Row],[Miscellaneous]],Table15[[#This Row],[Personal care and effects]])/2</f>
        <v>131.64999999999998</v>
      </c>
    </row>
    <row r="202" spans="1:33" x14ac:dyDescent="0.3">
      <c r="A202" t="s">
        <v>33</v>
      </c>
      <c r="B202">
        <v>2018</v>
      </c>
      <c r="C202" t="s">
        <v>42</v>
      </c>
      <c r="D202">
        <v>138.4</v>
      </c>
      <c r="E202">
        <v>149.30000000000001</v>
      </c>
      <c r="F202">
        <v>139.30000000000001</v>
      </c>
      <c r="G202">
        <v>143.4</v>
      </c>
      <c r="H202">
        <v>124.1</v>
      </c>
      <c r="I202">
        <v>153.30000000000001</v>
      </c>
      <c r="J202">
        <v>154.19999999999999</v>
      </c>
      <c r="K202">
        <v>126.4</v>
      </c>
      <c r="L202">
        <v>114.3</v>
      </c>
      <c r="M202">
        <v>138.19999999999999</v>
      </c>
      <c r="N202">
        <v>132.80000000000001</v>
      </c>
      <c r="O202">
        <v>154.80000000000001</v>
      </c>
      <c r="P202">
        <v>142</v>
      </c>
      <c r="Q202">
        <f>AVERAGE(Q200:Q201)</f>
        <v>143.6</v>
      </c>
      <c r="R202">
        <v>146.80000000000001</v>
      </c>
      <c r="S202">
        <v>143.1</v>
      </c>
      <c r="T202">
        <v>139</v>
      </c>
      <c r="U202">
        <v>127.5</v>
      </c>
      <c r="V202">
        <v>138.4</v>
      </c>
      <c r="W202">
        <v>145.80000000000001</v>
      </c>
      <c r="X202">
        <v>131.4</v>
      </c>
      <c r="Y202">
        <v>136</v>
      </c>
      <c r="Z202">
        <v>141.80000000000001</v>
      </c>
      <c r="AA202" s="1">
        <f>SUM(Table15[[#This Row],[Cereals and products]:[Food and beverages]])/13</f>
        <v>139.26923076923077</v>
      </c>
      <c r="AB202" s="1">
        <f>SUM(Table15[[#This Row],[Fuel and light]])</f>
        <v>146.80000000000001</v>
      </c>
      <c r="AC202" s="1">
        <f>SUM(Table15[[#This Row],[Transport and communication]])</f>
        <v>127.5</v>
      </c>
      <c r="AD202" s="1">
        <f>SUM(Table15[[#This Row],[Housing]],Table15[[#This Row],[Household goods and services]])/2</f>
        <v>143.35</v>
      </c>
      <c r="AE202" s="1">
        <f>SUM(Table15[[#This Row],[Health]])</f>
        <v>139</v>
      </c>
      <c r="AF202" s="1">
        <f>SUM(Table15[[#This Row],[Recreation and amusement]],Table15[[#This Row],[Education]])/2</f>
        <v>142.10000000000002</v>
      </c>
      <c r="AG202" s="1">
        <f>SUM(Table15[[#This Row],[Miscellaneous]],Table15[[#This Row],[Personal care and effects]])/2</f>
        <v>133.69999999999999</v>
      </c>
    </row>
    <row r="203" spans="1:33" x14ac:dyDescent="0.3">
      <c r="A203" t="s">
        <v>36</v>
      </c>
      <c r="B203">
        <v>2017</v>
      </c>
      <c r="C203" t="s">
        <v>42</v>
      </c>
      <c r="D203">
        <v>132.80000000000001</v>
      </c>
      <c r="E203">
        <v>148.4</v>
      </c>
      <c r="F203">
        <v>129.4</v>
      </c>
      <c r="G203">
        <v>137.69999999999999</v>
      </c>
      <c r="H203">
        <v>113.4</v>
      </c>
      <c r="I203">
        <v>139.4</v>
      </c>
      <c r="J203">
        <v>175.1</v>
      </c>
      <c r="K203">
        <v>124.7</v>
      </c>
      <c r="L203">
        <v>121.5</v>
      </c>
      <c r="M203">
        <v>137.80000000000001</v>
      </c>
      <c r="N203">
        <v>124.4</v>
      </c>
      <c r="O203">
        <v>143.69999999999999</v>
      </c>
      <c r="P203">
        <v>139.80000000000001</v>
      </c>
      <c r="Q203">
        <v>132.6</v>
      </c>
      <c r="R203">
        <v>119.7</v>
      </c>
      <c r="S203">
        <v>127.2</v>
      </c>
      <c r="T203">
        <v>125</v>
      </c>
      <c r="U203">
        <v>113.2</v>
      </c>
      <c r="V203">
        <v>123.5</v>
      </c>
      <c r="W203">
        <v>135.5</v>
      </c>
      <c r="X203">
        <v>122.4</v>
      </c>
      <c r="Y203">
        <v>123</v>
      </c>
      <c r="Z203">
        <v>131.80000000000001</v>
      </c>
      <c r="AA203" s="1">
        <f>SUM(Table15[[#This Row],[Cereals and products]:[Food and beverages]])/13</f>
        <v>136.00769230769231</v>
      </c>
      <c r="AB203" s="1">
        <f>SUM(Table15[[#This Row],[Fuel and light]])</f>
        <v>119.7</v>
      </c>
      <c r="AC203" s="1">
        <f>SUM(Table15[[#This Row],[Transport and communication]])</f>
        <v>113.2</v>
      </c>
      <c r="AD203" s="1">
        <f>SUM(Table15[[#This Row],[Housing]],Table15[[#This Row],[Household goods and services]])/2</f>
        <v>129.9</v>
      </c>
      <c r="AE203" s="1">
        <f>SUM(Table15[[#This Row],[Health]])</f>
        <v>125</v>
      </c>
      <c r="AF203" s="1">
        <f>SUM(Table15[[#This Row],[Recreation and amusement]],Table15[[#This Row],[Education]])/2</f>
        <v>129.5</v>
      </c>
      <c r="AG203" s="1">
        <f>SUM(Table15[[#This Row],[Miscellaneous]],Table15[[#This Row],[Personal care and effects]])/2</f>
        <v>122.7</v>
      </c>
    </row>
    <row r="204" spans="1:33" x14ac:dyDescent="0.3">
      <c r="A204" t="s">
        <v>35</v>
      </c>
      <c r="B204">
        <v>2017</v>
      </c>
      <c r="C204" t="s">
        <v>42</v>
      </c>
      <c r="D204">
        <v>133.6</v>
      </c>
      <c r="E204">
        <v>145.69999999999999</v>
      </c>
      <c r="F204">
        <v>129.6</v>
      </c>
      <c r="G204">
        <v>138.5</v>
      </c>
      <c r="H204">
        <v>118.1</v>
      </c>
      <c r="I204">
        <v>141.80000000000001</v>
      </c>
      <c r="J204">
        <v>159.5</v>
      </c>
      <c r="K204">
        <v>133.6</v>
      </c>
      <c r="L204">
        <v>120.5</v>
      </c>
      <c r="M204">
        <v>135.19999999999999</v>
      </c>
      <c r="N204">
        <v>128.5</v>
      </c>
      <c r="O204">
        <v>145.80000000000001</v>
      </c>
      <c r="P204">
        <v>139</v>
      </c>
      <c r="Q204">
        <v>132.6</v>
      </c>
      <c r="R204">
        <v>129.4</v>
      </c>
      <c r="S204">
        <v>131.9</v>
      </c>
      <c r="T204">
        <v>129.4</v>
      </c>
      <c r="U204">
        <v>116</v>
      </c>
      <c r="V204">
        <v>126.6</v>
      </c>
      <c r="W204">
        <v>136.80000000000001</v>
      </c>
      <c r="X204">
        <v>123.6</v>
      </c>
      <c r="Y204">
        <v>125.9</v>
      </c>
      <c r="Z204">
        <v>134.19999999999999</v>
      </c>
      <c r="AA204" s="1">
        <f>SUM(Table15[[#This Row],[Cereals and products]:[Food and beverages]])/13</f>
        <v>136.1076923076923</v>
      </c>
      <c r="AB204" s="1">
        <f>SUM(Table15[[#This Row],[Fuel and light]])</f>
        <v>129.4</v>
      </c>
      <c r="AC204" s="1">
        <f>SUM(Table15[[#This Row],[Transport and communication]])</f>
        <v>116</v>
      </c>
      <c r="AD204" s="1">
        <f>SUM(Table15[[#This Row],[Housing]],Table15[[#This Row],[Household goods and services]])/2</f>
        <v>132.25</v>
      </c>
      <c r="AE204" s="1">
        <f>SUM(Table15[[#This Row],[Health]])</f>
        <v>129.4</v>
      </c>
      <c r="AF204" s="1">
        <f>SUM(Table15[[#This Row],[Recreation and amusement]],Table15[[#This Row],[Education]])/2</f>
        <v>131.69999999999999</v>
      </c>
      <c r="AG204" s="1">
        <f>SUM(Table15[[#This Row],[Miscellaneous]],Table15[[#This Row],[Personal care and effects]])/2</f>
        <v>124.75</v>
      </c>
    </row>
    <row r="205" spans="1:33" x14ac:dyDescent="0.3">
      <c r="A205" t="s">
        <v>33</v>
      </c>
      <c r="B205">
        <v>2017</v>
      </c>
      <c r="C205" t="s">
        <v>42</v>
      </c>
      <c r="D205">
        <v>134</v>
      </c>
      <c r="E205">
        <v>144.19999999999999</v>
      </c>
      <c r="F205">
        <v>129.80000000000001</v>
      </c>
      <c r="G205">
        <v>139</v>
      </c>
      <c r="H205">
        <v>120.9</v>
      </c>
      <c r="I205">
        <v>143.9</v>
      </c>
      <c r="J205">
        <v>151.5</v>
      </c>
      <c r="K205">
        <v>138.1</v>
      </c>
      <c r="L205">
        <v>120</v>
      </c>
      <c r="M205">
        <v>133.9</v>
      </c>
      <c r="N205">
        <v>131.4</v>
      </c>
      <c r="O205">
        <v>147.69999999999999</v>
      </c>
      <c r="P205">
        <v>138.5</v>
      </c>
      <c r="Q205">
        <f>AVERAGE(Q203:Q204)</f>
        <v>132.6</v>
      </c>
      <c r="R205">
        <v>135.30000000000001</v>
      </c>
      <c r="S205">
        <v>136.1</v>
      </c>
      <c r="T205">
        <v>132.1</v>
      </c>
      <c r="U205">
        <v>119.1</v>
      </c>
      <c r="V205">
        <v>130.6</v>
      </c>
      <c r="W205">
        <v>138.6</v>
      </c>
      <c r="X205">
        <v>124.4</v>
      </c>
      <c r="Y205">
        <v>128.6</v>
      </c>
      <c r="Z205">
        <v>136.19999999999999</v>
      </c>
      <c r="AA205" s="1">
        <f>SUM(Table15[[#This Row],[Cereals and products]:[Food and beverages]])/13</f>
        <v>136.37692307692308</v>
      </c>
      <c r="AB205" s="1">
        <f>SUM(Table15[[#This Row],[Fuel and light]])</f>
        <v>135.30000000000001</v>
      </c>
      <c r="AC205" s="1">
        <f>SUM(Table15[[#This Row],[Transport and communication]])</f>
        <v>119.1</v>
      </c>
      <c r="AD205" s="1">
        <f>SUM(Table15[[#This Row],[Housing]],Table15[[#This Row],[Household goods and services]])/2</f>
        <v>134.35</v>
      </c>
      <c r="AE205" s="1">
        <f>SUM(Table15[[#This Row],[Health]])</f>
        <v>132.1</v>
      </c>
      <c r="AF205" s="1">
        <f>SUM(Table15[[#This Row],[Recreation and amusement]],Table15[[#This Row],[Education]])/2</f>
        <v>134.6</v>
      </c>
      <c r="AG205" s="1">
        <f>SUM(Table15[[#This Row],[Miscellaneous]],Table15[[#This Row],[Personal care and effects]])/2</f>
        <v>126.5</v>
      </c>
    </row>
    <row r="206" spans="1:33" x14ac:dyDescent="0.3">
      <c r="A206" t="s">
        <v>36</v>
      </c>
      <c r="B206">
        <v>2016</v>
      </c>
      <c r="C206" t="s">
        <v>42</v>
      </c>
      <c r="D206">
        <v>126.8</v>
      </c>
      <c r="E206">
        <v>144.19999999999999</v>
      </c>
      <c r="F206">
        <v>136.6</v>
      </c>
      <c r="G206">
        <v>131.80000000000001</v>
      </c>
      <c r="H206">
        <v>111</v>
      </c>
      <c r="I206">
        <v>137</v>
      </c>
      <c r="J206">
        <v>179.5</v>
      </c>
      <c r="K206">
        <v>188.4</v>
      </c>
      <c r="L206">
        <v>113.3</v>
      </c>
      <c r="M206">
        <v>143.9</v>
      </c>
      <c r="N206">
        <v>121.7</v>
      </c>
      <c r="O206">
        <v>137.5</v>
      </c>
      <c r="P206">
        <v>139.80000000000001</v>
      </c>
      <c r="Q206">
        <v>126.4</v>
      </c>
      <c r="R206">
        <v>115.5</v>
      </c>
      <c r="S206">
        <v>123.5</v>
      </c>
      <c r="T206">
        <v>120.9</v>
      </c>
      <c r="U206">
        <v>111.7</v>
      </c>
      <c r="V206">
        <v>120.3</v>
      </c>
      <c r="W206">
        <v>130.80000000000001</v>
      </c>
      <c r="X206">
        <v>120</v>
      </c>
      <c r="Y206">
        <v>119.9</v>
      </c>
      <c r="Z206">
        <v>129</v>
      </c>
      <c r="AA206" s="1">
        <f>SUM(Table15[[#This Row],[Cereals and products]:[Food and beverages]])/13</f>
        <v>139.34615384615387</v>
      </c>
      <c r="AB206" s="1">
        <f>SUM(Table15[[#This Row],[Fuel and light]])</f>
        <v>115.5</v>
      </c>
      <c r="AC206" s="1">
        <f>SUM(Table15[[#This Row],[Transport and communication]])</f>
        <v>111.7</v>
      </c>
      <c r="AD206" s="1">
        <f>SUM(Table15[[#This Row],[Housing]],Table15[[#This Row],[Household goods and services]])/2</f>
        <v>124.95</v>
      </c>
      <c r="AE206" s="1">
        <f>SUM(Table15[[#This Row],[Health]])</f>
        <v>120.9</v>
      </c>
      <c r="AF206" s="1">
        <f>SUM(Table15[[#This Row],[Recreation and amusement]],Table15[[#This Row],[Education]])/2</f>
        <v>125.55000000000001</v>
      </c>
      <c r="AG206" s="1">
        <f>SUM(Table15[[#This Row],[Miscellaneous]],Table15[[#This Row],[Personal care and effects]])/2</f>
        <v>119.95</v>
      </c>
    </row>
    <row r="207" spans="1:33" x14ac:dyDescent="0.3">
      <c r="A207" t="s">
        <v>35</v>
      </c>
      <c r="B207">
        <v>2016</v>
      </c>
      <c r="C207" t="s">
        <v>42</v>
      </c>
      <c r="D207">
        <v>128.5</v>
      </c>
      <c r="E207">
        <v>141.19999999999999</v>
      </c>
      <c r="F207">
        <v>132.30000000000001</v>
      </c>
      <c r="G207">
        <v>133.5</v>
      </c>
      <c r="H207">
        <v>116.4</v>
      </c>
      <c r="I207">
        <v>137.80000000000001</v>
      </c>
      <c r="J207">
        <v>165.4</v>
      </c>
      <c r="K207">
        <v>177.4</v>
      </c>
      <c r="L207">
        <v>111.3</v>
      </c>
      <c r="M207">
        <v>137.5</v>
      </c>
      <c r="N207">
        <v>125</v>
      </c>
      <c r="O207">
        <v>138.80000000000001</v>
      </c>
      <c r="P207">
        <v>138.4</v>
      </c>
      <c r="Q207">
        <v>126.4</v>
      </c>
      <c r="R207">
        <v>123.4</v>
      </c>
      <c r="S207">
        <v>126.9</v>
      </c>
      <c r="T207">
        <v>124.5</v>
      </c>
      <c r="U207">
        <v>113.9</v>
      </c>
      <c r="V207">
        <v>122.4</v>
      </c>
      <c r="W207">
        <v>130.80000000000001</v>
      </c>
      <c r="X207">
        <v>120.5</v>
      </c>
      <c r="Y207">
        <v>121.9</v>
      </c>
      <c r="Z207">
        <v>131.1</v>
      </c>
      <c r="AA207" s="1">
        <f>SUM(Table15[[#This Row],[Cereals and products]:[Food and beverages]])/13</f>
        <v>137.19230769230768</v>
      </c>
      <c r="AB207" s="1">
        <f>SUM(Table15[[#This Row],[Fuel and light]])</f>
        <v>123.4</v>
      </c>
      <c r="AC207" s="1">
        <f>SUM(Table15[[#This Row],[Transport and communication]])</f>
        <v>113.9</v>
      </c>
      <c r="AD207" s="1">
        <f>SUM(Table15[[#This Row],[Housing]],Table15[[#This Row],[Household goods and services]])/2</f>
        <v>126.65</v>
      </c>
      <c r="AE207" s="1">
        <f>SUM(Table15[[#This Row],[Health]])</f>
        <v>124.5</v>
      </c>
      <c r="AF207" s="1">
        <f>SUM(Table15[[#This Row],[Recreation and amusement]],Table15[[#This Row],[Education]])/2</f>
        <v>126.60000000000001</v>
      </c>
      <c r="AG207" s="1">
        <f>SUM(Table15[[#This Row],[Miscellaneous]],Table15[[#This Row],[Personal care and effects]])/2</f>
        <v>121.2</v>
      </c>
    </row>
    <row r="208" spans="1:33" x14ac:dyDescent="0.3">
      <c r="A208" t="s">
        <v>33</v>
      </c>
      <c r="B208">
        <v>2016</v>
      </c>
      <c r="C208" t="s">
        <v>42</v>
      </c>
      <c r="D208">
        <v>129.30000000000001</v>
      </c>
      <c r="E208">
        <v>139.5</v>
      </c>
      <c r="F208">
        <v>129.6</v>
      </c>
      <c r="G208">
        <v>134.5</v>
      </c>
      <c r="H208">
        <v>119.5</v>
      </c>
      <c r="I208">
        <v>138.5</v>
      </c>
      <c r="J208">
        <v>158.19999999999999</v>
      </c>
      <c r="K208">
        <v>171.8</v>
      </c>
      <c r="L208">
        <v>110.3</v>
      </c>
      <c r="M208">
        <v>134.30000000000001</v>
      </c>
      <c r="N208">
        <v>127.3</v>
      </c>
      <c r="O208">
        <v>139.9</v>
      </c>
      <c r="P208">
        <v>137.6</v>
      </c>
      <c r="Q208">
        <f>AVERAGE(Q206:Q207)</f>
        <v>126.4</v>
      </c>
      <c r="R208">
        <v>128.19999999999999</v>
      </c>
      <c r="S208">
        <v>130</v>
      </c>
      <c r="T208">
        <v>126.7</v>
      </c>
      <c r="U208">
        <v>116.4</v>
      </c>
      <c r="V208">
        <v>125.2</v>
      </c>
      <c r="W208">
        <v>130.80000000000001</v>
      </c>
      <c r="X208">
        <v>120.9</v>
      </c>
      <c r="Y208">
        <v>123.8</v>
      </c>
      <c r="Z208">
        <v>133</v>
      </c>
      <c r="AA208" s="1">
        <f>SUM(Table15[[#This Row],[Cereals and products]:[Food and beverages]])/13</f>
        <v>136.17692307692306</v>
      </c>
      <c r="AB208" s="1">
        <f>SUM(Table15[[#This Row],[Fuel and light]])</f>
        <v>128.19999999999999</v>
      </c>
      <c r="AC208" s="1">
        <f>SUM(Table15[[#This Row],[Transport and communication]])</f>
        <v>116.4</v>
      </c>
      <c r="AD208" s="1">
        <f>SUM(Table15[[#This Row],[Housing]],Table15[[#This Row],[Household goods and services]])/2</f>
        <v>128.19999999999999</v>
      </c>
      <c r="AE208" s="1">
        <f>SUM(Table15[[#This Row],[Health]])</f>
        <v>126.7</v>
      </c>
      <c r="AF208" s="1">
        <f>SUM(Table15[[#This Row],[Recreation and amusement]],Table15[[#This Row],[Education]])/2</f>
        <v>128</v>
      </c>
      <c r="AG208" s="1">
        <f>SUM(Table15[[#This Row],[Miscellaneous]],Table15[[#This Row],[Personal care and effects]])/2</f>
        <v>122.35</v>
      </c>
    </row>
    <row r="209" spans="1:33" x14ac:dyDescent="0.3">
      <c r="A209" t="s">
        <v>36</v>
      </c>
      <c r="B209">
        <v>2015</v>
      </c>
      <c r="C209" t="s">
        <v>42</v>
      </c>
      <c r="D209">
        <v>123.2</v>
      </c>
      <c r="E209">
        <v>134.30000000000001</v>
      </c>
      <c r="F209">
        <v>119.5</v>
      </c>
      <c r="G209">
        <v>127.7</v>
      </c>
      <c r="H209">
        <v>106.3</v>
      </c>
      <c r="I209">
        <v>132.80000000000001</v>
      </c>
      <c r="J209">
        <v>153.5</v>
      </c>
      <c r="K209">
        <v>149.5</v>
      </c>
      <c r="L209">
        <v>85.7</v>
      </c>
      <c r="M209">
        <v>131.5</v>
      </c>
      <c r="N209">
        <v>118.3</v>
      </c>
      <c r="O209">
        <v>131.1</v>
      </c>
      <c r="P209">
        <v>129.5</v>
      </c>
      <c r="Q209">
        <v>119.9</v>
      </c>
      <c r="R209">
        <v>115.3</v>
      </c>
      <c r="S209">
        <v>119.5</v>
      </c>
      <c r="T209">
        <v>116</v>
      </c>
      <c r="U209">
        <v>111.5</v>
      </c>
      <c r="V209">
        <v>116.6</v>
      </c>
      <c r="W209">
        <v>125.4</v>
      </c>
      <c r="X209">
        <v>111.7</v>
      </c>
      <c r="Y209">
        <v>116.3</v>
      </c>
      <c r="Z209">
        <v>122.4</v>
      </c>
      <c r="AA209" s="1">
        <f>SUM(Table15[[#This Row],[Cereals and products]:[Food and beverages]])/13</f>
        <v>126.37692307692306</v>
      </c>
      <c r="AB209" s="1">
        <f>SUM(Table15[[#This Row],[Fuel and light]])</f>
        <v>115.3</v>
      </c>
      <c r="AC209" s="1">
        <f>SUM(Table15[[#This Row],[Transport and communication]])</f>
        <v>111.5</v>
      </c>
      <c r="AD209" s="1">
        <f>SUM(Table15[[#This Row],[Housing]],Table15[[#This Row],[Household goods and services]])/2</f>
        <v>119.7</v>
      </c>
      <c r="AE209" s="1">
        <f>SUM(Table15[[#This Row],[Health]])</f>
        <v>116</v>
      </c>
      <c r="AF209" s="1">
        <f>SUM(Table15[[#This Row],[Recreation and amusement]],Table15[[#This Row],[Education]])/2</f>
        <v>121</v>
      </c>
      <c r="AG209" s="1">
        <f>SUM(Table15[[#This Row],[Miscellaneous]],Table15[[#This Row],[Personal care and effects]])/2</f>
        <v>114</v>
      </c>
    </row>
    <row r="210" spans="1:33" x14ac:dyDescent="0.3">
      <c r="A210" t="s">
        <v>35</v>
      </c>
      <c r="B210">
        <v>2015</v>
      </c>
      <c r="C210" t="s">
        <v>42</v>
      </c>
      <c r="D210">
        <v>123.7</v>
      </c>
      <c r="E210">
        <v>132.5</v>
      </c>
      <c r="F210">
        <v>121</v>
      </c>
      <c r="G210">
        <v>128.30000000000001</v>
      </c>
      <c r="H210">
        <v>110.9</v>
      </c>
      <c r="I210">
        <v>133.1</v>
      </c>
      <c r="J210">
        <v>145.1</v>
      </c>
      <c r="K210">
        <v>139.1</v>
      </c>
      <c r="L210">
        <v>91.3</v>
      </c>
      <c r="M210">
        <v>126.1</v>
      </c>
      <c r="N210">
        <v>119.9</v>
      </c>
      <c r="O210">
        <v>131.4</v>
      </c>
      <c r="P210">
        <v>128.19999999999999</v>
      </c>
      <c r="Q210">
        <v>119.9</v>
      </c>
      <c r="R210">
        <v>120.1</v>
      </c>
      <c r="S210">
        <v>121.3</v>
      </c>
      <c r="T210">
        <v>119</v>
      </c>
      <c r="U210">
        <v>112.7</v>
      </c>
      <c r="V210">
        <v>117.2</v>
      </c>
      <c r="W210">
        <v>124.4</v>
      </c>
      <c r="X210">
        <v>112.3</v>
      </c>
      <c r="Y210">
        <v>117.2</v>
      </c>
      <c r="Z210">
        <v>123.6</v>
      </c>
      <c r="AA210" s="1">
        <f>SUM(Table15[[#This Row],[Cereals and products]:[Food and beverages]])/13</f>
        <v>125.43076923076924</v>
      </c>
      <c r="AB210" s="1">
        <f>SUM(Table15[[#This Row],[Fuel and light]])</f>
        <v>120.1</v>
      </c>
      <c r="AC210" s="1">
        <f>SUM(Table15[[#This Row],[Transport and communication]])</f>
        <v>112.7</v>
      </c>
      <c r="AD210" s="1">
        <f>SUM(Table15[[#This Row],[Housing]],Table15[[#This Row],[Household goods and services]])/2</f>
        <v>120.6</v>
      </c>
      <c r="AE210" s="1">
        <f>SUM(Table15[[#This Row],[Health]])</f>
        <v>119</v>
      </c>
      <c r="AF210" s="1">
        <f>SUM(Table15[[#This Row],[Recreation and amusement]],Table15[[#This Row],[Education]])/2</f>
        <v>120.80000000000001</v>
      </c>
      <c r="AG210" s="1">
        <f>SUM(Table15[[#This Row],[Miscellaneous]],Table15[[#This Row],[Personal care and effects]])/2</f>
        <v>114.75</v>
      </c>
    </row>
    <row r="211" spans="1:33" x14ac:dyDescent="0.3">
      <c r="A211" t="s">
        <v>33</v>
      </c>
      <c r="B211">
        <v>2015</v>
      </c>
      <c r="C211" t="s">
        <v>42</v>
      </c>
      <c r="D211">
        <v>124</v>
      </c>
      <c r="E211">
        <v>131.5</v>
      </c>
      <c r="F211">
        <v>122</v>
      </c>
      <c r="G211">
        <v>128.69999999999999</v>
      </c>
      <c r="H211">
        <v>113.5</v>
      </c>
      <c r="I211">
        <v>133.30000000000001</v>
      </c>
      <c r="J211">
        <v>140.80000000000001</v>
      </c>
      <c r="K211">
        <v>133.80000000000001</v>
      </c>
      <c r="L211">
        <v>94.1</v>
      </c>
      <c r="M211">
        <v>123.4</v>
      </c>
      <c r="N211">
        <v>121</v>
      </c>
      <c r="O211">
        <v>131.69999999999999</v>
      </c>
      <c r="P211">
        <v>127.5</v>
      </c>
      <c r="Q211">
        <f>AVERAGE(Q209:Q210)</f>
        <v>119.9</v>
      </c>
      <c r="R211">
        <v>123</v>
      </c>
      <c r="S211">
        <v>123</v>
      </c>
      <c r="T211">
        <v>120.8</v>
      </c>
      <c r="U211">
        <v>114.1</v>
      </c>
      <c r="V211">
        <v>118</v>
      </c>
      <c r="W211">
        <v>122.9</v>
      </c>
      <c r="X211">
        <v>112.7</v>
      </c>
      <c r="Y211">
        <v>118.1</v>
      </c>
      <c r="Z211">
        <v>124.7</v>
      </c>
      <c r="AA211" s="1">
        <f>SUM(Table15[[#This Row],[Cereals and products]:[Food and beverages]])/13</f>
        <v>125.02307692307691</v>
      </c>
      <c r="AB211" s="1">
        <f>SUM(Table15[[#This Row],[Fuel and light]])</f>
        <v>123</v>
      </c>
      <c r="AC211" s="1">
        <f>SUM(Table15[[#This Row],[Transport and communication]])</f>
        <v>114.1</v>
      </c>
      <c r="AD211" s="1">
        <f>SUM(Table15[[#This Row],[Housing]],Table15[[#This Row],[Household goods and services]])/2</f>
        <v>121.45</v>
      </c>
      <c r="AE211" s="1">
        <f>SUM(Table15[[#This Row],[Health]])</f>
        <v>120.8</v>
      </c>
      <c r="AF211" s="1">
        <f>SUM(Table15[[#This Row],[Recreation and amusement]],Table15[[#This Row],[Education]])/2</f>
        <v>120.45</v>
      </c>
      <c r="AG211" s="1">
        <f>SUM(Table15[[#This Row],[Miscellaneous]],Table15[[#This Row],[Personal care and effects]])/2</f>
        <v>115.4</v>
      </c>
    </row>
    <row r="212" spans="1:33" x14ac:dyDescent="0.3">
      <c r="A212" t="s">
        <v>33</v>
      </c>
      <c r="B212">
        <v>2014</v>
      </c>
      <c r="C212" t="s">
        <v>42</v>
      </c>
      <c r="D212">
        <v>121.7</v>
      </c>
      <c r="E212">
        <v>122.5</v>
      </c>
      <c r="F212">
        <v>117.7</v>
      </c>
      <c r="G212">
        <v>120.6</v>
      </c>
      <c r="H212">
        <v>110.4</v>
      </c>
      <c r="I212">
        <v>129.1</v>
      </c>
      <c r="J212">
        <v>150.1</v>
      </c>
      <c r="K212">
        <v>113.2</v>
      </c>
      <c r="L212">
        <v>104.8</v>
      </c>
      <c r="M212">
        <v>113.3</v>
      </c>
      <c r="N212">
        <v>115.6</v>
      </c>
      <c r="O212">
        <v>120.9</v>
      </c>
      <c r="P212">
        <v>123.3</v>
      </c>
      <c r="Q212">
        <f>AVERAGE(Q213:Q214)</f>
        <v>114.8</v>
      </c>
      <c r="R212">
        <v>115.3</v>
      </c>
      <c r="S212">
        <v>115.4</v>
      </c>
      <c r="T212">
        <v>113.4</v>
      </c>
      <c r="U212">
        <v>113.2</v>
      </c>
      <c r="V212">
        <v>111.8</v>
      </c>
      <c r="W212">
        <v>115.5</v>
      </c>
      <c r="X212">
        <v>108.8</v>
      </c>
      <c r="Y212">
        <v>113.1</v>
      </c>
      <c r="Z212">
        <v>119.5</v>
      </c>
      <c r="AA212" s="1">
        <f>SUM(Table15[[#This Row],[Cereals and products]:[Food and beverages]])/13</f>
        <v>120.24615384615385</v>
      </c>
      <c r="AB212" s="1">
        <f>SUM(Table15[[#This Row],[Fuel and light]])</f>
        <v>115.3</v>
      </c>
      <c r="AC212" s="1">
        <f>SUM(Table15[[#This Row],[Transport and communication]])</f>
        <v>113.2</v>
      </c>
      <c r="AD212" s="1">
        <f>SUM(Table15[[#This Row],[Housing]],Table15[[#This Row],[Household goods and services]])/2</f>
        <v>115.1</v>
      </c>
      <c r="AE212" s="1">
        <f>SUM(Table15[[#This Row],[Health]])</f>
        <v>113.4</v>
      </c>
      <c r="AF212" s="1">
        <f>SUM(Table15[[#This Row],[Recreation and amusement]],Table15[[#This Row],[Education]])/2</f>
        <v>113.65</v>
      </c>
      <c r="AG212" s="1">
        <f>SUM(Table15[[#This Row],[Miscellaneous]],Table15[[#This Row],[Personal care and effects]])/2</f>
        <v>110.94999999999999</v>
      </c>
    </row>
    <row r="213" spans="1:33" x14ac:dyDescent="0.3">
      <c r="A213" t="s">
        <v>35</v>
      </c>
      <c r="B213">
        <v>2014</v>
      </c>
      <c r="C213" t="s">
        <v>42</v>
      </c>
      <c r="D213">
        <v>122.4</v>
      </c>
      <c r="E213">
        <v>123.9</v>
      </c>
      <c r="F213">
        <v>117.8</v>
      </c>
      <c r="G213">
        <v>121</v>
      </c>
      <c r="H213">
        <v>107.9</v>
      </c>
      <c r="I213">
        <v>131.19999999999999</v>
      </c>
      <c r="J213">
        <v>157.69999999999999</v>
      </c>
      <c r="K213">
        <v>113.2</v>
      </c>
      <c r="L213">
        <v>104.1</v>
      </c>
      <c r="M213">
        <v>115.5</v>
      </c>
      <c r="N213">
        <v>114.8</v>
      </c>
      <c r="O213">
        <v>122.1</v>
      </c>
      <c r="P213">
        <v>124.7</v>
      </c>
      <c r="Q213">
        <v>114.8</v>
      </c>
      <c r="R213">
        <v>113.9</v>
      </c>
      <c r="S213">
        <v>115.2</v>
      </c>
      <c r="T213">
        <v>112.7</v>
      </c>
      <c r="U213">
        <v>113.1</v>
      </c>
      <c r="V213">
        <v>112.1</v>
      </c>
      <c r="W213">
        <v>116.8</v>
      </c>
      <c r="X213">
        <v>109.2</v>
      </c>
      <c r="Y213">
        <v>113.3</v>
      </c>
      <c r="Z213">
        <v>119.2</v>
      </c>
      <c r="AA213" s="1">
        <f>SUM(Table15[[#This Row],[Cereals and products]:[Food and beverages]])/13</f>
        <v>121.25384615384615</v>
      </c>
      <c r="AB213" s="1">
        <f>SUM(Table15[[#This Row],[Fuel and light]])</f>
        <v>113.9</v>
      </c>
      <c r="AC213" s="1">
        <f>SUM(Table15[[#This Row],[Transport and communication]])</f>
        <v>113.1</v>
      </c>
      <c r="AD213" s="1">
        <f>SUM(Table15[[#This Row],[Housing]],Table15[[#This Row],[Household goods and services]])/2</f>
        <v>115</v>
      </c>
      <c r="AE213" s="1">
        <f>SUM(Table15[[#This Row],[Health]])</f>
        <v>112.7</v>
      </c>
      <c r="AF213" s="1">
        <f>SUM(Table15[[#This Row],[Recreation and amusement]],Table15[[#This Row],[Education]])/2</f>
        <v>114.44999999999999</v>
      </c>
      <c r="AG213" s="1">
        <f>SUM(Table15[[#This Row],[Miscellaneous]],Table15[[#This Row],[Personal care and effects]])/2</f>
        <v>111.25</v>
      </c>
    </row>
    <row r="214" spans="1:33" x14ac:dyDescent="0.3">
      <c r="A214" t="s">
        <v>36</v>
      </c>
      <c r="B214">
        <v>2014</v>
      </c>
      <c r="C214" t="s">
        <v>42</v>
      </c>
      <c r="D214">
        <v>123.8</v>
      </c>
      <c r="E214">
        <v>126.4</v>
      </c>
      <c r="F214">
        <v>118</v>
      </c>
      <c r="G214">
        <v>121.6</v>
      </c>
      <c r="H214">
        <v>103.5</v>
      </c>
      <c r="I214">
        <v>133.69999999999999</v>
      </c>
      <c r="J214">
        <v>172.4</v>
      </c>
      <c r="K214">
        <v>113.1</v>
      </c>
      <c r="L214">
        <v>102.7</v>
      </c>
      <c r="M214">
        <v>120</v>
      </c>
      <c r="N214">
        <v>113.8</v>
      </c>
      <c r="O214">
        <v>123.4</v>
      </c>
      <c r="P214">
        <v>127.1</v>
      </c>
      <c r="Q214">
        <v>114.8</v>
      </c>
      <c r="R214">
        <v>111.6</v>
      </c>
      <c r="S214">
        <v>114.9</v>
      </c>
      <c r="T214">
        <v>111.5</v>
      </c>
      <c r="U214">
        <v>113</v>
      </c>
      <c r="V214">
        <v>112.4</v>
      </c>
      <c r="W214">
        <v>117.8</v>
      </c>
      <c r="X214">
        <v>109.7</v>
      </c>
      <c r="Y214">
        <v>113.5</v>
      </c>
      <c r="Z214">
        <v>118.9</v>
      </c>
      <c r="AA214" s="1">
        <f>SUM(Table15[[#This Row],[Cereals and products]:[Food and beverages]])/13</f>
        <v>123.03846153846153</v>
      </c>
      <c r="AB214" s="1">
        <f>SUM(Table15[[#This Row],[Fuel and light]])</f>
        <v>111.6</v>
      </c>
      <c r="AC214" s="1">
        <f>SUM(Table15[[#This Row],[Transport and communication]])</f>
        <v>113</v>
      </c>
      <c r="AD214" s="1">
        <f>SUM(Table15[[#This Row],[Housing]],Table15[[#This Row],[Household goods and services]])/2</f>
        <v>114.85</v>
      </c>
      <c r="AE214" s="1">
        <f>SUM(Table15[[#This Row],[Health]])</f>
        <v>111.5</v>
      </c>
      <c r="AF214" s="1">
        <f>SUM(Table15[[#This Row],[Recreation and amusement]],Table15[[#This Row],[Education]])/2</f>
        <v>115.1</v>
      </c>
      <c r="AG214" s="1">
        <f>SUM(Table15[[#This Row],[Miscellaneous]],Table15[[#This Row],[Personal care and effects]])/2</f>
        <v>111.6</v>
      </c>
    </row>
    <row r="215" spans="1:33" x14ac:dyDescent="0.3">
      <c r="A215" t="s">
        <v>33</v>
      </c>
      <c r="B215">
        <v>2013</v>
      </c>
      <c r="C215" t="s">
        <v>42</v>
      </c>
      <c r="D215">
        <v>113.4</v>
      </c>
      <c r="E215">
        <v>114.9</v>
      </c>
      <c r="F215">
        <v>110.5</v>
      </c>
      <c r="G215">
        <v>109.3</v>
      </c>
      <c r="H215">
        <v>106.2</v>
      </c>
      <c r="I215">
        <v>110.3</v>
      </c>
      <c r="J215">
        <v>129.19999999999999</v>
      </c>
      <c r="K215">
        <v>107.1</v>
      </c>
      <c r="L215">
        <v>104.3</v>
      </c>
      <c r="M215">
        <v>106.4</v>
      </c>
      <c r="N215">
        <v>109.1</v>
      </c>
      <c r="O215">
        <v>112.1</v>
      </c>
      <c r="P215">
        <v>113.1</v>
      </c>
      <c r="Q215">
        <f>AVERAGE(Q216:Q217)</f>
        <v>107.7</v>
      </c>
      <c r="R215">
        <v>109.5</v>
      </c>
      <c r="S215">
        <v>108.3</v>
      </c>
      <c r="T215">
        <v>106.9</v>
      </c>
      <c r="U215">
        <v>106.8</v>
      </c>
      <c r="V215">
        <v>106.4</v>
      </c>
      <c r="W215">
        <v>107.8</v>
      </c>
      <c r="X215">
        <v>102.5</v>
      </c>
      <c r="Y215">
        <v>106.5</v>
      </c>
      <c r="Z215">
        <v>110.7</v>
      </c>
      <c r="AA215" s="1">
        <f>SUM(Table15[[#This Row],[Cereals and products]:[Food and beverages]])/13</f>
        <v>111.22307692307689</v>
      </c>
      <c r="AB215" s="1">
        <f>SUM(Table15[[#This Row],[Fuel and light]])</f>
        <v>109.5</v>
      </c>
      <c r="AC215" s="1">
        <f>SUM(Table15[[#This Row],[Transport and communication]])</f>
        <v>106.8</v>
      </c>
      <c r="AD215" s="1">
        <f>SUM(Table15[[#This Row],[Housing]],Table15[[#This Row],[Household goods and services]])/2</f>
        <v>108</v>
      </c>
      <c r="AE215" s="1">
        <f>SUM(Table15[[#This Row],[Health]])</f>
        <v>106.9</v>
      </c>
      <c r="AF215" s="1">
        <f>SUM(Table15[[#This Row],[Recreation and amusement]],Table15[[#This Row],[Education]])/2</f>
        <v>107.1</v>
      </c>
      <c r="AG215" s="1">
        <f>SUM(Table15[[#This Row],[Miscellaneous]],Table15[[#This Row],[Personal care and effects]])/2</f>
        <v>104.5</v>
      </c>
    </row>
    <row r="216" spans="1:33" x14ac:dyDescent="0.3">
      <c r="A216" t="s">
        <v>35</v>
      </c>
      <c r="B216">
        <v>2013</v>
      </c>
      <c r="C216" t="s">
        <v>42</v>
      </c>
      <c r="D216">
        <v>114.8</v>
      </c>
      <c r="E216">
        <v>116.4</v>
      </c>
      <c r="F216">
        <v>111.9</v>
      </c>
      <c r="G216">
        <v>108.9</v>
      </c>
      <c r="H216">
        <v>104.3</v>
      </c>
      <c r="I216">
        <v>111.7</v>
      </c>
      <c r="J216">
        <v>140</v>
      </c>
      <c r="K216">
        <v>106.4</v>
      </c>
      <c r="L216">
        <v>103.3</v>
      </c>
      <c r="M216">
        <v>106.8</v>
      </c>
      <c r="N216">
        <v>109.6</v>
      </c>
      <c r="O216">
        <v>112.6</v>
      </c>
      <c r="P216">
        <v>114.7</v>
      </c>
      <c r="Q216">
        <v>107.7</v>
      </c>
      <c r="R216">
        <v>109.2</v>
      </c>
      <c r="S216">
        <v>108.2</v>
      </c>
      <c r="T216">
        <v>107</v>
      </c>
      <c r="U216">
        <v>107.1</v>
      </c>
      <c r="V216">
        <v>106.1</v>
      </c>
      <c r="W216">
        <v>109.1</v>
      </c>
      <c r="X216">
        <v>102.8</v>
      </c>
      <c r="Y216">
        <v>106.9</v>
      </c>
      <c r="Z216">
        <v>111</v>
      </c>
      <c r="AA216" s="1">
        <f>SUM(Table15[[#This Row],[Cereals and products]:[Food and beverages]])/13</f>
        <v>112.41538461538461</v>
      </c>
      <c r="AB216" s="1">
        <f>SUM(Table15[[#This Row],[Fuel and light]])</f>
        <v>109.2</v>
      </c>
      <c r="AC216" s="1">
        <f>SUM(Table15[[#This Row],[Transport and communication]])</f>
        <v>107.1</v>
      </c>
      <c r="AD216" s="1">
        <f>SUM(Table15[[#This Row],[Housing]],Table15[[#This Row],[Household goods and services]])/2</f>
        <v>107.95</v>
      </c>
      <c r="AE216" s="1">
        <f>SUM(Table15[[#This Row],[Health]])</f>
        <v>107</v>
      </c>
      <c r="AF216" s="1">
        <f>SUM(Table15[[#This Row],[Recreation and amusement]],Table15[[#This Row],[Education]])/2</f>
        <v>107.6</v>
      </c>
      <c r="AG216" s="1">
        <f>SUM(Table15[[#This Row],[Miscellaneous]],Table15[[#This Row],[Personal care and effects]])/2</f>
        <v>104.85</v>
      </c>
    </row>
    <row r="217" spans="1:33" x14ac:dyDescent="0.3">
      <c r="A217" t="s">
        <v>36</v>
      </c>
      <c r="B217">
        <v>2013</v>
      </c>
      <c r="C217" t="s">
        <v>42</v>
      </c>
      <c r="D217">
        <v>117.8</v>
      </c>
      <c r="E217">
        <v>119.2</v>
      </c>
      <c r="F217">
        <v>114</v>
      </c>
      <c r="G217">
        <v>108.3</v>
      </c>
      <c r="H217">
        <v>101.1</v>
      </c>
      <c r="I217">
        <v>113.2</v>
      </c>
      <c r="J217">
        <v>160.9</v>
      </c>
      <c r="K217">
        <v>105.1</v>
      </c>
      <c r="L217">
        <v>101.3</v>
      </c>
      <c r="M217">
        <v>107.5</v>
      </c>
      <c r="N217">
        <v>110.4</v>
      </c>
      <c r="O217">
        <v>113.1</v>
      </c>
      <c r="P217">
        <v>117.5</v>
      </c>
      <c r="Q217">
        <v>107.7</v>
      </c>
      <c r="R217">
        <v>108.6</v>
      </c>
      <c r="S217">
        <v>108.1</v>
      </c>
      <c r="T217">
        <v>107.1</v>
      </c>
      <c r="U217">
        <v>107.3</v>
      </c>
      <c r="V217">
        <v>105.9</v>
      </c>
      <c r="W217">
        <v>110.1</v>
      </c>
      <c r="X217">
        <v>103.2</v>
      </c>
      <c r="Y217">
        <v>107.3</v>
      </c>
      <c r="Z217">
        <v>111.4</v>
      </c>
      <c r="AA217" s="1">
        <f>SUM(Table15[[#This Row],[Cereals and products]:[Food and beverages]])/13</f>
        <v>114.56923076923077</v>
      </c>
      <c r="AB217" s="1">
        <f>SUM(Table15[[#This Row],[Fuel and light]])</f>
        <v>108.6</v>
      </c>
      <c r="AC217" s="1">
        <f>SUM(Table15[[#This Row],[Transport and communication]])</f>
        <v>107.3</v>
      </c>
      <c r="AD217" s="1">
        <f>SUM(Table15[[#This Row],[Housing]],Table15[[#This Row],[Household goods and services]])/2</f>
        <v>107.9</v>
      </c>
      <c r="AE217" s="1">
        <f>SUM(Table15[[#This Row],[Health]])</f>
        <v>107.1</v>
      </c>
      <c r="AF217" s="1">
        <f>SUM(Table15[[#This Row],[Recreation and amusement]],Table15[[#This Row],[Education]])/2</f>
        <v>108</v>
      </c>
      <c r="AG217" s="1">
        <f>SUM(Table15[[#This Row],[Miscellaneous]],Table15[[#This Row],[Personal care and effects]])/2</f>
        <v>105.25</v>
      </c>
    </row>
    <row r="218" spans="1:33" x14ac:dyDescent="0.3">
      <c r="A218" t="s">
        <v>36</v>
      </c>
      <c r="B218">
        <v>2023</v>
      </c>
      <c r="C218" t="s">
        <v>41</v>
      </c>
      <c r="D218">
        <v>173.3</v>
      </c>
      <c r="E218">
        <v>215.2</v>
      </c>
      <c r="F218">
        <v>197</v>
      </c>
      <c r="G218">
        <v>175.2</v>
      </c>
      <c r="H218">
        <v>178</v>
      </c>
      <c r="I218">
        <v>160.5</v>
      </c>
      <c r="J218">
        <v>175.3</v>
      </c>
      <c r="K218">
        <v>171.2</v>
      </c>
      <c r="L218">
        <v>122.7</v>
      </c>
      <c r="M218">
        <v>204.3</v>
      </c>
      <c r="N218">
        <v>163.69999999999999</v>
      </c>
      <c r="O218">
        <v>194.3</v>
      </c>
      <c r="P218">
        <v>179.5</v>
      </c>
      <c r="Q218">
        <v>172.1</v>
      </c>
      <c r="R218">
        <v>180.1</v>
      </c>
      <c r="S218">
        <v>168</v>
      </c>
      <c r="T218">
        <v>178.5</v>
      </c>
      <c r="U218">
        <v>159.5</v>
      </c>
      <c r="V218">
        <v>167.8</v>
      </c>
      <c r="W218">
        <v>171.8</v>
      </c>
      <c r="X218">
        <v>178.8</v>
      </c>
      <c r="Y218">
        <v>168.9</v>
      </c>
      <c r="Z218">
        <v>174.9</v>
      </c>
      <c r="AA218" s="1">
        <f>SUM(Table15[[#This Row],[Cereals and products]:[Food and beverages]])/13</f>
        <v>177.70769230769233</v>
      </c>
      <c r="AB218" s="1">
        <f>SUM(Table15[[#This Row],[Fuel and light]])</f>
        <v>180.1</v>
      </c>
      <c r="AC218" s="1">
        <f>SUM(Table15[[#This Row],[Transport and communication]])</f>
        <v>159.5</v>
      </c>
      <c r="AD218" s="1">
        <f>SUM(Table15[[#This Row],[Housing]],Table15[[#This Row],[Household goods and services]])/2</f>
        <v>170.05</v>
      </c>
      <c r="AE218" s="1">
        <f>SUM(Table15[[#This Row],[Health]])</f>
        <v>178.5</v>
      </c>
      <c r="AF218" s="1">
        <f>SUM(Table15[[#This Row],[Recreation and amusement]],Table15[[#This Row],[Education]])/2</f>
        <v>169.8</v>
      </c>
      <c r="AG218" s="1">
        <f>SUM(Table15[[#This Row],[Miscellaneous]],Table15[[#This Row],[Personal care and effects]])/2</f>
        <v>173.85000000000002</v>
      </c>
    </row>
    <row r="219" spans="1:33" x14ac:dyDescent="0.3">
      <c r="A219" t="s">
        <v>35</v>
      </c>
      <c r="B219">
        <v>2023</v>
      </c>
      <c r="C219" t="s">
        <v>41</v>
      </c>
      <c r="D219">
        <v>173.8</v>
      </c>
      <c r="E219">
        <v>210.7</v>
      </c>
      <c r="F219">
        <v>194.5</v>
      </c>
      <c r="G219">
        <v>174.6</v>
      </c>
      <c r="H219">
        <v>187.2</v>
      </c>
      <c r="I219">
        <v>158.30000000000001</v>
      </c>
      <c r="J219">
        <v>153.9</v>
      </c>
      <c r="K219">
        <v>170.9</v>
      </c>
      <c r="L219">
        <v>121.1</v>
      </c>
      <c r="M219">
        <v>208.4</v>
      </c>
      <c r="N219">
        <v>171.4</v>
      </c>
      <c r="O219">
        <v>191.2</v>
      </c>
      <c r="P219">
        <v>176.7</v>
      </c>
      <c r="Q219">
        <v>172.1</v>
      </c>
      <c r="R219">
        <v>182</v>
      </c>
      <c r="S219">
        <v>172.9</v>
      </c>
      <c r="T219">
        <v>182.3</v>
      </c>
      <c r="U219">
        <v>163.6</v>
      </c>
      <c r="V219">
        <v>169.5</v>
      </c>
      <c r="W219">
        <v>174.3</v>
      </c>
      <c r="X219">
        <v>178.6</v>
      </c>
      <c r="Y219">
        <v>172.8</v>
      </c>
      <c r="Z219">
        <v>176.5</v>
      </c>
      <c r="AA219" s="1">
        <f>SUM(Table15[[#This Row],[Cereals and products]:[Food and beverages]])/13</f>
        <v>176.36153846153846</v>
      </c>
      <c r="AB219" s="1">
        <f>SUM(Table15[[#This Row],[Fuel and light]])</f>
        <v>182</v>
      </c>
      <c r="AC219" s="1">
        <f>SUM(Table15[[#This Row],[Transport and communication]])</f>
        <v>163.6</v>
      </c>
      <c r="AD219" s="1">
        <f>SUM(Table15[[#This Row],[Housing]],Table15[[#This Row],[Household goods and services]])/2</f>
        <v>172.5</v>
      </c>
      <c r="AE219" s="1">
        <f>SUM(Table15[[#This Row],[Health]])</f>
        <v>182.3</v>
      </c>
      <c r="AF219" s="1">
        <f>SUM(Table15[[#This Row],[Recreation and amusement]],Table15[[#This Row],[Education]])/2</f>
        <v>171.9</v>
      </c>
      <c r="AG219" s="1">
        <f>SUM(Table15[[#This Row],[Miscellaneous]],Table15[[#This Row],[Personal care and effects]])/2</f>
        <v>175.7</v>
      </c>
    </row>
    <row r="220" spans="1:33" x14ac:dyDescent="0.3">
      <c r="A220" t="s">
        <v>33</v>
      </c>
      <c r="B220">
        <v>2023</v>
      </c>
      <c r="C220" t="s">
        <v>41</v>
      </c>
      <c r="D220">
        <v>174</v>
      </c>
      <c r="E220">
        <v>208.3</v>
      </c>
      <c r="F220">
        <v>192.9</v>
      </c>
      <c r="G220">
        <v>174.3</v>
      </c>
      <c r="H220">
        <v>192.6</v>
      </c>
      <c r="I220">
        <v>156.30000000000001</v>
      </c>
      <c r="J220">
        <v>142.9</v>
      </c>
      <c r="K220">
        <v>170.7</v>
      </c>
      <c r="L220">
        <v>120.3</v>
      </c>
      <c r="M220">
        <v>210.5</v>
      </c>
      <c r="N220">
        <v>176.9</v>
      </c>
      <c r="O220">
        <v>188.5</v>
      </c>
      <c r="P220">
        <v>175</v>
      </c>
      <c r="Q220">
        <f>AVERAGE(Q218:Q219)</f>
        <v>172.1</v>
      </c>
      <c r="R220">
        <v>183.2</v>
      </c>
      <c r="S220">
        <v>177.2</v>
      </c>
      <c r="T220">
        <v>184.7</v>
      </c>
      <c r="U220">
        <v>168.2</v>
      </c>
      <c r="V220">
        <v>171.8</v>
      </c>
      <c r="W220">
        <v>177.8</v>
      </c>
      <c r="X220">
        <v>178.4</v>
      </c>
      <c r="Y220">
        <v>176.5</v>
      </c>
      <c r="Z220">
        <v>177.8</v>
      </c>
      <c r="AA220" s="1">
        <f>SUM(Table15[[#This Row],[Cereals and products]:[Food and beverages]])/13</f>
        <v>175.63076923076926</v>
      </c>
      <c r="AB220" s="1">
        <f>SUM(Table15[[#This Row],[Fuel and light]])</f>
        <v>183.2</v>
      </c>
      <c r="AC220" s="1">
        <f>SUM(Table15[[#This Row],[Transport and communication]])</f>
        <v>168.2</v>
      </c>
      <c r="AD220" s="1">
        <f>SUM(Table15[[#This Row],[Housing]],Table15[[#This Row],[Household goods and services]])/2</f>
        <v>174.64999999999998</v>
      </c>
      <c r="AE220" s="1">
        <f>SUM(Table15[[#This Row],[Health]])</f>
        <v>184.7</v>
      </c>
      <c r="AF220" s="1">
        <f>SUM(Table15[[#This Row],[Recreation and amusement]],Table15[[#This Row],[Education]])/2</f>
        <v>174.8</v>
      </c>
      <c r="AG220" s="1">
        <f>SUM(Table15[[#This Row],[Miscellaneous]],Table15[[#This Row],[Personal care and effects]])/2</f>
        <v>177.45</v>
      </c>
    </row>
    <row r="221" spans="1:33" x14ac:dyDescent="0.3">
      <c r="A221" t="s">
        <v>33</v>
      </c>
      <c r="B221">
        <v>2022</v>
      </c>
      <c r="C221" t="s">
        <v>41</v>
      </c>
      <c r="D221">
        <v>148.30000000000001</v>
      </c>
      <c r="E221">
        <v>196.9</v>
      </c>
      <c r="F221">
        <v>178</v>
      </c>
      <c r="G221">
        <v>160.5</v>
      </c>
      <c r="H221">
        <v>192.6</v>
      </c>
      <c r="I221">
        <v>151.19999999999999</v>
      </c>
      <c r="J221">
        <v>159.19999999999999</v>
      </c>
      <c r="K221">
        <v>164</v>
      </c>
      <c r="L221">
        <v>119.3</v>
      </c>
      <c r="M221">
        <v>173.3</v>
      </c>
      <c r="N221">
        <v>169.8</v>
      </c>
      <c r="O221">
        <v>175.8</v>
      </c>
      <c r="P221">
        <v>164.1</v>
      </c>
      <c r="Q221">
        <f>AVERAGE(Q222:Q223)</f>
        <v>164.5</v>
      </c>
      <c r="R221">
        <v>165.8</v>
      </c>
      <c r="S221">
        <v>164.9</v>
      </c>
      <c r="T221">
        <v>174.7</v>
      </c>
      <c r="U221">
        <v>160.80000000000001</v>
      </c>
      <c r="V221">
        <v>164.9</v>
      </c>
      <c r="W221">
        <v>169.9</v>
      </c>
      <c r="X221">
        <v>163.19999999999999</v>
      </c>
      <c r="Y221">
        <v>166.6</v>
      </c>
      <c r="Z221">
        <v>166.4</v>
      </c>
      <c r="AA221" s="1">
        <f>SUM(Table15[[#This Row],[Cereals and products]:[Food and beverages]])/13</f>
        <v>165.61538461538461</v>
      </c>
      <c r="AB221" s="1">
        <f>SUM(Table15[[#This Row],[Fuel and light]])</f>
        <v>165.8</v>
      </c>
      <c r="AC221" s="1">
        <f>SUM(Table15[[#This Row],[Transport and communication]])</f>
        <v>160.80000000000001</v>
      </c>
      <c r="AD221" s="1">
        <f>SUM(Table15[[#This Row],[Housing]],Table15[[#This Row],[Household goods and services]])/2</f>
        <v>164.7</v>
      </c>
      <c r="AE221" s="1">
        <f>SUM(Table15[[#This Row],[Health]])</f>
        <v>174.7</v>
      </c>
      <c r="AF221" s="1">
        <f>SUM(Table15[[#This Row],[Recreation and amusement]],Table15[[#This Row],[Education]])/2</f>
        <v>167.4</v>
      </c>
      <c r="AG221" s="1">
        <f>SUM(Table15[[#This Row],[Miscellaneous]],Table15[[#This Row],[Personal care and effects]])/2</f>
        <v>164.89999999999998</v>
      </c>
    </row>
    <row r="222" spans="1:33" x14ac:dyDescent="0.3">
      <c r="A222" t="s">
        <v>35</v>
      </c>
      <c r="B222">
        <v>2022</v>
      </c>
      <c r="C222" t="s">
        <v>41</v>
      </c>
      <c r="D222">
        <v>149.5</v>
      </c>
      <c r="E222">
        <v>198.7</v>
      </c>
      <c r="F222">
        <v>178.8</v>
      </c>
      <c r="G222">
        <v>160.5</v>
      </c>
      <c r="H222">
        <v>184.7</v>
      </c>
      <c r="I222">
        <v>153.69999999999999</v>
      </c>
      <c r="J222">
        <v>174.3</v>
      </c>
      <c r="K222">
        <v>163.9</v>
      </c>
      <c r="L222">
        <v>120</v>
      </c>
      <c r="M222">
        <v>172.1</v>
      </c>
      <c r="N222">
        <v>164.3</v>
      </c>
      <c r="O222">
        <v>177.3</v>
      </c>
      <c r="P222">
        <v>166.4</v>
      </c>
      <c r="Q222">
        <v>164.5</v>
      </c>
      <c r="R222">
        <v>164.2</v>
      </c>
      <c r="S222">
        <v>161.1</v>
      </c>
      <c r="T222">
        <v>171.4</v>
      </c>
      <c r="U222">
        <v>156.5</v>
      </c>
      <c r="V222">
        <v>161.19999999999999</v>
      </c>
      <c r="W222">
        <v>164.7</v>
      </c>
      <c r="X222">
        <v>163</v>
      </c>
      <c r="Y222">
        <v>162.69999999999999</v>
      </c>
      <c r="Z222">
        <v>165.7</v>
      </c>
      <c r="AA222" s="1">
        <f>SUM(Table15[[#This Row],[Cereals and products]:[Food and beverages]])/13</f>
        <v>166.47692307692307</v>
      </c>
      <c r="AB222" s="1">
        <f>SUM(Table15[[#This Row],[Fuel and light]])</f>
        <v>164.2</v>
      </c>
      <c r="AC222" s="1">
        <f>SUM(Table15[[#This Row],[Transport and communication]])</f>
        <v>156.5</v>
      </c>
      <c r="AD222" s="1">
        <f>SUM(Table15[[#This Row],[Housing]],Table15[[#This Row],[Household goods and services]])/2</f>
        <v>162.80000000000001</v>
      </c>
      <c r="AE222" s="1">
        <f>SUM(Table15[[#This Row],[Health]])</f>
        <v>171.4</v>
      </c>
      <c r="AF222" s="1">
        <f>SUM(Table15[[#This Row],[Recreation and amusement]],Table15[[#This Row],[Education]])/2</f>
        <v>162.94999999999999</v>
      </c>
      <c r="AG222" s="1">
        <f>SUM(Table15[[#This Row],[Miscellaneous]],Table15[[#This Row],[Personal care and effects]])/2</f>
        <v>162.85</v>
      </c>
    </row>
    <row r="223" spans="1:33" x14ac:dyDescent="0.3">
      <c r="A223" t="s">
        <v>36</v>
      </c>
      <c r="B223">
        <v>2022</v>
      </c>
      <c r="C223" t="s">
        <v>41</v>
      </c>
      <c r="D223">
        <v>152.19999999999999</v>
      </c>
      <c r="E223">
        <v>202.1</v>
      </c>
      <c r="F223">
        <v>180.1</v>
      </c>
      <c r="G223">
        <v>160.4</v>
      </c>
      <c r="H223">
        <v>171</v>
      </c>
      <c r="I223">
        <v>156.5</v>
      </c>
      <c r="J223">
        <v>203.6</v>
      </c>
      <c r="K223">
        <v>163.80000000000001</v>
      </c>
      <c r="L223">
        <v>121.3</v>
      </c>
      <c r="M223">
        <v>169.8</v>
      </c>
      <c r="N223">
        <v>156.6</v>
      </c>
      <c r="O223">
        <v>179</v>
      </c>
      <c r="P223">
        <v>170.3</v>
      </c>
      <c r="Q223">
        <v>164.5</v>
      </c>
      <c r="R223">
        <v>161.6</v>
      </c>
      <c r="S223">
        <v>156.80000000000001</v>
      </c>
      <c r="T223">
        <v>166.1</v>
      </c>
      <c r="U223">
        <v>152.69999999999999</v>
      </c>
      <c r="V223">
        <v>158.4</v>
      </c>
      <c r="W223">
        <v>161</v>
      </c>
      <c r="X223">
        <v>162.80000000000001</v>
      </c>
      <c r="Y223">
        <v>158.6</v>
      </c>
      <c r="Z223">
        <v>165</v>
      </c>
      <c r="AA223" s="1">
        <f>SUM(Table15[[#This Row],[Cereals and products]:[Food and beverages]])/13</f>
        <v>168.2076923076923</v>
      </c>
      <c r="AB223" s="1">
        <f>SUM(Table15[[#This Row],[Fuel and light]])</f>
        <v>161.6</v>
      </c>
      <c r="AC223" s="1">
        <f>SUM(Table15[[#This Row],[Transport and communication]])</f>
        <v>152.69999999999999</v>
      </c>
      <c r="AD223" s="1">
        <f>SUM(Table15[[#This Row],[Housing]],Table15[[#This Row],[Household goods and services]])/2</f>
        <v>160.65</v>
      </c>
      <c r="AE223" s="1">
        <f>SUM(Table15[[#This Row],[Health]])</f>
        <v>166.1</v>
      </c>
      <c r="AF223" s="1">
        <f>SUM(Table15[[#This Row],[Recreation and amusement]],Table15[[#This Row],[Education]])/2</f>
        <v>159.69999999999999</v>
      </c>
      <c r="AG223" s="1">
        <f>SUM(Table15[[#This Row],[Miscellaneous]],Table15[[#This Row],[Personal care and effects]])/2</f>
        <v>160.69999999999999</v>
      </c>
    </row>
    <row r="224" spans="1:33" x14ac:dyDescent="0.3">
      <c r="A224" t="s">
        <v>33</v>
      </c>
      <c r="B224">
        <v>2020</v>
      </c>
      <c r="C224" t="s">
        <v>40</v>
      </c>
      <c r="D224">
        <v>146</v>
      </c>
      <c r="E224">
        <v>186.3</v>
      </c>
      <c r="F224">
        <v>159.19999999999999</v>
      </c>
      <c r="G224">
        <v>153.6</v>
      </c>
      <c r="H224">
        <v>142.6</v>
      </c>
      <c r="I224">
        <v>147.19999999999999</v>
      </c>
      <c r="J224">
        <v>200.6</v>
      </c>
      <c r="K224">
        <v>150.30000000000001</v>
      </c>
      <c r="L224">
        <v>115.3</v>
      </c>
      <c r="M224">
        <v>160.9</v>
      </c>
      <c r="N224">
        <v>147.4</v>
      </c>
      <c r="O224">
        <v>161.9</v>
      </c>
      <c r="P224">
        <v>159.6</v>
      </c>
      <c r="Q224">
        <v>153</v>
      </c>
      <c r="R224">
        <v>146.80000000000001</v>
      </c>
      <c r="S224">
        <v>152</v>
      </c>
      <c r="T224">
        <v>159.5</v>
      </c>
      <c r="U224">
        <v>146.4</v>
      </c>
      <c r="V224">
        <v>152.4</v>
      </c>
      <c r="W224">
        <v>162.5</v>
      </c>
      <c r="X224">
        <v>156.19999999999999</v>
      </c>
      <c r="Y224">
        <v>154.30000000000001</v>
      </c>
      <c r="Z224">
        <v>157.5</v>
      </c>
      <c r="AA224" s="1">
        <f>SUM(Table15[[#This Row],[Cereals and products]:[Food and beverages]])/13</f>
        <v>156.22307692307692</v>
      </c>
      <c r="AB224" s="1">
        <f>SUM(Table15[[#This Row],[Fuel and light]])</f>
        <v>146.80000000000001</v>
      </c>
      <c r="AC224" s="1">
        <f>SUM(Table15[[#This Row],[Transport and communication]])</f>
        <v>146.4</v>
      </c>
      <c r="AD224" s="1">
        <f>SUM(Table15[[#This Row],[Housing]],Table15[[#This Row],[Household goods and services]])/2</f>
        <v>152.5</v>
      </c>
      <c r="AE224" s="1">
        <f>SUM(Table15[[#This Row],[Health]])</f>
        <v>159.5</v>
      </c>
      <c r="AF224" s="1">
        <f>SUM(Table15[[#This Row],[Recreation and amusement]],Table15[[#This Row],[Education]])/2</f>
        <v>157.44999999999999</v>
      </c>
      <c r="AG224" s="1">
        <f>SUM(Table15[[#This Row],[Miscellaneous]],Table15[[#This Row],[Personal care and effects]])/2</f>
        <v>155.25</v>
      </c>
    </row>
    <row r="225" spans="1:33" x14ac:dyDescent="0.3">
      <c r="A225" t="s">
        <v>35</v>
      </c>
      <c r="B225">
        <v>2020</v>
      </c>
      <c r="C225" t="s">
        <v>40</v>
      </c>
      <c r="D225">
        <v>147.5</v>
      </c>
      <c r="E225">
        <v>188.9</v>
      </c>
      <c r="F225">
        <v>161.4</v>
      </c>
      <c r="G225">
        <v>153.6</v>
      </c>
      <c r="H225">
        <v>140.1</v>
      </c>
      <c r="I225">
        <v>151.19999999999999</v>
      </c>
      <c r="J225">
        <v>209.2</v>
      </c>
      <c r="K225">
        <v>150.9</v>
      </c>
      <c r="L225">
        <v>116.2</v>
      </c>
      <c r="M225">
        <v>161</v>
      </c>
      <c r="N225">
        <v>144</v>
      </c>
      <c r="O225">
        <v>163.19999999999999</v>
      </c>
      <c r="P225">
        <v>161.4</v>
      </c>
      <c r="Q225">
        <v>156.5</v>
      </c>
      <c r="R225">
        <v>143.1</v>
      </c>
      <c r="S225">
        <v>148.69999999999999</v>
      </c>
      <c r="T225">
        <v>156.30000000000001</v>
      </c>
      <c r="U225">
        <v>140.6</v>
      </c>
      <c r="V225">
        <v>146.5</v>
      </c>
      <c r="W225">
        <v>158.5</v>
      </c>
      <c r="X225">
        <v>157</v>
      </c>
      <c r="Y225">
        <v>150.4</v>
      </c>
      <c r="Z225">
        <v>156.4</v>
      </c>
      <c r="AA225" s="1">
        <f>SUM(Table15[[#This Row],[Cereals and products]:[Food and beverages]])/13</f>
        <v>157.5846153846154</v>
      </c>
      <c r="AB225" s="1">
        <f>SUM(Table15[[#This Row],[Fuel and light]])</f>
        <v>143.1</v>
      </c>
      <c r="AC225" s="1">
        <f>SUM(Table15[[#This Row],[Transport and communication]])</f>
        <v>140.6</v>
      </c>
      <c r="AD225" s="1">
        <f>SUM(Table15[[#This Row],[Housing]],Table15[[#This Row],[Household goods and services]])/2</f>
        <v>152.6</v>
      </c>
      <c r="AE225" s="1">
        <f>SUM(Table15[[#This Row],[Health]])</f>
        <v>156.30000000000001</v>
      </c>
      <c r="AF225" s="1">
        <f>SUM(Table15[[#This Row],[Recreation and amusement]],Table15[[#This Row],[Education]])/2</f>
        <v>152.5</v>
      </c>
      <c r="AG225" s="1">
        <f>SUM(Table15[[#This Row],[Miscellaneous]],Table15[[#This Row],[Personal care and effects]])/2</f>
        <v>153.69999999999999</v>
      </c>
    </row>
    <row r="226" spans="1:33" x14ac:dyDescent="0.3">
      <c r="A226" t="s">
        <v>36</v>
      </c>
      <c r="B226">
        <v>2020</v>
      </c>
      <c r="C226" t="s">
        <v>40</v>
      </c>
      <c r="D226">
        <v>150.6</v>
      </c>
      <c r="E226">
        <v>193.7</v>
      </c>
      <c r="F226">
        <v>164.8</v>
      </c>
      <c r="G226">
        <v>153.69999999999999</v>
      </c>
      <c r="H226">
        <v>135.69999999999999</v>
      </c>
      <c r="I226">
        <v>155.69999999999999</v>
      </c>
      <c r="J226">
        <v>226</v>
      </c>
      <c r="K226">
        <v>152.19999999999999</v>
      </c>
      <c r="L226">
        <v>118.1</v>
      </c>
      <c r="M226">
        <v>161.30000000000001</v>
      </c>
      <c r="N226">
        <v>139.19999999999999</v>
      </c>
      <c r="O226">
        <v>164.8</v>
      </c>
      <c r="P226">
        <v>164.4</v>
      </c>
      <c r="Q226">
        <v>156.5</v>
      </c>
      <c r="R226">
        <v>137.1</v>
      </c>
      <c r="S226">
        <v>145.1</v>
      </c>
      <c r="T226">
        <v>151</v>
      </c>
      <c r="U226">
        <v>135.4</v>
      </c>
      <c r="V226">
        <v>142</v>
      </c>
      <c r="W226">
        <v>155.69999999999999</v>
      </c>
      <c r="X226">
        <v>158.1</v>
      </c>
      <c r="Y226">
        <v>146.19999999999999</v>
      </c>
      <c r="Z226">
        <v>155.19999999999999</v>
      </c>
      <c r="AA226" s="1">
        <f>SUM(Table15[[#This Row],[Cereals and products]:[Food and beverages]])/13</f>
        <v>160.01538461538459</v>
      </c>
      <c r="AB226" s="1">
        <f>SUM(Table15[[#This Row],[Fuel and light]])</f>
        <v>137.1</v>
      </c>
      <c r="AC226" s="1">
        <f>SUM(Table15[[#This Row],[Transport and communication]])</f>
        <v>135.4</v>
      </c>
      <c r="AD226" s="1">
        <f>SUM(Table15[[#This Row],[Housing]],Table15[[#This Row],[Household goods and services]])/2</f>
        <v>150.80000000000001</v>
      </c>
      <c r="AE226" s="1">
        <f>SUM(Table15[[#This Row],[Health]])</f>
        <v>151</v>
      </c>
      <c r="AF226" s="1">
        <f>SUM(Table15[[#This Row],[Recreation and amusement]],Table15[[#This Row],[Education]])/2</f>
        <v>148.85</v>
      </c>
      <c r="AG226" s="1">
        <f>SUM(Table15[[#This Row],[Miscellaneous]],Table15[[#This Row],[Personal care and effects]])/2</f>
        <v>152.14999999999998</v>
      </c>
    </row>
    <row r="227" spans="1:33" x14ac:dyDescent="0.3">
      <c r="A227" t="s">
        <v>33</v>
      </c>
      <c r="B227">
        <v>2020</v>
      </c>
      <c r="C227" t="s">
        <v>34</v>
      </c>
      <c r="D227">
        <v>146.9</v>
      </c>
      <c r="E227">
        <v>183.9</v>
      </c>
      <c r="F227">
        <v>149.5</v>
      </c>
      <c r="G227">
        <v>153.4</v>
      </c>
      <c r="H227">
        <v>140.4</v>
      </c>
      <c r="I227">
        <v>147</v>
      </c>
      <c r="J227">
        <v>178.8</v>
      </c>
      <c r="K227">
        <v>149.30000000000001</v>
      </c>
      <c r="L227">
        <v>115.1</v>
      </c>
      <c r="M227">
        <v>160</v>
      </c>
      <c r="N227">
        <v>145.4</v>
      </c>
      <c r="O227">
        <v>161.6</v>
      </c>
      <c r="P227">
        <v>156.1</v>
      </c>
      <c r="Q227">
        <v>152.19999999999999</v>
      </c>
      <c r="R227">
        <v>146.4</v>
      </c>
      <c r="S227">
        <v>151.6</v>
      </c>
      <c r="T227">
        <v>159.1</v>
      </c>
      <c r="U227">
        <v>144.6</v>
      </c>
      <c r="V227">
        <v>152.80000000000001</v>
      </c>
      <c r="W227">
        <v>161.1</v>
      </c>
      <c r="X227">
        <v>157.4</v>
      </c>
      <c r="Y227">
        <v>153.69999999999999</v>
      </c>
      <c r="Z227">
        <v>155.4</v>
      </c>
      <c r="AA227" s="1">
        <f>SUM(Table15[[#This Row],[Cereals and products]:[Food and beverages]])/13</f>
        <v>152.87692307692308</v>
      </c>
      <c r="AB227" s="1">
        <f>SUM(Table15[[#This Row],[Fuel and light]])</f>
        <v>146.4</v>
      </c>
      <c r="AC227" s="1">
        <f>SUM(Table15[[#This Row],[Transport and communication]])</f>
        <v>144.6</v>
      </c>
      <c r="AD227" s="1">
        <f>SUM(Table15[[#This Row],[Housing]],Table15[[#This Row],[Household goods and services]])/2</f>
        <v>151.89999999999998</v>
      </c>
      <c r="AE227" s="1">
        <f>SUM(Table15[[#This Row],[Health]])</f>
        <v>159.1</v>
      </c>
      <c r="AF227" s="1">
        <f>SUM(Table15[[#This Row],[Recreation and amusement]],Table15[[#This Row],[Education]])/2</f>
        <v>156.94999999999999</v>
      </c>
      <c r="AG227" s="1">
        <f>SUM(Table15[[#This Row],[Miscellaneous]],Table15[[#This Row],[Personal care and effects]])/2</f>
        <v>155.55000000000001</v>
      </c>
    </row>
    <row r="228" spans="1:33" x14ac:dyDescent="0.3">
      <c r="A228" t="s">
        <v>35</v>
      </c>
      <c r="B228">
        <v>2020</v>
      </c>
      <c r="C228" t="s">
        <v>34</v>
      </c>
      <c r="D228">
        <v>148.4</v>
      </c>
      <c r="E228">
        <v>187.1</v>
      </c>
      <c r="F228">
        <v>152.5</v>
      </c>
      <c r="G228">
        <v>153.6</v>
      </c>
      <c r="H228">
        <v>138.19999999999999</v>
      </c>
      <c r="I228">
        <v>150.9</v>
      </c>
      <c r="J228">
        <v>186.7</v>
      </c>
      <c r="K228">
        <v>149.80000000000001</v>
      </c>
      <c r="L228">
        <v>116.4</v>
      </c>
      <c r="M228">
        <v>160.30000000000001</v>
      </c>
      <c r="N228">
        <v>142.19999999999999</v>
      </c>
      <c r="O228">
        <v>162.9</v>
      </c>
      <c r="P228">
        <v>158</v>
      </c>
      <c r="Q228">
        <v>156.30000000000001</v>
      </c>
      <c r="R228">
        <v>142.9</v>
      </c>
      <c r="S228">
        <v>148.69999999999999</v>
      </c>
      <c r="T228">
        <v>155.6</v>
      </c>
      <c r="U228">
        <v>139.6</v>
      </c>
      <c r="V228">
        <v>146.6</v>
      </c>
      <c r="W228">
        <v>157.5</v>
      </c>
      <c r="X228">
        <v>158.4</v>
      </c>
      <c r="Y228">
        <v>150</v>
      </c>
      <c r="Z228">
        <v>154.69999999999999</v>
      </c>
      <c r="AA228" s="1">
        <f>SUM(Table15[[#This Row],[Cereals and products]:[Food and beverages]])/13</f>
        <v>154.38461538461539</v>
      </c>
      <c r="AB228" s="1">
        <f>SUM(Table15[[#This Row],[Fuel and light]])</f>
        <v>142.9</v>
      </c>
      <c r="AC228" s="1">
        <f>SUM(Table15[[#This Row],[Transport and communication]])</f>
        <v>139.6</v>
      </c>
      <c r="AD228" s="1">
        <f>SUM(Table15[[#This Row],[Housing]],Table15[[#This Row],[Household goods and services]])/2</f>
        <v>152.5</v>
      </c>
      <c r="AE228" s="1">
        <f>SUM(Table15[[#This Row],[Health]])</f>
        <v>155.6</v>
      </c>
      <c r="AF228" s="1">
        <f>SUM(Table15[[#This Row],[Recreation and amusement]],Table15[[#This Row],[Education]])/2</f>
        <v>152.05000000000001</v>
      </c>
      <c r="AG228" s="1">
        <f>SUM(Table15[[#This Row],[Miscellaneous]],Table15[[#This Row],[Personal care and effects]])/2</f>
        <v>154.19999999999999</v>
      </c>
    </row>
    <row r="229" spans="1:33" x14ac:dyDescent="0.3">
      <c r="A229" t="s">
        <v>36</v>
      </c>
      <c r="B229">
        <v>2020</v>
      </c>
      <c r="C229" t="s">
        <v>34</v>
      </c>
      <c r="D229">
        <v>151.5</v>
      </c>
      <c r="E229">
        <v>193.1</v>
      </c>
      <c r="F229">
        <v>157.30000000000001</v>
      </c>
      <c r="G229">
        <v>153.9</v>
      </c>
      <c r="H229">
        <v>134.4</v>
      </c>
      <c r="I229">
        <v>155.4</v>
      </c>
      <c r="J229">
        <v>202</v>
      </c>
      <c r="K229">
        <v>150.80000000000001</v>
      </c>
      <c r="L229">
        <v>118.9</v>
      </c>
      <c r="M229">
        <v>160.9</v>
      </c>
      <c r="N229">
        <v>137.69999999999999</v>
      </c>
      <c r="O229">
        <v>164.4</v>
      </c>
      <c r="P229">
        <v>161.30000000000001</v>
      </c>
      <c r="Q229">
        <v>156.30000000000001</v>
      </c>
      <c r="R229">
        <v>137.19999999999999</v>
      </c>
      <c r="S229">
        <v>145.4</v>
      </c>
      <c r="T229">
        <v>150</v>
      </c>
      <c r="U229">
        <v>135.1</v>
      </c>
      <c r="V229">
        <v>141.80000000000001</v>
      </c>
      <c r="W229">
        <v>154.9</v>
      </c>
      <c r="X229">
        <v>159.80000000000001</v>
      </c>
      <c r="Y229">
        <v>146</v>
      </c>
      <c r="Z229">
        <v>154</v>
      </c>
      <c r="AA229" s="1">
        <f>SUM(Table15[[#This Row],[Cereals and products]:[Food and beverages]])/13</f>
        <v>157.04615384615386</v>
      </c>
      <c r="AB229" s="1">
        <f>SUM(Table15[[#This Row],[Fuel and light]])</f>
        <v>137.19999999999999</v>
      </c>
      <c r="AC229" s="1">
        <f>SUM(Table15[[#This Row],[Transport and communication]])</f>
        <v>135.1</v>
      </c>
      <c r="AD229" s="1">
        <f>SUM(Table15[[#This Row],[Housing]],Table15[[#This Row],[Household goods and services]])/2</f>
        <v>150.85000000000002</v>
      </c>
      <c r="AE229" s="1">
        <f>SUM(Table15[[#This Row],[Health]])</f>
        <v>150</v>
      </c>
      <c r="AF229" s="1">
        <f>SUM(Table15[[#This Row],[Recreation and amusement]],Table15[[#This Row],[Education]])/2</f>
        <v>148.35000000000002</v>
      </c>
      <c r="AG229" s="1">
        <f>SUM(Table15[[#This Row],[Miscellaneous]],Table15[[#This Row],[Personal care and effects]])/2</f>
        <v>152.9</v>
      </c>
    </row>
    <row r="230" spans="1:33" x14ac:dyDescent="0.3">
      <c r="A230" t="s">
        <v>33</v>
      </c>
      <c r="B230">
        <v>2021</v>
      </c>
      <c r="C230" t="s">
        <v>48</v>
      </c>
      <c r="D230">
        <v>142.69999999999999</v>
      </c>
      <c r="E230">
        <v>195.5</v>
      </c>
      <c r="F230">
        <v>163.4</v>
      </c>
      <c r="G230">
        <v>155</v>
      </c>
      <c r="H230">
        <v>175.2</v>
      </c>
      <c r="I230">
        <v>160.6</v>
      </c>
      <c r="J230">
        <v>135.1</v>
      </c>
      <c r="K230">
        <v>161.1</v>
      </c>
      <c r="L230">
        <v>112.2</v>
      </c>
      <c r="M230">
        <v>164.4</v>
      </c>
      <c r="N230">
        <v>161.9</v>
      </c>
      <c r="O230">
        <v>166.8</v>
      </c>
      <c r="P230">
        <v>155.6</v>
      </c>
      <c r="Q230">
        <f>AVERAGE(Q231:Q232)</f>
        <v>161.4</v>
      </c>
      <c r="R230">
        <v>156</v>
      </c>
      <c r="S230">
        <v>155.5</v>
      </c>
      <c r="T230">
        <v>165.3</v>
      </c>
      <c r="U230">
        <v>151.69999999999999</v>
      </c>
      <c r="V230">
        <v>158.6</v>
      </c>
      <c r="W230">
        <v>164.1</v>
      </c>
      <c r="X230">
        <v>154.6</v>
      </c>
      <c r="Y230">
        <v>158</v>
      </c>
      <c r="Z230">
        <v>157.6</v>
      </c>
      <c r="AA230" s="1">
        <f>SUM(Table15[[#This Row],[Cereals and products]:[Food and beverages]])/13</f>
        <v>157.65384615384616</v>
      </c>
      <c r="AB230" s="1">
        <f>SUM(Table15[[#This Row],[Fuel and light]])</f>
        <v>156</v>
      </c>
      <c r="AC230" s="1">
        <f>SUM(Table15[[#This Row],[Transport and communication]])</f>
        <v>151.69999999999999</v>
      </c>
      <c r="AD230" s="1">
        <f>SUM(Table15[[#This Row],[Housing]],Table15[[#This Row],[Household goods and services]])/2</f>
        <v>158.44999999999999</v>
      </c>
      <c r="AE230" s="1">
        <f>SUM(Table15[[#This Row],[Health]])</f>
        <v>165.3</v>
      </c>
      <c r="AF230" s="1">
        <f>SUM(Table15[[#This Row],[Recreation and amusement]],Table15[[#This Row],[Education]])/2</f>
        <v>161.35</v>
      </c>
      <c r="AG230" s="1">
        <f>SUM(Table15[[#This Row],[Miscellaneous]],Table15[[#This Row],[Personal care and effects]])/2</f>
        <v>156.30000000000001</v>
      </c>
    </row>
    <row r="231" spans="1:33" x14ac:dyDescent="0.3">
      <c r="A231" t="s">
        <v>35</v>
      </c>
      <c r="B231">
        <v>2021</v>
      </c>
      <c r="C231" t="s">
        <v>48</v>
      </c>
      <c r="D231">
        <v>144.30000000000001</v>
      </c>
      <c r="E231">
        <v>198</v>
      </c>
      <c r="F231">
        <v>164.6</v>
      </c>
      <c r="G231">
        <v>155.4</v>
      </c>
      <c r="H231">
        <v>170.1</v>
      </c>
      <c r="I231">
        <v>164.4</v>
      </c>
      <c r="J231">
        <v>144.1</v>
      </c>
      <c r="K231">
        <v>161.69999999999999</v>
      </c>
      <c r="L231">
        <v>113.1</v>
      </c>
      <c r="M231">
        <v>163.9</v>
      </c>
      <c r="N231">
        <v>157.6</v>
      </c>
      <c r="O231">
        <v>168.9</v>
      </c>
      <c r="P231">
        <v>158</v>
      </c>
      <c r="Q231">
        <v>161.4</v>
      </c>
      <c r="R231">
        <v>155.6</v>
      </c>
      <c r="S231">
        <v>151.80000000000001</v>
      </c>
      <c r="T231">
        <v>162.30000000000001</v>
      </c>
      <c r="U231">
        <v>146.6</v>
      </c>
      <c r="V231">
        <v>153.19999999999999</v>
      </c>
      <c r="W231">
        <v>160.30000000000001</v>
      </c>
      <c r="X231">
        <v>155.4</v>
      </c>
      <c r="Y231">
        <v>154.4</v>
      </c>
      <c r="Z231">
        <v>157.80000000000001</v>
      </c>
      <c r="AA231" s="1">
        <f>SUM(Table15[[#This Row],[Cereals and products]:[Food and beverages]])/13</f>
        <v>158.77692307692308</v>
      </c>
      <c r="AB231" s="1">
        <f>SUM(Table15[[#This Row],[Fuel and light]])</f>
        <v>155.6</v>
      </c>
      <c r="AC231" s="1">
        <f>SUM(Table15[[#This Row],[Transport and communication]])</f>
        <v>146.6</v>
      </c>
      <c r="AD231" s="1">
        <f>SUM(Table15[[#This Row],[Housing]],Table15[[#This Row],[Household goods and services]])/2</f>
        <v>156.60000000000002</v>
      </c>
      <c r="AE231" s="1">
        <f>SUM(Table15[[#This Row],[Health]])</f>
        <v>162.30000000000001</v>
      </c>
      <c r="AF231" s="1">
        <f>SUM(Table15[[#This Row],[Recreation and amusement]],Table15[[#This Row],[Education]])/2</f>
        <v>156.75</v>
      </c>
      <c r="AG231" s="1">
        <f>SUM(Table15[[#This Row],[Miscellaneous]],Table15[[#This Row],[Personal care and effects]])/2</f>
        <v>154.9</v>
      </c>
    </row>
    <row r="232" spans="1:33" x14ac:dyDescent="0.3">
      <c r="A232" t="s">
        <v>36</v>
      </c>
      <c r="B232">
        <v>2021</v>
      </c>
      <c r="C232" t="s">
        <v>48</v>
      </c>
      <c r="D232">
        <v>147.6</v>
      </c>
      <c r="E232">
        <v>202.5</v>
      </c>
      <c r="F232">
        <v>166.4</v>
      </c>
      <c r="G232">
        <v>156</v>
      </c>
      <c r="H232">
        <v>161.4</v>
      </c>
      <c r="I232">
        <v>168.8</v>
      </c>
      <c r="J232">
        <v>161.6</v>
      </c>
      <c r="K232">
        <v>162.80000000000001</v>
      </c>
      <c r="L232">
        <v>114.8</v>
      </c>
      <c r="M232">
        <v>162.80000000000001</v>
      </c>
      <c r="N232">
        <v>151.5</v>
      </c>
      <c r="O232">
        <v>171.4</v>
      </c>
      <c r="P232">
        <v>162</v>
      </c>
      <c r="Q232">
        <v>161.4</v>
      </c>
      <c r="R232">
        <v>154.9</v>
      </c>
      <c r="S232">
        <v>147.6</v>
      </c>
      <c r="T232">
        <v>157.5</v>
      </c>
      <c r="U232">
        <v>142.1</v>
      </c>
      <c r="V232">
        <v>149.1</v>
      </c>
      <c r="W232">
        <v>157.6</v>
      </c>
      <c r="X232">
        <v>156.6</v>
      </c>
      <c r="Y232">
        <v>150.5</v>
      </c>
      <c r="Z232">
        <v>158</v>
      </c>
      <c r="AA232" s="1">
        <f>SUM(Table15[[#This Row],[Cereals and products]:[Food and beverages]])/13</f>
        <v>160.73846153846154</v>
      </c>
      <c r="AB232" s="1">
        <f>SUM(Table15[[#This Row],[Fuel and light]])</f>
        <v>154.9</v>
      </c>
      <c r="AC232" s="1">
        <f>SUM(Table15[[#This Row],[Transport and communication]])</f>
        <v>142.1</v>
      </c>
      <c r="AD232" s="1">
        <f>SUM(Table15[[#This Row],[Housing]],Table15[[#This Row],[Household goods and services]])/2</f>
        <v>154.5</v>
      </c>
      <c r="AE232" s="1">
        <f>SUM(Table15[[#This Row],[Health]])</f>
        <v>157.5</v>
      </c>
      <c r="AF232" s="1">
        <f>SUM(Table15[[#This Row],[Recreation and amusement]],Table15[[#This Row],[Education]])/2</f>
        <v>153.35</v>
      </c>
      <c r="AG232" s="1">
        <f>SUM(Table15[[#This Row],[Miscellaneous]],Table15[[#This Row],[Personal care and effects]])/2</f>
        <v>153.55000000000001</v>
      </c>
    </row>
    <row r="233" spans="1:33" x14ac:dyDescent="0.3">
      <c r="A233" t="s">
        <v>36</v>
      </c>
      <c r="B233">
        <v>2018</v>
      </c>
      <c r="C233" t="s">
        <v>41</v>
      </c>
      <c r="D233">
        <v>134.6</v>
      </c>
      <c r="E233">
        <v>143.69999999999999</v>
      </c>
      <c r="F233">
        <v>143.6</v>
      </c>
      <c r="G233">
        <v>139.6</v>
      </c>
      <c r="H233">
        <v>116.4</v>
      </c>
      <c r="I233">
        <v>133.80000000000001</v>
      </c>
      <c r="J233">
        <v>150.5</v>
      </c>
      <c r="K233">
        <v>118.4</v>
      </c>
      <c r="L233">
        <v>117.3</v>
      </c>
      <c r="M233">
        <v>140.5</v>
      </c>
      <c r="N233">
        <v>125.9</v>
      </c>
      <c r="O233">
        <v>146.80000000000001</v>
      </c>
      <c r="P233">
        <v>137.19999999999999</v>
      </c>
      <c r="Q233">
        <v>140.4</v>
      </c>
      <c r="R233">
        <v>127.3</v>
      </c>
      <c r="S233">
        <v>129.5</v>
      </c>
      <c r="T233">
        <v>129</v>
      </c>
      <c r="U233">
        <v>116.3</v>
      </c>
      <c r="V233">
        <v>126.2</v>
      </c>
      <c r="W233">
        <v>137.1</v>
      </c>
      <c r="X233">
        <v>125.5</v>
      </c>
      <c r="Y233">
        <v>125.8</v>
      </c>
      <c r="Z233">
        <v>134.1</v>
      </c>
      <c r="AA233" s="1">
        <f>SUM(Table15[[#This Row],[Cereals and products]:[Food and beverages]])/13</f>
        <v>134.48461538461541</v>
      </c>
      <c r="AB233" s="1">
        <f>SUM(Table15[[#This Row],[Fuel and light]])</f>
        <v>127.3</v>
      </c>
      <c r="AC233" s="1">
        <f>SUM(Table15[[#This Row],[Transport and communication]])</f>
        <v>116.3</v>
      </c>
      <c r="AD233" s="1">
        <f>SUM(Table15[[#This Row],[Housing]],Table15[[#This Row],[Household goods and services]])/2</f>
        <v>134.94999999999999</v>
      </c>
      <c r="AE233" s="1">
        <f>SUM(Table15[[#This Row],[Health]])</f>
        <v>129</v>
      </c>
      <c r="AF233" s="1">
        <f>SUM(Table15[[#This Row],[Recreation and amusement]],Table15[[#This Row],[Education]])/2</f>
        <v>131.65</v>
      </c>
      <c r="AG233" s="1">
        <f>SUM(Table15[[#This Row],[Miscellaneous]],Table15[[#This Row],[Personal care and effects]])/2</f>
        <v>125.65</v>
      </c>
    </row>
    <row r="234" spans="1:33" x14ac:dyDescent="0.3">
      <c r="A234" t="s">
        <v>35</v>
      </c>
      <c r="B234">
        <v>2018</v>
      </c>
      <c r="C234" t="s">
        <v>41</v>
      </c>
      <c r="D234">
        <v>136</v>
      </c>
      <c r="E234">
        <v>144.19999999999999</v>
      </c>
      <c r="F234">
        <v>143.69999999999999</v>
      </c>
      <c r="G234">
        <v>141.1</v>
      </c>
      <c r="H234">
        <v>120.7</v>
      </c>
      <c r="I234">
        <v>141.30000000000001</v>
      </c>
      <c r="J234">
        <v>151.6</v>
      </c>
      <c r="K234">
        <v>127.3</v>
      </c>
      <c r="L234">
        <v>118.8</v>
      </c>
      <c r="M234">
        <v>137.5</v>
      </c>
      <c r="N234">
        <v>129</v>
      </c>
      <c r="O234">
        <v>149.5</v>
      </c>
      <c r="P234">
        <v>139.19999999999999</v>
      </c>
      <c r="Q234">
        <v>140.4</v>
      </c>
      <c r="R234">
        <v>136.6</v>
      </c>
      <c r="S234">
        <v>134.9</v>
      </c>
      <c r="T234">
        <v>133.30000000000001</v>
      </c>
      <c r="U234">
        <v>119.3</v>
      </c>
      <c r="V234">
        <v>129.69999999999999</v>
      </c>
      <c r="W234">
        <v>139</v>
      </c>
      <c r="X234">
        <v>127.3</v>
      </c>
      <c r="Y234">
        <v>129.1</v>
      </c>
      <c r="Z234">
        <v>136.9</v>
      </c>
      <c r="AA234" s="1">
        <f>SUM(Table15[[#This Row],[Cereals and products]:[Food and beverages]])/13</f>
        <v>136.91538461538462</v>
      </c>
      <c r="AB234" s="1">
        <f>SUM(Table15[[#This Row],[Fuel and light]])</f>
        <v>136.6</v>
      </c>
      <c r="AC234" s="1">
        <f>SUM(Table15[[#This Row],[Transport and communication]])</f>
        <v>119.3</v>
      </c>
      <c r="AD234" s="1">
        <f>SUM(Table15[[#This Row],[Housing]],Table15[[#This Row],[Household goods and services]])/2</f>
        <v>137.65</v>
      </c>
      <c r="AE234" s="1">
        <f>SUM(Table15[[#This Row],[Health]])</f>
        <v>133.30000000000001</v>
      </c>
      <c r="AF234" s="1">
        <f>SUM(Table15[[#This Row],[Recreation and amusement]],Table15[[#This Row],[Education]])/2</f>
        <v>134.35</v>
      </c>
      <c r="AG234" s="1">
        <f>SUM(Table15[[#This Row],[Miscellaneous]],Table15[[#This Row],[Personal care and effects]])/2</f>
        <v>128.19999999999999</v>
      </c>
    </row>
    <row r="235" spans="1:33" x14ac:dyDescent="0.3">
      <c r="A235" t="s">
        <v>33</v>
      </c>
      <c r="B235">
        <v>2018</v>
      </c>
      <c r="C235" t="s">
        <v>41</v>
      </c>
      <c r="D235">
        <v>136.6</v>
      </c>
      <c r="E235">
        <v>144.4</v>
      </c>
      <c r="F235">
        <v>143.80000000000001</v>
      </c>
      <c r="G235">
        <v>142</v>
      </c>
      <c r="H235">
        <v>123.2</v>
      </c>
      <c r="I235">
        <v>147.9</v>
      </c>
      <c r="J235">
        <v>152.1</v>
      </c>
      <c r="K235">
        <v>131.80000000000001</v>
      </c>
      <c r="L235">
        <v>119.5</v>
      </c>
      <c r="M235">
        <v>136</v>
      </c>
      <c r="N235">
        <v>131.19999999999999</v>
      </c>
      <c r="O235">
        <v>151.80000000000001</v>
      </c>
      <c r="P235">
        <v>140.4</v>
      </c>
      <c r="Q235">
        <f>AVERAGE(Q233:Q234)</f>
        <v>140.4</v>
      </c>
      <c r="R235">
        <v>142.30000000000001</v>
      </c>
      <c r="S235">
        <v>139.80000000000001</v>
      </c>
      <c r="T235">
        <v>136</v>
      </c>
      <c r="U235">
        <v>122.7</v>
      </c>
      <c r="V235">
        <v>134.30000000000001</v>
      </c>
      <c r="W235">
        <v>141.6</v>
      </c>
      <c r="X235">
        <v>128.6</v>
      </c>
      <c r="Y235">
        <v>132.30000000000001</v>
      </c>
      <c r="Z235">
        <v>139.30000000000001</v>
      </c>
      <c r="AA235" s="1">
        <f>SUM(Table15[[#This Row],[Cereals and products]:[Food and beverages]])/13</f>
        <v>138.51538461538462</v>
      </c>
      <c r="AB235" s="1">
        <f>SUM(Table15[[#This Row],[Fuel and light]])</f>
        <v>142.30000000000001</v>
      </c>
      <c r="AC235" s="1">
        <f>SUM(Table15[[#This Row],[Transport and communication]])</f>
        <v>122.7</v>
      </c>
      <c r="AD235" s="1">
        <f>SUM(Table15[[#This Row],[Housing]],Table15[[#This Row],[Household goods and services]])/2</f>
        <v>140.10000000000002</v>
      </c>
      <c r="AE235" s="1">
        <f>SUM(Table15[[#This Row],[Health]])</f>
        <v>136</v>
      </c>
      <c r="AF235" s="1">
        <f>SUM(Table15[[#This Row],[Recreation and amusement]],Table15[[#This Row],[Education]])/2</f>
        <v>137.94999999999999</v>
      </c>
      <c r="AG235" s="1">
        <f>SUM(Table15[[#This Row],[Miscellaneous]],Table15[[#This Row],[Personal care and effects]])/2</f>
        <v>130.44999999999999</v>
      </c>
    </row>
    <row r="236" spans="1:33" x14ac:dyDescent="0.3">
      <c r="A236" t="s">
        <v>36</v>
      </c>
      <c r="B236">
        <v>2017</v>
      </c>
      <c r="C236" t="s">
        <v>41</v>
      </c>
      <c r="D236">
        <v>132.19999999999999</v>
      </c>
      <c r="E236">
        <v>138.9</v>
      </c>
      <c r="F236">
        <v>132.6</v>
      </c>
      <c r="G236">
        <v>133.1</v>
      </c>
      <c r="H236">
        <v>114</v>
      </c>
      <c r="I236">
        <v>129.6</v>
      </c>
      <c r="J236">
        <v>118.7</v>
      </c>
      <c r="K236">
        <v>155.1</v>
      </c>
      <c r="L236">
        <v>117.3</v>
      </c>
      <c r="M236">
        <v>144.9</v>
      </c>
      <c r="N236">
        <v>123.2</v>
      </c>
      <c r="O236">
        <v>141.6</v>
      </c>
      <c r="P236">
        <v>132</v>
      </c>
      <c r="Q236">
        <v>129.6</v>
      </c>
      <c r="R236">
        <v>118</v>
      </c>
      <c r="S236">
        <v>125.1</v>
      </c>
      <c r="T236">
        <v>122.6</v>
      </c>
      <c r="U236">
        <v>115.2</v>
      </c>
      <c r="V236">
        <v>122</v>
      </c>
      <c r="W236">
        <v>132.4</v>
      </c>
      <c r="X236">
        <v>120.9</v>
      </c>
      <c r="Y236">
        <v>122.1</v>
      </c>
      <c r="Z236">
        <v>127.8</v>
      </c>
      <c r="AA236" s="1">
        <f>SUM(Table15[[#This Row],[Cereals and products]:[Food and beverages]])/13</f>
        <v>131.78461538461539</v>
      </c>
      <c r="AB236" s="1">
        <f>SUM(Table15[[#This Row],[Fuel and light]])</f>
        <v>118</v>
      </c>
      <c r="AC236" s="1">
        <f>SUM(Table15[[#This Row],[Transport and communication]])</f>
        <v>115.2</v>
      </c>
      <c r="AD236" s="1">
        <f>SUM(Table15[[#This Row],[Housing]],Table15[[#This Row],[Household goods and services]])/2</f>
        <v>127.35</v>
      </c>
      <c r="AE236" s="1">
        <f>SUM(Table15[[#This Row],[Health]])</f>
        <v>122.6</v>
      </c>
      <c r="AF236" s="1">
        <f>SUM(Table15[[#This Row],[Recreation and amusement]],Table15[[#This Row],[Education]])/2</f>
        <v>127.2</v>
      </c>
      <c r="AG236" s="1">
        <f>SUM(Table15[[#This Row],[Miscellaneous]],Table15[[#This Row],[Personal care and effects]])/2</f>
        <v>121.5</v>
      </c>
    </row>
    <row r="237" spans="1:33" x14ac:dyDescent="0.3">
      <c r="A237" t="s">
        <v>35</v>
      </c>
      <c r="B237">
        <v>2017</v>
      </c>
      <c r="C237" t="s">
        <v>41</v>
      </c>
      <c r="D237">
        <v>132.80000000000001</v>
      </c>
      <c r="E237">
        <v>138.19999999999999</v>
      </c>
      <c r="F237">
        <v>132.19999999999999</v>
      </c>
      <c r="G237">
        <v>135.4</v>
      </c>
      <c r="H237">
        <v>119.1</v>
      </c>
      <c r="I237">
        <v>133</v>
      </c>
      <c r="J237">
        <v>119.4</v>
      </c>
      <c r="K237">
        <v>159.5</v>
      </c>
      <c r="L237">
        <v>115.6</v>
      </c>
      <c r="M237">
        <v>139.6</v>
      </c>
      <c r="N237">
        <v>126.6</v>
      </c>
      <c r="O237">
        <v>142.80000000000001</v>
      </c>
      <c r="P237">
        <v>133.1</v>
      </c>
      <c r="Q237">
        <v>129.6</v>
      </c>
      <c r="R237">
        <v>126.8</v>
      </c>
      <c r="S237">
        <v>129.4</v>
      </c>
      <c r="T237">
        <v>127.1</v>
      </c>
      <c r="U237">
        <v>117</v>
      </c>
      <c r="V237">
        <v>124.2</v>
      </c>
      <c r="W237">
        <v>133.30000000000001</v>
      </c>
      <c r="X237">
        <v>121.7</v>
      </c>
      <c r="Y237">
        <v>124.4</v>
      </c>
      <c r="Z237">
        <v>130.30000000000001</v>
      </c>
      <c r="AA237" s="1">
        <f>SUM(Table15[[#This Row],[Cereals and products]:[Food and beverages]])/13</f>
        <v>132.86923076923074</v>
      </c>
      <c r="AB237" s="1">
        <f>SUM(Table15[[#This Row],[Fuel and light]])</f>
        <v>126.8</v>
      </c>
      <c r="AC237" s="1">
        <f>SUM(Table15[[#This Row],[Transport and communication]])</f>
        <v>117</v>
      </c>
      <c r="AD237" s="1">
        <f>SUM(Table15[[#This Row],[Housing]],Table15[[#This Row],[Household goods and services]])/2</f>
        <v>129.5</v>
      </c>
      <c r="AE237" s="1">
        <f>SUM(Table15[[#This Row],[Health]])</f>
        <v>127.1</v>
      </c>
      <c r="AF237" s="1">
        <f>SUM(Table15[[#This Row],[Recreation and amusement]],Table15[[#This Row],[Education]])/2</f>
        <v>128.75</v>
      </c>
      <c r="AG237" s="1">
        <f>SUM(Table15[[#This Row],[Miscellaneous]],Table15[[#This Row],[Personal care and effects]])/2</f>
        <v>123.05000000000001</v>
      </c>
    </row>
    <row r="238" spans="1:33" x14ac:dyDescent="0.3">
      <c r="A238" t="s">
        <v>33</v>
      </c>
      <c r="B238">
        <v>2017</v>
      </c>
      <c r="C238" t="s">
        <v>41</v>
      </c>
      <c r="D238">
        <v>133.1</v>
      </c>
      <c r="E238">
        <v>137.80000000000001</v>
      </c>
      <c r="F238">
        <v>131.9</v>
      </c>
      <c r="G238">
        <v>136.69999999999999</v>
      </c>
      <c r="H238">
        <v>122</v>
      </c>
      <c r="I238">
        <v>136</v>
      </c>
      <c r="J238">
        <v>119.8</v>
      </c>
      <c r="K238">
        <v>161.69999999999999</v>
      </c>
      <c r="L238">
        <v>114.8</v>
      </c>
      <c r="M238">
        <v>136.9</v>
      </c>
      <c r="N238">
        <v>129</v>
      </c>
      <c r="O238">
        <v>143.9</v>
      </c>
      <c r="P238">
        <v>133.69999999999999</v>
      </c>
      <c r="Q238">
        <f>AVERAGE(Q236:Q237)</f>
        <v>129.6</v>
      </c>
      <c r="R238">
        <v>132.1</v>
      </c>
      <c r="S238">
        <v>133.19999999999999</v>
      </c>
      <c r="T238">
        <v>129.9</v>
      </c>
      <c r="U238">
        <v>119.1</v>
      </c>
      <c r="V238">
        <v>127</v>
      </c>
      <c r="W238">
        <v>134.6</v>
      </c>
      <c r="X238">
        <v>122.3</v>
      </c>
      <c r="Y238">
        <v>126.6</v>
      </c>
      <c r="Z238">
        <v>132.4</v>
      </c>
      <c r="AA238" s="1">
        <f>SUM(Table15[[#This Row],[Cereals and products]:[Food and beverages]])/13</f>
        <v>133.63846153846154</v>
      </c>
      <c r="AB238" s="1">
        <f>SUM(Table15[[#This Row],[Fuel and light]])</f>
        <v>132.1</v>
      </c>
      <c r="AC238" s="1">
        <f>SUM(Table15[[#This Row],[Transport and communication]])</f>
        <v>119.1</v>
      </c>
      <c r="AD238" s="1">
        <f>SUM(Table15[[#This Row],[Housing]],Table15[[#This Row],[Household goods and services]])/2</f>
        <v>131.39999999999998</v>
      </c>
      <c r="AE238" s="1">
        <f>SUM(Table15[[#This Row],[Health]])</f>
        <v>129.9</v>
      </c>
      <c r="AF238" s="1">
        <f>SUM(Table15[[#This Row],[Recreation and amusement]],Table15[[#This Row],[Education]])/2</f>
        <v>130.80000000000001</v>
      </c>
      <c r="AG238" s="1">
        <f>SUM(Table15[[#This Row],[Miscellaneous]],Table15[[#This Row],[Personal care and effects]])/2</f>
        <v>124.44999999999999</v>
      </c>
    </row>
    <row r="239" spans="1:33" x14ac:dyDescent="0.3">
      <c r="A239" t="s">
        <v>36</v>
      </c>
      <c r="B239">
        <v>2016</v>
      </c>
      <c r="C239" t="s">
        <v>41</v>
      </c>
      <c r="D239">
        <v>124.7</v>
      </c>
      <c r="E239">
        <v>135.9</v>
      </c>
      <c r="F239">
        <v>132</v>
      </c>
      <c r="G239">
        <v>129.19999999999999</v>
      </c>
      <c r="H239">
        <v>109.7</v>
      </c>
      <c r="I239">
        <v>119</v>
      </c>
      <c r="J239">
        <v>144.1</v>
      </c>
      <c r="K239">
        <v>184.2</v>
      </c>
      <c r="L239">
        <v>96.7</v>
      </c>
      <c r="M239">
        <v>139.5</v>
      </c>
      <c r="N239">
        <v>120.5</v>
      </c>
      <c r="O239">
        <v>134.69999999999999</v>
      </c>
      <c r="P239">
        <v>131.19999999999999</v>
      </c>
      <c r="Q239">
        <v>123.4</v>
      </c>
      <c r="R239">
        <v>116.9</v>
      </c>
      <c r="S239">
        <v>121.6</v>
      </c>
      <c r="T239">
        <v>119.1</v>
      </c>
      <c r="U239">
        <v>108.9</v>
      </c>
      <c r="V239">
        <v>118.5</v>
      </c>
      <c r="W239">
        <v>126.4</v>
      </c>
      <c r="X239">
        <v>114</v>
      </c>
      <c r="Y239">
        <v>116.8</v>
      </c>
      <c r="Z239">
        <v>124.2</v>
      </c>
      <c r="AA239" s="1">
        <f>SUM(Table15[[#This Row],[Cereals and products]:[Food and beverages]])/13</f>
        <v>130.87692307692308</v>
      </c>
      <c r="AB239" s="1">
        <f>SUM(Table15[[#This Row],[Fuel and light]])</f>
        <v>116.9</v>
      </c>
      <c r="AC239" s="1">
        <f>SUM(Table15[[#This Row],[Transport and communication]])</f>
        <v>108.9</v>
      </c>
      <c r="AD239" s="1">
        <f>SUM(Table15[[#This Row],[Housing]],Table15[[#This Row],[Household goods and services]])/2</f>
        <v>122.5</v>
      </c>
      <c r="AE239" s="1">
        <f>SUM(Table15[[#This Row],[Health]])</f>
        <v>119.1</v>
      </c>
      <c r="AF239" s="1">
        <f>SUM(Table15[[#This Row],[Recreation and amusement]],Table15[[#This Row],[Education]])/2</f>
        <v>122.45</v>
      </c>
      <c r="AG239" s="1">
        <f>SUM(Table15[[#This Row],[Miscellaneous]],Table15[[#This Row],[Personal care and effects]])/2</f>
        <v>115.4</v>
      </c>
    </row>
    <row r="240" spans="1:33" x14ac:dyDescent="0.3">
      <c r="A240" t="s">
        <v>35</v>
      </c>
      <c r="B240">
        <v>2016</v>
      </c>
      <c r="C240" t="s">
        <v>41</v>
      </c>
      <c r="D240">
        <v>126.1</v>
      </c>
      <c r="E240">
        <v>134.1</v>
      </c>
      <c r="F240">
        <v>128.6</v>
      </c>
      <c r="G240">
        <v>129.9</v>
      </c>
      <c r="H240">
        <v>115.5</v>
      </c>
      <c r="I240">
        <v>125.7</v>
      </c>
      <c r="J240">
        <v>141.5</v>
      </c>
      <c r="K240">
        <v>170.7</v>
      </c>
      <c r="L240">
        <v>97.4</v>
      </c>
      <c r="M240">
        <v>132.9</v>
      </c>
      <c r="N240">
        <v>122.7</v>
      </c>
      <c r="O240">
        <v>135.30000000000001</v>
      </c>
      <c r="P240">
        <v>131.30000000000001</v>
      </c>
      <c r="Q240">
        <v>123.4</v>
      </c>
      <c r="R240">
        <v>122.7</v>
      </c>
      <c r="S240">
        <v>124.2</v>
      </c>
      <c r="T240">
        <v>122</v>
      </c>
      <c r="U240">
        <v>111.1</v>
      </c>
      <c r="V240">
        <v>119.8</v>
      </c>
      <c r="W240">
        <v>126.3</v>
      </c>
      <c r="X240">
        <v>114.5</v>
      </c>
      <c r="Y240">
        <v>118.5</v>
      </c>
      <c r="Z240">
        <v>126.3</v>
      </c>
      <c r="AA240" s="1">
        <f>SUM(Table15[[#This Row],[Cereals and products]:[Food and beverages]])/13</f>
        <v>130.13076923076923</v>
      </c>
      <c r="AB240" s="1">
        <f>SUM(Table15[[#This Row],[Fuel and light]])</f>
        <v>122.7</v>
      </c>
      <c r="AC240" s="1">
        <f>SUM(Table15[[#This Row],[Transport and communication]])</f>
        <v>111.1</v>
      </c>
      <c r="AD240" s="1">
        <f>SUM(Table15[[#This Row],[Housing]],Table15[[#This Row],[Household goods and services]])/2</f>
        <v>123.80000000000001</v>
      </c>
      <c r="AE240" s="1">
        <f>SUM(Table15[[#This Row],[Health]])</f>
        <v>122</v>
      </c>
      <c r="AF240" s="1">
        <f>SUM(Table15[[#This Row],[Recreation and amusement]],Table15[[#This Row],[Education]])/2</f>
        <v>123.05</v>
      </c>
      <c r="AG240" s="1">
        <f>SUM(Table15[[#This Row],[Miscellaneous]],Table15[[#This Row],[Personal care and effects]])/2</f>
        <v>116.5</v>
      </c>
    </row>
    <row r="241" spans="1:33" x14ac:dyDescent="0.3">
      <c r="A241" t="s">
        <v>33</v>
      </c>
      <c r="B241">
        <v>2016</v>
      </c>
      <c r="C241" t="s">
        <v>41</v>
      </c>
      <c r="D241">
        <v>126.8</v>
      </c>
      <c r="E241">
        <v>133.19999999999999</v>
      </c>
      <c r="F241">
        <v>126.5</v>
      </c>
      <c r="G241">
        <v>130.30000000000001</v>
      </c>
      <c r="H241">
        <v>118.9</v>
      </c>
      <c r="I241">
        <v>131.6</v>
      </c>
      <c r="J241">
        <v>140.1</v>
      </c>
      <c r="K241">
        <v>163.80000000000001</v>
      </c>
      <c r="L241">
        <v>97.7</v>
      </c>
      <c r="M241">
        <v>129.6</v>
      </c>
      <c r="N241">
        <v>124.3</v>
      </c>
      <c r="O241">
        <v>135.9</v>
      </c>
      <c r="P241">
        <v>131.4</v>
      </c>
      <c r="Q241">
        <f>AVERAGE(Q239:Q240)</f>
        <v>123.4</v>
      </c>
      <c r="R241">
        <v>126.2</v>
      </c>
      <c r="S241">
        <v>126.6</v>
      </c>
      <c r="T241">
        <v>123.7</v>
      </c>
      <c r="U241">
        <v>113.6</v>
      </c>
      <c r="V241">
        <v>121.4</v>
      </c>
      <c r="W241">
        <v>126.2</v>
      </c>
      <c r="X241">
        <v>114.9</v>
      </c>
      <c r="Y241">
        <v>120.1</v>
      </c>
      <c r="Z241">
        <v>128.1</v>
      </c>
      <c r="AA241" s="1">
        <f>SUM(Table15[[#This Row],[Cereals and products]:[Food and beverages]])/13</f>
        <v>130.00769230769231</v>
      </c>
      <c r="AB241" s="1">
        <f>SUM(Table15[[#This Row],[Fuel and light]])</f>
        <v>126.2</v>
      </c>
      <c r="AC241" s="1">
        <f>SUM(Table15[[#This Row],[Transport and communication]])</f>
        <v>113.6</v>
      </c>
      <c r="AD241" s="1">
        <f>SUM(Table15[[#This Row],[Housing]],Table15[[#This Row],[Household goods and services]])/2</f>
        <v>125</v>
      </c>
      <c r="AE241" s="1">
        <f>SUM(Table15[[#This Row],[Health]])</f>
        <v>123.7</v>
      </c>
      <c r="AF241" s="1">
        <f>SUM(Table15[[#This Row],[Recreation and amusement]],Table15[[#This Row],[Education]])/2</f>
        <v>123.80000000000001</v>
      </c>
      <c r="AG241" s="1">
        <f>SUM(Table15[[#This Row],[Miscellaneous]],Table15[[#This Row],[Personal care and effects]])/2</f>
        <v>117.5</v>
      </c>
    </row>
    <row r="242" spans="1:33" x14ac:dyDescent="0.3">
      <c r="A242" t="s">
        <v>33</v>
      </c>
      <c r="B242">
        <v>2015</v>
      </c>
      <c r="C242" t="s">
        <v>41</v>
      </c>
      <c r="D242">
        <v>123.1</v>
      </c>
      <c r="E242">
        <v>123.1</v>
      </c>
      <c r="F242">
        <v>122.1</v>
      </c>
      <c r="G242">
        <v>124.9</v>
      </c>
      <c r="H242">
        <v>111</v>
      </c>
      <c r="I242">
        <v>130.4</v>
      </c>
      <c r="J242">
        <v>132.30000000000001</v>
      </c>
      <c r="K242">
        <v>117.2</v>
      </c>
      <c r="L242">
        <v>100.5</v>
      </c>
      <c r="M242">
        <v>117.2</v>
      </c>
      <c r="N242">
        <v>117.9</v>
      </c>
      <c r="O242">
        <v>125.6</v>
      </c>
      <c r="P242">
        <v>122.8</v>
      </c>
      <c r="Q242">
        <f>AVERAGE(Q243:Q244)</f>
        <v>117.3</v>
      </c>
      <c r="R242">
        <v>118.4</v>
      </c>
      <c r="S242">
        <v>118.9</v>
      </c>
      <c r="T242">
        <v>116.6</v>
      </c>
      <c r="U242">
        <v>111</v>
      </c>
      <c r="V242">
        <v>114</v>
      </c>
      <c r="W242">
        <v>118.2</v>
      </c>
      <c r="X242">
        <v>110.2</v>
      </c>
      <c r="Y242">
        <v>114.5</v>
      </c>
      <c r="Z242">
        <v>120.3</v>
      </c>
      <c r="AA242" s="1">
        <f>SUM(Table15[[#This Row],[Cereals and products]:[Food and beverages]])/13</f>
        <v>120.62307692307692</v>
      </c>
      <c r="AB242" s="1">
        <f>SUM(Table15[[#This Row],[Fuel and light]])</f>
        <v>118.4</v>
      </c>
      <c r="AC242" s="1">
        <f>SUM(Table15[[#This Row],[Transport and communication]])</f>
        <v>111</v>
      </c>
      <c r="AD242" s="1">
        <f>SUM(Table15[[#This Row],[Housing]],Table15[[#This Row],[Household goods and services]])/2</f>
        <v>118.1</v>
      </c>
      <c r="AE242" s="1">
        <f>SUM(Table15[[#This Row],[Health]])</f>
        <v>116.6</v>
      </c>
      <c r="AF242" s="1">
        <f>SUM(Table15[[#This Row],[Recreation and amusement]],Table15[[#This Row],[Education]])/2</f>
        <v>116.1</v>
      </c>
      <c r="AG242" s="1">
        <f>SUM(Table15[[#This Row],[Miscellaneous]],Table15[[#This Row],[Personal care and effects]])/2</f>
        <v>112.35</v>
      </c>
    </row>
    <row r="243" spans="1:33" x14ac:dyDescent="0.3">
      <c r="A243" t="s">
        <v>35</v>
      </c>
      <c r="B243">
        <v>2015</v>
      </c>
      <c r="C243" t="s">
        <v>41</v>
      </c>
      <c r="D243">
        <v>123.4</v>
      </c>
      <c r="E243">
        <v>123.9</v>
      </c>
      <c r="F243">
        <v>123.8</v>
      </c>
      <c r="G243">
        <v>125</v>
      </c>
      <c r="H243">
        <v>108.5</v>
      </c>
      <c r="I243">
        <v>126.2</v>
      </c>
      <c r="J243">
        <v>133</v>
      </c>
      <c r="K243">
        <v>119.1</v>
      </c>
      <c r="L243">
        <v>99</v>
      </c>
      <c r="M243">
        <v>120.3</v>
      </c>
      <c r="N243">
        <v>117.3</v>
      </c>
      <c r="O243">
        <v>126.7</v>
      </c>
      <c r="P243">
        <v>123.1</v>
      </c>
      <c r="Q243">
        <v>117.3</v>
      </c>
      <c r="R243">
        <v>116.5</v>
      </c>
      <c r="S243">
        <v>118.1</v>
      </c>
      <c r="T243">
        <v>115.5</v>
      </c>
      <c r="U243">
        <v>109.4</v>
      </c>
      <c r="V243">
        <v>114.3</v>
      </c>
      <c r="W243">
        <v>119.7</v>
      </c>
      <c r="X243">
        <v>110.7</v>
      </c>
      <c r="Y243">
        <v>114</v>
      </c>
      <c r="Z243">
        <v>119.5</v>
      </c>
      <c r="AA243" s="1">
        <f>SUM(Table15[[#This Row],[Cereals and products]:[Food and beverages]])/13</f>
        <v>120.71538461538461</v>
      </c>
      <c r="AB243" s="1">
        <f>SUM(Table15[[#This Row],[Fuel and light]])</f>
        <v>116.5</v>
      </c>
      <c r="AC243" s="1">
        <f>SUM(Table15[[#This Row],[Transport and communication]])</f>
        <v>109.4</v>
      </c>
      <c r="AD243" s="1">
        <f>SUM(Table15[[#This Row],[Housing]],Table15[[#This Row],[Household goods and services]])/2</f>
        <v>117.69999999999999</v>
      </c>
      <c r="AE243" s="1">
        <f>SUM(Table15[[#This Row],[Health]])</f>
        <v>115.5</v>
      </c>
      <c r="AF243" s="1">
        <f>SUM(Table15[[#This Row],[Recreation and amusement]],Table15[[#This Row],[Education]])/2</f>
        <v>117</v>
      </c>
      <c r="AG243" s="1">
        <f>SUM(Table15[[#This Row],[Miscellaneous]],Table15[[#This Row],[Personal care and effects]])/2</f>
        <v>112.35</v>
      </c>
    </row>
    <row r="244" spans="1:33" x14ac:dyDescent="0.3">
      <c r="A244" t="s">
        <v>36</v>
      </c>
      <c r="B244">
        <v>2015</v>
      </c>
      <c r="C244" t="s">
        <v>41</v>
      </c>
      <c r="D244">
        <v>124</v>
      </c>
      <c r="E244">
        <v>125.5</v>
      </c>
      <c r="F244">
        <v>126.6</v>
      </c>
      <c r="G244">
        <v>125.2</v>
      </c>
      <c r="H244">
        <v>104.3</v>
      </c>
      <c r="I244">
        <v>121.3</v>
      </c>
      <c r="J244">
        <v>134.4</v>
      </c>
      <c r="K244">
        <v>122.9</v>
      </c>
      <c r="L244">
        <v>96.1</v>
      </c>
      <c r="M244">
        <v>126.6</v>
      </c>
      <c r="N244">
        <v>116.5</v>
      </c>
      <c r="O244">
        <v>128</v>
      </c>
      <c r="P244">
        <v>123.5</v>
      </c>
      <c r="Q244">
        <v>117.3</v>
      </c>
      <c r="R244">
        <v>113.4</v>
      </c>
      <c r="S244">
        <v>117.2</v>
      </c>
      <c r="T244">
        <v>113.7</v>
      </c>
      <c r="U244">
        <v>107.9</v>
      </c>
      <c r="V244">
        <v>114.6</v>
      </c>
      <c r="W244">
        <v>120.8</v>
      </c>
      <c r="X244">
        <v>111.4</v>
      </c>
      <c r="Y244">
        <v>113.4</v>
      </c>
      <c r="Z244">
        <v>118.5</v>
      </c>
      <c r="AA244" s="1">
        <f>SUM(Table15[[#This Row],[Cereals and products]:[Food and beverages]])/13</f>
        <v>121.14615384615384</v>
      </c>
      <c r="AB244" s="1">
        <f>SUM(Table15[[#This Row],[Fuel and light]])</f>
        <v>113.4</v>
      </c>
      <c r="AC244" s="1">
        <f>SUM(Table15[[#This Row],[Transport and communication]])</f>
        <v>107.9</v>
      </c>
      <c r="AD244" s="1">
        <f>SUM(Table15[[#This Row],[Housing]],Table15[[#This Row],[Household goods and services]])/2</f>
        <v>117.25</v>
      </c>
      <c r="AE244" s="1">
        <f>SUM(Table15[[#This Row],[Health]])</f>
        <v>113.7</v>
      </c>
      <c r="AF244" s="1">
        <f>SUM(Table15[[#This Row],[Recreation and amusement]],Table15[[#This Row],[Education]])/2</f>
        <v>117.69999999999999</v>
      </c>
      <c r="AG244" s="1">
        <f>SUM(Table15[[#This Row],[Miscellaneous]],Table15[[#This Row],[Personal care and effects]])/2</f>
        <v>112.4</v>
      </c>
    </row>
    <row r="245" spans="1:33" x14ac:dyDescent="0.3">
      <c r="A245" t="s">
        <v>33</v>
      </c>
      <c r="B245">
        <v>2014</v>
      </c>
      <c r="C245" t="s">
        <v>41</v>
      </c>
      <c r="D245">
        <v>118.9</v>
      </c>
      <c r="E245">
        <v>117.1</v>
      </c>
      <c r="F245">
        <v>120.5</v>
      </c>
      <c r="G245">
        <v>114.4</v>
      </c>
      <c r="H245">
        <v>109</v>
      </c>
      <c r="I245">
        <v>115.5</v>
      </c>
      <c r="J245">
        <v>123.9</v>
      </c>
      <c r="K245">
        <v>109.6</v>
      </c>
      <c r="L245">
        <v>101.8</v>
      </c>
      <c r="M245">
        <v>110.2</v>
      </c>
      <c r="N245">
        <v>112.4</v>
      </c>
      <c r="O245">
        <v>117.3</v>
      </c>
      <c r="P245">
        <v>116</v>
      </c>
      <c r="Q245">
        <f>AVERAGE(Q247)</f>
        <v>111.6</v>
      </c>
      <c r="R245">
        <v>113</v>
      </c>
      <c r="S245">
        <v>112.6</v>
      </c>
      <c r="T245">
        <v>110.6</v>
      </c>
      <c r="U245">
        <v>110.5</v>
      </c>
      <c r="V245">
        <v>109.6</v>
      </c>
      <c r="W245">
        <v>111.8</v>
      </c>
      <c r="X245">
        <v>108.3</v>
      </c>
      <c r="Y245">
        <v>110.6</v>
      </c>
      <c r="Z245">
        <v>114.2</v>
      </c>
      <c r="AA245" s="1">
        <f>SUM(Table15[[#This Row],[Cereals and products]:[Food and beverages]])/13</f>
        <v>114.35384615384616</v>
      </c>
      <c r="AB245" s="1">
        <f>SUM(Table15[[#This Row],[Fuel and light]])</f>
        <v>113</v>
      </c>
      <c r="AC245" s="1">
        <f>SUM(Table15[[#This Row],[Transport and communication]])</f>
        <v>110.5</v>
      </c>
      <c r="AD245" s="1">
        <f>SUM(Table15[[#This Row],[Housing]],Table15[[#This Row],[Household goods and services]])/2</f>
        <v>112.1</v>
      </c>
      <c r="AE245" s="1">
        <f>SUM(Table15[[#This Row],[Health]])</f>
        <v>110.6</v>
      </c>
      <c r="AF245" s="1">
        <f>SUM(Table15[[#This Row],[Recreation and amusement]],Table15[[#This Row],[Education]])/2</f>
        <v>110.69999999999999</v>
      </c>
      <c r="AG245" s="1">
        <f>SUM(Table15[[#This Row],[Miscellaneous]],Table15[[#This Row],[Personal care and effects]])/2</f>
        <v>109.44999999999999</v>
      </c>
    </row>
    <row r="246" spans="1:33" x14ac:dyDescent="0.3">
      <c r="A246" t="s">
        <v>35</v>
      </c>
      <c r="B246">
        <v>2014</v>
      </c>
      <c r="C246" t="s">
        <v>41</v>
      </c>
      <c r="D246">
        <v>119.6</v>
      </c>
      <c r="E246">
        <v>118.8</v>
      </c>
      <c r="F246">
        <v>124.1</v>
      </c>
      <c r="G246">
        <v>114.1</v>
      </c>
      <c r="H246">
        <v>106.8</v>
      </c>
      <c r="I246">
        <v>113.9</v>
      </c>
      <c r="J246">
        <v>122.2</v>
      </c>
      <c r="K246">
        <v>108.9</v>
      </c>
      <c r="L246">
        <v>100.2</v>
      </c>
      <c r="M246">
        <v>111</v>
      </c>
      <c r="N246">
        <v>112.3</v>
      </c>
      <c r="O246">
        <v>118.1</v>
      </c>
      <c r="P246">
        <v>115.8</v>
      </c>
      <c r="Q246">
        <v>111.6</v>
      </c>
      <c r="R246">
        <v>112.2</v>
      </c>
      <c r="S246">
        <v>112.3</v>
      </c>
      <c r="T246">
        <v>110.3</v>
      </c>
      <c r="U246">
        <v>110.7</v>
      </c>
      <c r="V246">
        <v>109.7</v>
      </c>
      <c r="W246">
        <v>111.6</v>
      </c>
      <c r="X246">
        <v>108.2</v>
      </c>
      <c r="Y246">
        <v>110.6</v>
      </c>
      <c r="Z246">
        <v>113.6</v>
      </c>
      <c r="AA246" s="1">
        <f>SUM(Table15[[#This Row],[Cereals and products]:[Food and beverages]])/13</f>
        <v>114.29230769230767</v>
      </c>
      <c r="AB246" s="1">
        <f>SUM(Table15[[#This Row],[Fuel and light]])</f>
        <v>112.2</v>
      </c>
      <c r="AC246" s="1">
        <f>SUM(Table15[[#This Row],[Transport and communication]])</f>
        <v>110.7</v>
      </c>
      <c r="AD246" s="1">
        <f>SUM(Table15[[#This Row],[Housing]],Table15[[#This Row],[Household goods and services]])/2</f>
        <v>111.94999999999999</v>
      </c>
      <c r="AE246" s="1">
        <f>SUM(Table15[[#This Row],[Health]])</f>
        <v>110.3</v>
      </c>
      <c r="AF246" s="1">
        <f>SUM(Table15[[#This Row],[Recreation and amusement]],Table15[[#This Row],[Education]])/2</f>
        <v>110.65</v>
      </c>
      <c r="AG246" s="1">
        <f>SUM(Table15[[#This Row],[Miscellaneous]],Table15[[#This Row],[Personal care and effects]])/2</f>
        <v>109.4</v>
      </c>
    </row>
    <row r="247" spans="1:33" x14ac:dyDescent="0.3">
      <c r="A247" t="s">
        <v>36</v>
      </c>
      <c r="B247">
        <v>2014</v>
      </c>
      <c r="C247" t="s">
        <v>41</v>
      </c>
      <c r="D247">
        <v>121.2</v>
      </c>
      <c r="E247">
        <v>122</v>
      </c>
      <c r="F247">
        <v>129.9</v>
      </c>
      <c r="G247">
        <v>113.6</v>
      </c>
      <c r="H247">
        <v>102.9</v>
      </c>
      <c r="I247">
        <v>112.1</v>
      </c>
      <c r="J247">
        <v>118.9</v>
      </c>
      <c r="K247">
        <v>107.5</v>
      </c>
      <c r="L247">
        <v>96.9</v>
      </c>
      <c r="M247">
        <v>112.7</v>
      </c>
      <c r="N247">
        <v>112.1</v>
      </c>
      <c r="O247">
        <v>119</v>
      </c>
      <c r="P247">
        <v>115.5</v>
      </c>
      <c r="Q247">
        <v>111.6</v>
      </c>
      <c r="R247">
        <v>111</v>
      </c>
      <c r="S247">
        <v>111.9</v>
      </c>
      <c r="T247">
        <v>109.7</v>
      </c>
      <c r="U247">
        <v>110.8</v>
      </c>
      <c r="V247">
        <v>109.8</v>
      </c>
      <c r="W247">
        <v>111.5</v>
      </c>
      <c r="X247">
        <v>108</v>
      </c>
      <c r="Y247">
        <v>110.5</v>
      </c>
      <c r="Z247">
        <v>112.9</v>
      </c>
      <c r="AA247" s="1">
        <f>SUM(Table15[[#This Row],[Cereals and products]:[Food and beverages]])/13</f>
        <v>114.17692307692307</v>
      </c>
      <c r="AB247" s="1">
        <f>SUM(Table15[[#This Row],[Fuel and light]])</f>
        <v>111</v>
      </c>
      <c r="AC247" s="1">
        <f>SUM(Table15[[#This Row],[Transport and communication]])</f>
        <v>110.8</v>
      </c>
      <c r="AD247" s="1">
        <f>SUM(Table15[[#This Row],[Housing]],Table15[[#This Row],[Household goods and services]])/2</f>
        <v>111.75</v>
      </c>
      <c r="AE247" s="1">
        <f>SUM(Table15[[#This Row],[Health]])</f>
        <v>109.7</v>
      </c>
      <c r="AF247" s="1">
        <f>SUM(Table15[[#This Row],[Recreation and amusement]],Table15[[#This Row],[Education]])/2</f>
        <v>110.65</v>
      </c>
      <c r="AG247" s="1">
        <f>SUM(Table15[[#This Row],[Miscellaneous]],Table15[[#This Row],[Personal care and effects]])/2</f>
        <v>109.25</v>
      </c>
    </row>
    <row r="248" spans="1:33" x14ac:dyDescent="0.3">
      <c r="A248" t="s">
        <v>33</v>
      </c>
      <c r="B248">
        <v>2013</v>
      </c>
      <c r="C248" t="s">
        <v>41</v>
      </c>
      <c r="D248">
        <v>107.5</v>
      </c>
      <c r="E248">
        <v>106.3</v>
      </c>
      <c r="F248">
        <v>108.1</v>
      </c>
      <c r="G248">
        <v>104.9</v>
      </c>
      <c r="H248">
        <v>106.1</v>
      </c>
      <c r="I248">
        <v>103.9</v>
      </c>
      <c r="J248">
        <v>101.9</v>
      </c>
      <c r="K248">
        <v>106.1</v>
      </c>
      <c r="L248">
        <v>106.8</v>
      </c>
      <c r="M248">
        <v>103.1</v>
      </c>
      <c r="N248">
        <v>104.8</v>
      </c>
      <c r="O248">
        <v>106.7</v>
      </c>
      <c r="P248">
        <v>105.5</v>
      </c>
      <c r="Q248">
        <f>AVERAGE(Q249:Q250)</f>
        <v>100.3</v>
      </c>
      <c r="R248">
        <v>105.5</v>
      </c>
      <c r="S248">
        <v>104.8</v>
      </c>
      <c r="T248">
        <v>104</v>
      </c>
      <c r="U248">
        <v>103.3</v>
      </c>
      <c r="V248">
        <v>103.4</v>
      </c>
      <c r="W248">
        <v>103.8</v>
      </c>
      <c r="X248">
        <v>104.7</v>
      </c>
      <c r="Y248">
        <v>104</v>
      </c>
      <c r="Z248">
        <v>105.1</v>
      </c>
      <c r="AA248" s="1">
        <f>SUM(Table15[[#This Row],[Cereals and products]:[Food and beverages]])/13</f>
        <v>105.5153846153846</v>
      </c>
      <c r="AB248" s="1">
        <f>SUM(Table15[[#This Row],[Fuel and light]])</f>
        <v>105.5</v>
      </c>
      <c r="AC248" s="1">
        <f>SUM(Table15[[#This Row],[Transport and communication]])</f>
        <v>103.3</v>
      </c>
      <c r="AD248" s="1">
        <f>SUM(Table15[[#This Row],[Housing]],Table15[[#This Row],[Household goods and services]])/2</f>
        <v>102.55</v>
      </c>
      <c r="AE248" s="1">
        <f>SUM(Table15[[#This Row],[Health]])</f>
        <v>104</v>
      </c>
      <c r="AF248" s="1">
        <f>SUM(Table15[[#This Row],[Recreation and amusement]],Table15[[#This Row],[Education]])/2</f>
        <v>103.6</v>
      </c>
      <c r="AG248" s="1">
        <f>SUM(Table15[[#This Row],[Miscellaneous]],Table15[[#This Row],[Personal care and effects]])/2</f>
        <v>104.35</v>
      </c>
    </row>
    <row r="249" spans="1:33" x14ac:dyDescent="0.3">
      <c r="A249" t="s">
        <v>35</v>
      </c>
      <c r="B249">
        <v>2013</v>
      </c>
      <c r="C249" t="s">
        <v>41</v>
      </c>
      <c r="D249">
        <v>108.4</v>
      </c>
      <c r="E249">
        <v>107.3</v>
      </c>
      <c r="F249">
        <v>110</v>
      </c>
      <c r="G249">
        <v>104.4</v>
      </c>
      <c r="H249">
        <v>105.1</v>
      </c>
      <c r="I249">
        <v>103.2</v>
      </c>
      <c r="J249">
        <v>102.2</v>
      </c>
      <c r="K249">
        <v>106</v>
      </c>
      <c r="L249">
        <v>106.2</v>
      </c>
      <c r="M249">
        <v>102.7</v>
      </c>
      <c r="N249">
        <v>104.9</v>
      </c>
      <c r="O249">
        <v>107.3</v>
      </c>
      <c r="P249">
        <v>105.6</v>
      </c>
      <c r="Q249">
        <v>100.3</v>
      </c>
      <c r="R249">
        <v>105.5</v>
      </c>
      <c r="S249">
        <v>104.8</v>
      </c>
      <c r="T249">
        <v>104</v>
      </c>
      <c r="U249">
        <v>103.2</v>
      </c>
      <c r="V249">
        <v>103.1</v>
      </c>
      <c r="W249">
        <v>103.6</v>
      </c>
      <c r="X249">
        <v>104.5</v>
      </c>
      <c r="Y249">
        <v>103.9</v>
      </c>
      <c r="Z249">
        <v>104.6</v>
      </c>
      <c r="AA249" s="1">
        <f>SUM(Table15[[#This Row],[Cereals and products]:[Food and beverages]])/13</f>
        <v>105.63846153846156</v>
      </c>
      <c r="AB249" s="1">
        <f>SUM(Table15[[#This Row],[Fuel and light]])</f>
        <v>105.5</v>
      </c>
      <c r="AC249" s="1">
        <f>SUM(Table15[[#This Row],[Transport and communication]])</f>
        <v>103.2</v>
      </c>
      <c r="AD249" s="1">
        <f>SUM(Table15[[#This Row],[Housing]],Table15[[#This Row],[Household goods and services]])/2</f>
        <v>102.55</v>
      </c>
      <c r="AE249" s="1">
        <f>SUM(Table15[[#This Row],[Health]])</f>
        <v>104</v>
      </c>
      <c r="AF249" s="1">
        <f>SUM(Table15[[#This Row],[Recreation and amusement]],Table15[[#This Row],[Education]])/2</f>
        <v>103.35</v>
      </c>
      <c r="AG249" s="1">
        <f>SUM(Table15[[#This Row],[Miscellaneous]],Table15[[#This Row],[Personal care and effects]])/2</f>
        <v>104.2</v>
      </c>
    </row>
    <row r="250" spans="1:33" x14ac:dyDescent="0.3">
      <c r="A250" t="s">
        <v>36</v>
      </c>
      <c r="B250">
        <v>2013</v>
      </c>
      <c r="C250" t="s">
        <v>41</v>
      </c>
      <c r="D250">
        <v>110.5</v>
      </c>
      <c r="E250">
        <v>109.1</v>
      </c>
      <c r="F250">
        <v>113</v>
      </c>
      <c r="G250">
        <v>103.6</v>
      </c>
      <c r="H250">
        <v>103.4</v>
      </c>
      <c r="I250">
        <v>102.3</v>
      </c>
      <c r="J250">
        <v>102.9</v>
      </c>
      <c r="K250">
        <v>105.8</v>
      </c>
      <c r="L250">
        <v>105.1</v>
      </c>
      <c r="M250">
        <v>101.8</v>
      </c>
      <c r="N250">
        <v>105.1</v>
      </c>
      <c r="O250">
        <v>107.9</v>
      </c>
      <c r="P250">
        <v>105.9</v>
      </c>
      <c r="Q250">
        <v>100.3</v>
      </c>
      <c r="R250">
        <v>105.4</v>
      </c>
      <c r="S250">
        <v>104.8</v>
      </c>
      <c r="T250">
        <v>104.1</v>
      </c>
      <c r="U250">
        <v>103.2</v>
      </c>
      <c r="V250">
        <v>102.9</v>
      </c>
      <c r="W250">
        <v>103.5</v>
      </c>
      <c r="X250">
        <v>104.3</v>
      </c>
      <c r="Y250">
        <v>103.7</v>
      </c>
      <c r="Z250">
        <v>104</v>
      </c>
      <c r="AA250" s="1">
        <f>SUM(Table15[[#This Row],[Cereals and products]:[Food and beverages]])/13</f>
        <v>105.87692307692308</v>
      </c>
      <c r="AB250" s="1">
        <f>SUM(Table15[[#This Row],[Fuel and light]])</f>
        <v>105.4</v>
      </c>
      <c r="AC250" s="1">
        <f>SUM(Table15[[#This Row],[Transport and communication]])</f>
        <v>103.2</v>
      </c>
      <c r="AD250" s="1">
        <f>SUM(Table15[[#This Row],[Housing]],Table15[[#This Row],[Household goods and services]])/2</f>
        <v>102.55</v>
      </c>
      <c r="AE250" s="1">
        <f>SUM(Table15[[#This Row],[Health]])</f>
        <v>104.1</v>
      </c>
      <c r="AF250" s="1">
        <f>SUM(Table15[[#This Row],[Recreation and amusement]],Table15[[#This Row],[Education]])/2</f>
        <v>103.2</v>
      </c>
      <c r="AG250" s="1">
        <f>SUM(Table15[[#This Row],[Miscellaneous]],Table15[[#This Row],[Personal care and effects]])/2</f>
        <v>104</v>
      </c>
    </row>
    <row r="251" spans="1:33" x14ac:dyDescent="0.3">
      <c r="A251" t="s">
        <v>33</v>
      </c>
      <c r="B251">
        <v>2023</v>
      </c>
      <c r="C251" t="s">
        <v>39</v>
      </c>
      <c r="D251">
        <v>174.2</v>
      </c>
      <c r="E251">
        <v>205.2</v>
      </c>
      <c r="F251">
        <v>173.9</v>
      </c>
      <c r="G251">
        <v>177</v>
      </c>
      <c r="H251">
        <v>183.4</v>
      </c>
      <c r="I251">
        <v>167.2</v>
      </c>
      <c r="J251">
        <v>140.9</v>
      </c>
      <c r="K251">
        <v>170.4</v>
      </c>
      <c r="L251">
        <v>119.1</v>
      </c>
      <c r="M251">
        <v>212.1</v>
      </c>
      <c r="N251">
        <v>177.6</v>
      </c>
      <c r="O251">
        <v>189.9</v>
      </c>
      <c r="P251">
        <v>174.8</v>
      </c>
      <c r="Q251">
        <f>AVERAGE(Q253)</f>
        <v>173.5</v>
      </c>
      <c r="R251">
        <v>181.6</v>
      </c>
      <c r="S251">
        <v>178.6</v>
      </c>
      <c r="T251">
        <v>186.6</v>
      </c>
      <c r="U251">
        <v>169</v>
      </c>
      <c r="V251">
        <v>172.8</v>
      </c>
      <c r="W251">
        <v>178.5</v>
      </c>
      <c r="X251">
        <v>180.7</v>
      </c>
      <c r="Y251">
        <v>177.9</v>
      </c>
      <c r="Z251">
        <v>178</v>
      </c>
      <c r="AA251" s="1">
        <f>SUM(Table15[[#This Row],[Cereals and products]:[Food and beverages]])/13</f>
        <v>174.28461538461536</v>
      </c>
      <c r="AB251" s="1">
        <f>SUM(Table15[[#This Row],[Fuel and light]])</f>
        <v>181.6</v>
      </c>
      <c r="AC251" s="1">
        <f>SUM(Table15[[#This Row],[Transport and communication]])</f>
        <v>169</v>
      </c>
      <c r="AD251" s="1">
        <f>SUM(Table15[[#This Row],[Housing]],Table15[[#This Row],[Household goods and services]])/2</f>
        <v>176.05</v>
      </c>
      <c r="AE251" s="1">
        <f>SUM(Table15[[#This Row],[Health]])</f>
        <v>186.6</v>
      </c>
      <c r="AF251" s="1">
        <f>SUM(Table15[[#This Row],[Recreation and amusement]],Table15[[#This Row],[Education]])/2</f>
        <v>175.65</v>
      </c>
      <c r="AG251" s="1">
        <f>SUM(Table15[[#This Row],[Miscellaneous]],Table15[[#This Row],[Personal care and effects]])/2</f>
        <v>179.3</v>
      </c>
    </row>
    <row r="252" spans="1:33" x14ac:dyDescent="0.3">
      <c r="A252" t="s">
        <v>35</v>
      </c>
      <c r="B252">
        <v>2023</v>
      </c>
      <c r="C252" t="s">
        <v>39</v>
      </c>
      <c r="D252">
        <v>174.4</v>
      </c>
      <c r="E252">
        <v>207.7</v>
      </c>
      <c r="F252">
        <v>175.2</v>
      </c>
      <c r="G252">
        <v>177.3</v>
      </c>
      <c r="H252">
        <v>179.3</v>
      </c>
      <c r="I252">
        <v>169.5</v>
      </c>
      <c r="J252">
        <v>152.69999999999999</v>
      </c>
      <c r="K252">
        <v>171</v>
      </c>
      <c r="L252">
        <v>120</v>
      </c>
      <c r="M252">
        <v>209.7</v>
      </c>
      <c r="N252">
        <v>172.3</v>
      </c>
      <c r="O252">
        <v>193</v>
      </c>
      <c r="P252">
        <v>177</v>
      </c>
      <c r="Q252">
        <v>173.5</v>
      </c>
      <c r="R252">
        <v>182.1</v>
      </c>
      <c r="S252">
        <v>174.2</v>
      </c>
      <c r="T252">
        <v>184.4</v>
      </c>
      <c r="U252">
        <v>164.2</v>
      </c>
      <c r="V252">
        <v>170.3</v>
      </c>
      <c r="W252">
        <v>175</v>
      </c>
      <c r="X252">
        <v>181</v>
      </c>
      <c r="Y252">
        <v>174.1</v>
      </c>
      <c r="Z252">
        <v>177.2</v>
      </c>
      <c r="AA252" s="1">
        <f>SUM(Table15[[#This Row],[Cereals and products]:[Food and beverages]])/13</f>
        <v>175.3153846153846</v>
      </c>
      <c r="AB252" s="1">
        <f>SUM(Table15[[#This Row],[Fuel and light]])</f>
        <v>182.1</v>
      </c>
      <c r="AC252" s="1">
        <f>SUM(Table15[[#This Row],[Transport and communication]])</f>
        <v>164.2</v>
      </c>
      <c r="AD252" s="1">
        <f>SUM(Table15[[#This Row],[Housing]],Table15[[#This Row],[Household goods and services]])/2</f>
        <v>173.85</v>
      </c>
      <c r="AE252" s="1">
        <f>SUM(Table15[[#This Row],[Health]])</f>
        <v>184.4</v>
      </c>
      <c r="AF252" s="1">
        <f>SUM(Table15[[#This Row],[Recreation and amusement]],Table15[[#This Row],[Education]])/2</f>
        <v>172.65</v>
      </c>
      <c r="AG252" s="1">
        <f>SUM(Table15[[#This Row],[Miscellaneous]],Table15[[#This Row],[Personal care and effects]])/2</f>
        <v>177.55</v>
      </c>
    </row>
    <row r="253" spans="1:33" x14ac:dyDescent="0.3">
      <c r="A253" t="s">
        <v>36</v>
      </c>
      <c r="B253">
        <v>2023</v>
      </c>
      <c r="C253" t="s">
        <v>39</v>
      </c>
      <c r="D253">
        <v>174.7</v>
      </c>
      <c r="E253">
        <v>212.2</v>
      </c>
      <c r="F253">
        <v>177.2</v>
      </c>
      <c r="G253">
        <v>177.9</v>
      </c>
      <c r="H253">
        <v>172.2</v>
      </c>
      <c r="I253">
        <v>172.1</v>
      </c>
      <c r="J253">
        <v>175.8</v>
      </c>
      <c r="K253">
        <v>172.2</v>
      </c>
      <c r="L253">
        <v>121.9</v>
      </c>
      <c r="M253">
        <v>204.8</v>
      </c>
      <c r="N253">
        <v>164.9</v>
      </c>
      <c r="O253">
        <v>196.6</v>
      </c>
      <c r="P253">
        <v>180.7</v>
      </c>
      <c r="Q253">
        <v>173.5</v>
      </c>
      <c r="R253">
        <v>182.8</v>
      </c>
      <c r="S253">
        <v>169.2</v>
      </c>
      <c r="T253">
        <v>180.8</v>
      </c>
      <c r="U253">
        <v>159.80000000000001</v>
      </c>
      <c r="V253">
        <v>168.4</v>
      </c>
      <c r="W253">
        <v>172.5</v>
      </c>
      <c r="X253">
        <v>181.4</v>
      </c>
      <c r="Y253">
        <v>170</v>
      </c>
      <c r="Z253">
        <v>176.3</v>
      </c>
      <c r="AA253" s="1">
        <f>SUM(Table15[[#This Row],[Cereals and products]:[Food and beverages]])/13</f>
        <v>177.16923076923075</v>
      </c>
      <c r="AB253" s="1">
        <f>SUM(Table15[[#This Row],[Fuel and light]])</f>
        <v>182.8</v>
      </c>
      <c r="AC253" s="1">
        <f>SUM(Table15[[#This Row],[Transport and communication]])</f>
        <v>159.80000000000001</v>
      </c>
      <c r="AD253" s="1">
        <f>SUM(Table15[[#This Row],[Housing]],Table15[[#This Row],[Household goods and services]])/2</f>
        <v>171.35</v>
      </c>
      <c r="AE253" s="1">
        <f>SUM(Table15[[#This Row],[Health]])</f>
        <v>180.8</v>
      </c>
      <c r="AF253" s="1">
        <f>SUM(Table15[[#This Row],[Recreation and amusement]],Table15[[#This Row],[Education]])/2</f>
        <v>170.45</v>
      </c>
      <c r="AG253" s="1">
        <f>SUM(Table15[[#This Row],[Miscellaneous]],Table15[[#This Row],[Personal care and effects]])/2</f>
        <v>175.7</v>
      </c>
    </row>
    <row r="254" spans="1:33" x14ac:dyDescent="0.3">
      <c r="A254" t="s">
        <v>33</v>
      </c>
      <c r="B254">
        <v>2022</v>
      </c>
      <c r="C254" t="s">
        <v>39</v>
      </c>
      <c r="D254">
        <v>148.80000000000001</v>
      </c>
      <c r="E254">
        <v>198.1</v>
      </c>
      <c r="F254">
        <v>175.5</v>
      </c>
      <c r="G254">
        <v>160.69999999999999</v>
      </c>
      <c r="H254">
        <v>192.6</v>
      </c>
      <c r="I254">
        <v>151.4</v>
      </c>
      <c r="J254">
        <v>155.19999999999999</v>
      </c>
      <c r="K254">
        <v>163.9</v>
      </c>
      <c r="L254">
        <v>118.1</v>
      </c>
      <c r="M254">
        <v>175.4</v>
      </c>
      <c r="N254">
        <v>170.5</v>
      </c>
      <c r="O254">
        <v>176.3</v>
      </c>
      <c r="P254">
        <v>163.9</v>
      </c>
      <c r="Q254">
        <f>AVERAGE(Q255:Q256)</f>
        <v>165.5</v>
      </c>
      <c r="R254">
        <v>167.4</v>
      </c>
      <c r="S254">
        <v>165.7</v>
      </c>
      <c r="T254">
        <v>175.3</v>
      </c>
      <c r="U254">
        <v>161.19999999999999</v>
      </c>
      <c r="V254">
        <v>165.5</v>
      </c>
      <c r="W254">
        <v>170.3</v>
      </c>
      <c r="X254">
        <v>164.5</v>
      </c>
      <c r="Y254">
        <v>167.3</v>
      </c>
      <c r="Z254">
        <v>166.7</v>
      </c>
      <c r="AA254" s="1">
        <f>SUM(Table15[[#This Row],[Cereals and products]:[Food and beverages]])/13</f>
        <v>165.41538461538462</v>
      </c>
      <c r="AB254" s="1">
        <f>SUM(Table15[[#This Row],[Fuel and light]])</f>
        <v>167.4</v>
      </c>
      <c r="AC254" s="1">
        <f>SUM(Table15[[#This Row],[Transport and communication]])</f>
        <v>161.19999999999999</v>
      </c>
      <c r="AD254" s="1">
        <f>SUM(Table15[[#This Row],[Housing]],Table15[[#This Row],[Household goods and services]])/2</f>
        <v>165.6</v>
      </c>
      <c r="AE254" s="1">
        <f>SUM(Table15[[#This Row],[Health]])</f>
        <v>175.3</v>
      </c>
      <c r="AF254" s="1">
        <f>SUM(Table15[[#This Row],[Recreation and amusement]],Table15[[#This Row],[Education]])/2</f>
        <v>167.9</v>
      </c>
      <c r="AG254" s="1">
        <f>SUM(Table15[[#This Row],[Miscellaneous]],Table15[[#This Row],[Personal care and effects]])/2</f>
        <v>165.9</v>
      </c>
    </row>
    <row r="255" spans="1:33" x14ac:dyDescent="0.3">
      <c r="A255" t="s">
        <v>35</v>
      </c>
      <c r="B255">
        <v>2022</v>
      </c>
      <c r="C255" t="s">
        <v>39</v>
      </c>
      <c r="D255">
        <v>150</v>
      </c>
      <c r="E255">
        <v>200.6</v>
      </c>
      <c r="F255">
        <v>175.8</v>
      </c>
      <c r="G255">
        <v>160.69999999999999</v>
      </c>
      <c r="H255">
        <v>184.9</v>
      </c>
      <c r="I255">
        <v>153.69999999999999</v>
      </c>
      <c r="J255">
        <v>169.7</v>
      </c>
      <c r="K255">
        <v>163.69999999999999</v>
      </c>
      <c r="L255">
        <v>118.9</v>
      </c>
      <c r="M255">
        <v>174.3</v>
      </c>
      <c r="N255">
        <v>164.7</v>
      </c>
      <c r="O255">
        <v>178</v>
      </c>
      <c r="P255">
        <v>166.2</v>
      </c>
      <c r="Q255">
        <v>165.5</v>
      </c>
      <c r="R255">
        <v>165.7</v>
      </c>
      <c r="S255">
        <v>161.80000000000001</v>
      </c>
      <c r="T255">
        <v>172.2</v>
      </c>
      <c r="U255">
        <v>156.9</v>
      </c>
      <c r="V255">
        <v>162.1</v>
      </c>
      <c r="W255">
        <v>165.4</v>
      </c>
      <c r="X255">
        <v>164.4</v>
      </c>
      <c r="Y255">
        <v>163.5</v>
      </c>
      <c r="Z255">
        <v>166.1</v>
      </c>
      <c r="AA255" s="1">
        <f>SUM(Table15[[#This Row],[Cereals and products]:[Food and beverages]])/13</f>
        <v>166.24615384615387</v>
      </c>
      <c r="AB255" s="1">
        <f>SUM(Table15[[#This Row],[Fuel and light]])</f>
        <v>165.7</v>
      </c>
      <c r="AC255" s="1">
        <f>SUM(Table15[[#This Row],[Transport and communication]])</f>
        <v>156.9</v>
      </c>
      <c r="AD255" s="1">
        <f>SUM(Table15[[#This Row],[Housing]],Table15[[#This Row],[Household goods and services]])/2</f>
        <v>163.65</v>
      </c>
      <c r="AE255" s="1">
        <f>SUM(Table15[[#This Row],[Health]])</f>
        <v>172.2</v>
      </c>
      <c r="AF255" s="1">
        <f>SUM(Table15[[#This Row],[Recreation and amusement]],Table15[[#This Row],[Education]])/2</f>
        <v>163.75</v>
      </c>
      <c r="AG255" s="1">
        <f>SUM(Table15[[#This Row],[Miscellaneous]],Table15[[#This Row],[Personal care and effects]])/2</f>
        <v>163.95</v>
      </c>
    </row>
    <row r="256" spans="1:33" x14ac:dyDescent="0.3">
      <c r="A256" t="s">
        <v>36</v>
      </c>
      <c r="B256">
        <v>2022</v>
      </c>
      <c r="C256" t="s">
        <v>39</v>
      </c>
      <c r="D256">
        <v>152.5</v>
      </c>
      <c r="E256">
        <v>205.2</v>
      </c>
      <c r="F256">
        <v>176.4</v>
      </c>
      <c r="G256">
        <v>160.6</v>
      </c>
      <c r="H256">
        <v>171.5</v>
      </c>
      <c r="I256">
        <v>156.4</v>
      </c>
      <c r="J256">
        <v>198</v>
      </c>
      <c r="K256">
        <v>163.19999999999999</v>
      </c>
      <c r="L256">
        <v>120.6</v>
      </c>
      <c r="M256">
        <v>172.2</v>
      </c>
      <c r="N256">
        <v>156.69999999999999</v>
      </c>
      <c r="O256">
        <v>180</v>
      </c>
      <c r="P256">
        <v>170.2</v>
      </c>
      <c r="Q256">
        <v>165.5</v>
      </c>
      <c r="R256">
        <v>163</v>
      </c>
      <c r="S256">
        <v>157.4</v>
      </c>
      <c r="T256">
        <v>167.2</v>
      </c>
      <c r="U256">
        <v>153.1</v>
      </c>
      <c r="V256">
        <v>159.5</v>
      </c>
      <c r="W256">
        <v>162</v>
      </c>
      <c r="X256">
        <v>164.2</v>
      </c>
      <c r="Y256">
        <v>159.4</v>
      </c>
      <c r="Z256">
        <v>165.5</v>
      </c>
      <c r="AA256" s="1">
        <f>SUM(Table15[[#This Row],[Cereals and products]:[Food and beverages]])/13</f>
        <v>167.96153846153845</v>
      </c>
      <c r="AB256" s="1">
        <f>SUM(Table15[[#This Row],[Fuel and light]])</f>
        <v>163</v>
      </c>
      <c r="AC256" s="1">
        <f>SUM(Table15[[#This Row],[Transport and communication]])</f>
        <v>153.1</v>
      </c>
      <c r="AD256" s="1">
        <f>SUM(Table15[[#This Row],[Housing]],Table15[[#This Row],[Household goods and services]])/2</f>
        <v>161.44999999999999</v>
      </c>
      <c r="AE256" s="1">
        <f>SUM(Table15[[#This Row],[Health]])</f>
        <v>167.2</v>
      </c>
      <c r="AF256" s="1">
        <f>SUM(Table15[[#This Row],[Recreation and amusement]],Table15[[#This Row],[Education]])/2</f>
        <v>160.75</v>
      </c>
      <c r="AG256" s="1">
        <f>SUM(Table15[[#This Row],[Miscellaneous]],Table15[[#This Row],[Personal care and effects]])/2</f>
        <v>161.80000000000001</v>
      </c>
    </row>
    <row r="257" spans="1:33" x14ac:dyDescent="0.3">
      <c r="A257" t="s">
        <v>33</v>
      </c>
      <c r="B257">
        <v>2021</v>
      </c>
      <c r="C257" t="s">
        <v>37</v>
      </c>
      <c r="D257">
        <v>144.9</v>
      </c>
      <c r="E257">
        <v>202.3</v>
      </c>
      <c r="F257">
        <v>176.5</v>
      </c>
      <c r="G257">
        <v>157.5</v>
      </c>
      <c r="H257">
        <v>190.9</v>
      </c>
      <c r="I257">
        <v>155.69999999999999</v>
      </c>
      <c r="J257">
        <v>153.9</v>
      </c>
      <c r="K257">
        <v>162.80000000000001</v>
      </c>
      <c r="L257">
        <v>115.2</v>
      </c>
      <c r="M257">
        <v>169.8</v>
      </c>
      <c r="N257">
        <v>167.6</v>
      </c>
      <c r="O257">
        <v>171.9</v>
      </c>
      <c r="P257">
        <v>161.80000000000001</v>
      </c>
      <c r="Q257">
        <f>AVERAGE(Q258:Q259)</f>
        <v>162.1</v>
      </c>
      <c r="R257">
        <v>163.1</v>
      </c>
      <c r="S257">
        <v>160.9</v>
      </c>
      <c r="T257">
        <v>171.1</v>
      </c>
      <c r="U257">
        <v>157.69999999999999</v>
      </c>
      <c r="V257">
        <v>161.1</v>
      </c>
      <c r="W257">
        <v>167.5</v>
      </c>
      <c r="X257">
        <v>160.30000000000001</v>
      </c>
      <c r="Y257">
        <v>163.30000000000001</v>
      </c>
      <c r="Z257">
        <v>163.6</v>
      </c>
      <c r="AA257" s="1">
        <f>SUM(Table15[[#This Row],[Cereals and products]:[Food and beverages]])/13</f>
        <v>163.90769230769232</v>
      </c>
      <c r="AB257" s="1">
        <f>SUM(Table15[[#This Row],[Fuel and light]])</f>
        <v>163.1</v>
      </c>
      <c r="AC257" s="1">
        <f>SUM(Table15[[#This Row],[Transport and communication]])</f>
        <v>157.69999999999999</v>
      </c>
      <c r="AD257" s="1">
        <f>SUM(Table15[[#This Row],[Housing]],Table15[[#This Row],[Household goods and services]])/2</f>
        <v>161.5</v>
      </c>
      <c r="AE257" s="1">
        <f>SUM(Table15[[#This Row],[Health]])</f>
        <v>171.1</v>
      </c>
      <c r="AF257" s="1">
        <f>SUM(Table15[[#This Row],[Recreation and amusement]],Table15[[#This Row],[Education]])/2</f>
        <v>164.3</v>
      </c>
      <c r="AG257" s="1">
        <f>SUM(Table15[[#This Row],[Miscellaneous]],Table15[[#This Row],[Personal care and effects]])/2</f>
        <v>161.80000000000001</v>
      </c>
    </row>
    <row r="258" spans="1:33" x14ac:dyDescent="0.3">
      <c r="A258" t="s">
        <v>35</v>
      </c>
      <c r="B258">
        <v>2021</v>
      </c>
      <c r="C258" t="s">
        <v>37</v>
      </c>
      <c r="D258">
        <v>146.6</v>
      </c>
      <c r="E258">
        <v>204</v>
      </c>
      <c r="F258">
        <v>172.8</v>
      </c>
      <c r="G258">
        <v>158.4</v>
      </c>
      <c r="H258">
        <v>188</v>
      </c>
      <c r="I258">
        <v>156.80000000000001</v>
      </c>
      <c r="J258">
        <v>162.19999999999999</v>
      </c>
      <c r="K258">
        <v>164.1</v>
      </c>
      <c r="L258">
        <v>119.7</v>
      </c>
      <c r="M258">
        <v>168.8</v>
      </c>
      <c r="N258">
        <v>162.69999999999999</v>
      </c>
      <c r="O258">
        <v>173.9</v>
      </c>
      <c r="P258">
        <v>164</v>
      </c>
      <c r="Q258">
        <v>162.1</v>
      </c>
      <c r="R258">
        <v>162.6</v>
      </c>
      <c r="S258">
        <v>157.5</v>
      </c>
      <c r="T258">
        <v>168.4</v>
      </c>
      <c r="U258">
        <v>154</v>
      </c>
      <c r="V258">
        <v>157.6</v>
      </c>
      <c r="W258">
        <v>163.80000000000001</v>
      </c>
      <c r="X258">
        <v>160</v>
      </c>
      <c r="Y258">
        <v>160</v>
      </c>
      <c r="Z258">
        <v>163.19999999999999</v>
      </c>
      <c r="AA258" s="1">
        <f>SUM(Table15[[#This Row],[Cereals and products]:[Food and beverages]])/13</f>
        <v>164.76923076923077</v>
      </c>
      <c r="AB258" s="1">
        <f>SUM(Table15[[#This Row],[Fuel and light]])</f>
        <v>162.6</v>
      </c>
      <c r="AC258" s="1">
        <f>SUM(Table15[[#This Row],[Transport and communication]])</f>
        <v>154</v>
      </c>
      <c r="AD258" s="1">
        <f>SUM(Table15[[#This Row],[Housing]],Table15[[#This Row],[Household goods and services]])/2</f>
        <v>159.80000000000001</v>
      </c>
      <c r="AE258" s="1">
        <f>SUM(Table15[[#This Row],[Health]])</f>
        <v>168.4</v>
      </c>
      <c r="AF258" s="1">
        <f>SUM(Table15[[#This Row],[Recreation and amusement]],Table15[[#This Row],[Education]])/2</f>
        <v>160.69999999999999</v>
      </c>
      <c r="AG258" s="1">
        <f>SUM(Table15[[#This Row],[Miscellaneous]],Table15[[#This Row],[Personal care and effects]])/2</f>
        <v>160</v>
      </c>
    </row>
    <row r="259" spans="1:33" x14ac:dyDescent="0.3">
      <c r="A259" t="s">
        <v>36</v>
      </c>
      <c r="B259">
        <v>2021</v>
      </c>
      <c r="C259" t="s">
        <v>37</v>
      </c>
      <c r="D259">
        <v>149.30000000000001</v>
      </c>
      <c r="E259">
        <v>207.4</v>
      </c>
      <c r="F259">
        <v>174.1</v>
      </c>
      <c r="G259">
        <v>159.19999999999999</v>
      </c>
      <c r="H259">
        <v>175</v>
      </c>
      <c r="I259">
        <v>161.30000000000001</v>
      </c>
      <c r="J259">
        <v>183.3</v>
      </c>
      <c r="K259">
        <v>164.5</v>
      </c>
      <c r="L259">
        <v>120.4</v>
      </c>
      <c r="M259">
        <v>166.2</v>
      </c>
      <c r="N259">
        <v>154.80000000000001</v>
      </c>
      <c r="O259">
        <v>175.1</v>
      </c>
      <c r="P259">
        <v>167.3</v>
      </c>
      <c r="Q259">
        <v>162.1</v>
      </c>
      <c r="R259">
        <v>160.69999999999999</v>
      </c>
      <c r="S259">
        <v>153.19999999999999</v>
      </c>
      <c r="T259">
        <v>162.80000000000001</v>
      </c>
      <c r="U259">
        <v>150.4</v>
      </c>
      <c r="V259">
        <v>153.69999999999999</v>
      </c>
      <c r="W259">
        <v>160.4</v>
      </c>
      <c r="X259">
        <v>159.6</v>
      </c>
      <c r="Y259">
        <v>156</v>
      </c>
      <c r="Z259">
        <v>162.30000000000001</v>
      </c>
      <c r="AA259" s="1">
        <f>SUM(Table15[[#This Row],[Cereals and products]:[Food and beverages]])/13</f>
        <v>165.99230769230769</v>
      </c>
      <c r="AB259" s="1">
        <f>SUM(Table15[[#This Row],[Fuel and light]])</f>
        <v>160.69999999999999</v>
      </c>
      <c r="AC259" s="1">
        <f>SUM(Table15[[#This Row],[Transport and communication]])</f>
        <v>150.4</v>
      </c>
      <c r="AD259" s="1">
        <f>SUM(Table15[[#This Row],[Housing]],Table15[[#This Row],[Household goods and services]])/2</f>
        <v>157.64999999999998</v>
      </c>
      <c r="AE259" s="1">
        <f>SUM(Table15[[#This Row],[Health]])</f>
        <v>162.80000000000001</v>
      </c>
      <c r="AF259" s="1">
        <f>SUM(Table15[[#This Row],[Recreation and amusement]],Table15[[#This Row],[Education]])/2</f>
        <v>157.05000000000001</v>
      </c>
      <c r="AG259" s="1">
        <f>SUM(Table15[[#This Row],[Miscellaneous]],Table15[[#This Row],[Personal care and effects]])/2</f>
        <v>157.80000000000001</v>
      </c>
    </row>
    <row r="260" spans="1:33" x14ac:dyDescent="0.3">
      <c r="A260" t="s">
        <v>33</v>
      </c>
      <c r="B260">
        <v>2021</v>
      </c>
      <c r="C260" t="s">
        <v>38</v>
      </c>
      <c r="D260">
        <v>147.4</v>
      </c>
      <c r="E260">
        <v>197</v>
      </c>
      <c r="F260">
        <v>176.5</v>
      </c>
      <c r="G260">
        <v>159.80000000000001</v>
      </c>
      <c r="H260">
        <v>195.8</v>
      </c>
      <c r="I260">
        <v>152</v>
      </c>
      <c r="J260">
        <v>172.3</v>
      </c>
      <c r="K260">
        <v>164.5</v>
      </c>
      <c r="L260">
        <v>120.6</v>
      </c>
      <c r="M260">
        <v>171.7</v>
      </c>
      <c r="N260">
        <v>169.7</v>
      </c>
      <c r="O260">
        <v>175.1</v>
      </c>
      <c r="P260">
        <v>165.8</v>
      </c>
      <c r="Q260">
        <f>AVERAGE(Q261:Q262)</f>
        <v>163.4</v>
      </c>
      <c r="R260">
        <v>165.6</v>
      </c>
      <c r="S260">
        <v>163.9</v>
      </c>
      <c r="T260">
        <v>174</v>
      </c>
      <c r="U260">
        <v>160.1</v>
      </c>
      <c r="V260">
        <v>164.5</v>
      </c>
      <c r="W260">
        <v>169.7</v>
      </c>
      <c r="X260">
        <v>162.80000000000001</v>
      </c>
      <c r="Y260">
        <v>166</v>
      </c>
      <c r="Z260">
        <v>167</v>
      </c>
      <c r="AA260" s="1">
        <f>SUM(Table15[[#This Row],[Cereals and products]:[Food and beverages]])/13</f>
        <v>166.78461538461536</v>
      </c>
      <c r="AB260" s="1">
        <f>SUM(Table15[[#This Row],[Fuel and light]])</f>
        <v>165.6</v>
      </c>
      <c r="AC260" s="1">
        <f>SUM(Table15[[#This Row],[Transport and communication]])</f>
        <v>160.1</v>
      </c>
      <c r="AD260" s="1">
        <f>SUM(Table15[[#This Row],[Housing]],Table15[[#This Row],[Household goods and services]])/2</f>
        <v>163.65</v>
      </c>
      <c r="AE260" s="1">
        <f>SUM(Table15[[#This Row],[Health]])</f>
        <v>174</v>
      </c>
      <c r="AF260" s="1">
        <f>SUM(Table15[[#This Row],[Recreation and amusement]],Table15[[#This Row],[Education]])/2</f>
        <v>167.1</v>
      </c>
      <c r="AG260" s="1">
        <f>SUM(Table15[[#This Row],[Miscellaneous]],Table15[[#This Row],[Personal care and effects]])/2</f>
        <v>164.4</v>
      </c>
    </row>
    <row r="261" spans="1:33" x14ac:dyDescent="0.3">
      <c r="A261" t="s">
        <v>35</v>
      </c>
      <c r="B261">
        <v>2021</v>
      </c>
      <c r="C261" t="s">
        <v>38</v>
      </c>
      <c r="D261">
        <v>148.69999999999999</v>
      </c>
      <c r="E261">
        <v>198.8</v>
      </c>
      <c r="F261">
        <v>177.9</v>
      </c>
      <c r="G261">
        <v>159.9</v>
      </c>
      <c r="H261">
        <v>187.6</v>
      </c>
      <c r="I261">
        <v>154.9</v>
      </c>
      <c r="J261">
        <v>188.3</v>
      </c>
      <c r="K261">
        <v>164.4</v>
      </c>
      <c r="L261">
        <v>121</v>
      </c>
      <c r="M261">
        <v>170.5</v>
      </c>
      <c r="N261">
        <v>164.2</v>
      </c>
      <c r="O261">
        <v>176.5</v>
      </c>
      <c r="P261">
        <v>168.2</v>
      </c>
      <c r="Q261">
        <v>163.4</v>
      </c>
      <c r="R261">
        <v>164.1</v>
      </c>
      <c r="S261">
        <v>160.19999999999999</v>
      </c>
      <c r="T261">
        <v>170.6</v>
      </c>
      <c r="U261">
        <v>155.69999999999999</v>
      </c>
      <c r="V261">
        <v>160.6</v>
      </c>
      <c r="W261">
        <v>164.4</v>
      </c>
      <c r="X261">
        <v>162.6</v>
      </c>
      <c r="Y261">
        <v>162</v>
      </c>
      <c r="Z261">
        <v>166.2</v>
      </c>
      <c r="AA261" s="1">
        <f>SUM(Table15[[#This Row],[Cereals and products]:[Food and beverages]])/13</f>
        <v>167.76153846153846</v>
      </c>
      <c r="AB261" s="1">
        <f>SUM(Table15[[#This Row],[Fuel and light]])</f>
        <v>164.1</v>
      </c>
      <c r="AC261" s="1">
        <f>SUM(Table15[[#This Row],[Transport and communication]])</f>
        <v>155.69999999999999</v>
      </c>
      <c r="AD261" s="1">
        <f>SUM(Table15[[#This Row],[Housing]],Table15[[#This Row],[Household goods and services]])/2</f>
        <v>161.80000000000001</v>
      </c>
      <c r="AE261" s="1">
        <f>SUM(Table15[[#This Row],[Health]])</f>
        <v>170.6</v>
      </c>
      <c r="AF261" s="1">
        <f>SUM(Table15[[#This Row],[Recreation and amusement]],Table15[[#This Row],[Education]])/2</f>
        <v>162.5</v>
      </c>
      <c r="AG261" s="1">
        <f>SUM(Table15[[#This Row],[Miscellaneous]],Table15[[#This Row],[Personal care and effects]])/2</f>
        <v>162.30000000000001</v>
      </c>
    </row>
    <row r="262" spans="1:33" x14ac:dyDescent="0.3">
      <c r="A262" t="s">
        <v>36</v>
      </c>
      <c r="B262">
        <v>2021</v>
      </c>
      <c r="C262" t="s">
        <v>38</v>
      </c>
      <c r="D262">
        <v>151.6</v>
      </c>
      <c r="E262">
        <v>202.2</v>
      </c>
      <c r="F262">
        <v>180</v>
      </c>
      <c r="G262">
        <v>160</v>
      </c>
      <c r="H262">
        <v>173.5</v>
      </c>
      <c r="I262">
        <v>158.30000000000001</v>
      </c>
      <c r="J262">
        <v>219.5</v>
      </c>
      <c r="K262">
        <v>164.2</v>
      </c>
      <c r="L262">
        <v>121.9</v>
      </c>
      <c r="M262">
        <v>168.2</v>
      </c>
      <c r="N262">
        <v>156.5</v>
      </c>
      <c r="O262">
        <v>178.2</v>
      </c>
      <c r="P262">
        <v>172.2</v>
      </c>
      <c r="Q262">
        <v>163.4</v>
      </c>
      <c r="R262">
        <v>161.69999999999999</v>
      </c>
      <c r="S262">
        <v>156</v>
      </c>
      <c r="T262">
        <v>165.1</v>
      </c>
      <c r="U262">
        <v>151.80000000000001</v>
      </c>
      <c r="V262">
        <v>157.6</v>
      </c>
      <c r="W262">
        <v>160.6</v>
      </c>
      <c r="X262">
        <v>162.4</v>
      </c>
      <c r="Y262">
        <v>157.80000000000001</v>
      </c>
      <c r="Z262">
        <v>165.2</v>
      </c>
      <c r="AA262" s="1">
        <f>SUM(Table15[[#This Row],[Cereals and products]:[Food and beverages]])/13</f>
        <v>169.71538461538464</v>
      </c>
      <c r="AB262" s="1">
        <f>SUM(Table15[[#This Row],[Fuel and light]])</f>
        <v>161.69999999999999</v>
      </c>
      <c r="AC262" s="1">
        <f>SUM(Table15[[#This Row],[Transport and communication]])</f>
        <v>151.80000000000001</v>
      </c>
      <c r="AD262" s="1">
        <f>SUM(Table15[[#This Row],[Housing]],Table15[[#This Row],[Household goods and services]])/2</f>
        <v>159.69999999999999</v>
      </c>
      <c r="AE262" s="1">
        <f>SUM(Table15[[#This Row],[Health]])</f>
        <v>165.1</v>
      </c>
      <c r="AF262" s="1">
        <f>SUM(Table15[[#This Row],[Recreation and amusement]],Table15[[#This Row],[Education]])/2</f>
        <v>159.1</v>
      </c>
      <c r="AG262" s="1">
        <f>SUM(Table15[[#This Row],[Miscellaneous]],Table15[[#This Row],[Personal care and effects]])/2</f>
        <v>160.10000000000002</v>
      </c>
    </row>
    <row r="263" spans="1:33" x14ac:dyDescent="0.3">
      <c r="A263" t="s">
        <v>33</v>
      </c>
      <c r="B263">
        <v>2021</v>
      </c>
      <c r="C263" t="s">
        <v>39</v>
      </c>
      <c r="D263">
        <v>142.80000000000001</v>
      </c>
      <c r="E263">
        <v>184</v>
      </c>
      <c r="F263">
        <v>168</v>
      </c>
      <c r="G263">
        <v>154.4</v>
      </c>
      <c r="H263">
        <v>163</v>
      </c>
      <c r="I263">
        <v>147.80000000000001</v>
      </c>
      <c r="J263">
        <v>149.69999999999999</v>
      </c>
      <c r="K263">
        <v>158.30000000000001</v>
      </c>
      <c r="L263">
        <v>111.8</v>
      </c>
      <c r="M263">
        <v>165</v>
      </c>
      <c r="N263">
        <v>160</v>
      </c>
      <c r="O263">
        <v>165.8</v>
      </c>
      <c r="P263">
        <v>154.69999999999999</v>
      </c>
      <c r="Q263">
        <f>AVERAGE(Q264:Q265)</f>
        <v>159.80000000000001</v>
      </c>
      <c r="R263">
        <v>154.4</v>
      </c>
      <c r="S263">
        <v>154.80000000000001</v>
      </c>
      <c r="T263">
        <v>164.3</v>
      </c>
      <c r="U263">
        <v>150.19999999999999</v>
      </c>
      <c r="V263">
        <v>157</v>
      </c>
      <c r="W263">
        <v>163.6</v>
      </c>
      <c r="X263">
        <v>155.19999999999999</v>
      </c>
      <c r="Y263">
        <v>157.19999999999999</v>
      </c>
      <c r="Z263">
        <v>156.69999999999999</v>
      </c>
      <c r="AA263" s="1">
        <f>SUM(Table15[[#This Row],[Cereals and products]:[Food and beverages]])/13</f>
        <v>155.7923076923077</v>
      </c>
      <c r="AB263" s="1">
        <f>SUM(Table15[[#This Row],[Fuel and light]])</f>
        <v>154.4</v>
      </c>
      <c r="AC263" s="1">
        <f>SUM(Table15[[#This Row],[Transport and communication]])</f>
        <v>150.19999999999999</v>
      </c>
      <c r="AD263" s="1">
        <f>SUM(Table15[[#This Row],[Housing]],Table15[[#This Row],[Household goods and services]])/2</f>
        <v>157.30000000000001</v>
      </c>
      <c r="AE263" s="1">
        <f>SUM(Table15[[#This Row],[Health]])</f>
        <v>164.3</v>
      </c>
      <c r="AF263" s="1">
        <f>SUM(Table15[[#This Row],[Recreation and amusement]],Table15[[#This Row],[Education]])/2</f>
        <v>160.30000000000001</v>
      </c>
      <c r="AG263" s="1">
        <f>SUM(Table15[[#This Row],[Miscellaneous]],Table15[[#This Row],[Personal care and effects]])/2</f>
        <v>156.19999999999999</v>
      </c>
    </row>
    <row r="264" spans="1:33" x14ac:dyDescent="0.3">
      <c r="A264" t="s">
        <v>35</v>
      </c>
      <c r="B264">
        <v>2021</v>
      </c>
      <c r="C264" t="s">
        <v>39</v>
      </c>
      <c r="D264">
        <v>144.30000000000001</v>
      </c>
      <c r="E264">
        <v>186.5</v>
      </c>
      <c r="F264">
        <v>168.7</v>
      </c>
      <c r="G264">
        <v>154.69999999999999</v>
      </c>
      <c r="H264">
        <v>158.69999999999999</v>
      </c>
      <c r="I264">
        <v>150.69999999999999</v>
      </c>
      <c r="J264">
        <v>160</v>
      </c>
      <c r="K264">
        <v>158.80000000000001</v>
      </c>
      <c r="L264">
        <v>112.8</v>
      </c>
      <c r="M264">
        <v>164.2</v>
      </c>
      <c r="N264">
        <v>155.5</v>
      </c>
      <c r="O264">
        <v>167.5</v>
      </c>
      <c r="P264">
        <v>156.9</v>
      </c>
      <c r="Q264">
        <v>159.80000000000001</v>
      </c>
      <c r="R264">
        <v>152.4</v>
      </c>
      <c r="S264">
        <v>150.9</v>
      </c>
      <c r="T264">
        <v>161.30000000000001</v>
      </c>
      <c r="U264">
        <v>145.1</v>
      </c>
      <c r="V264">
        <v>151.5</v>
      </c>
      <c r="W264">
        <v>159.5</v>
      </c>
      <c r="X264">
        <v>155.80000000000001</v>
      </c>
      <c r="Y264">
        <v>153.4</v>
      </c>
      <c r="Z264">
        <v>156.6</v>
      </c>
      <c r="AA264" s="1">
        <f>SUM(Table15[[#This Row],[Cereals and products]:[Food and beverages]])/13</f>
        <v>156.8692307692308</v>
      </c>
      <c r="AB264" s="1">
        <f>SUM(Table15[[#This Row],[Fuel and light]])</f>
        <v>152.4</v>
      </c>
      <c r="AC264" s="1">
        <f>SUM(Table15[[#This Row],[Transport and communication]])</f>
        <v>145.1</v>
      </c>
      <c r="AD264" s="1">
        <f>SUM(Table15[[#This Row],[Housing]],Table15[[#This Row],[Household goods and services]])/2</f>
        <v>155.35000000000002</v>
      </c>
      <c r="AE264" s="1">
        <f>SUM(Table15[[#This Row],[Health]])</f>
        <v>161.30000000000001</v>
      </c>
      <c r="AF264" s="1">
        <f>SUM(Table15[[#This Row],[Recreation and amusement]],Table15[[#This Row],[Education]])/2</f>
        <v>155.5</v>
      </c>
      <c r="AG264" s="1">
        <f>SUM(Table15[[#This Row],[Miscellaneous]],Table15[[#This Row],[Personal care and effects]])/2</f>
        <v>154.60000000000002</v>
      </c>
    </row>
    <row r="265" spans="1:33" x14ac:dyDescent="0.3">
      <c r="A265" t="s">
        <v>36</v>
      </c>
      <c r="B265">
        <v>2021</v>
      </c>
      <c r="C265" t="s">
        <v>39</v>
      </c>
      <c r="D265">
        <v>147.6</v>
      </c>
      <c r="E265">
        <v>191.2</v>
      </c>
      <c r="F265">
        <v>169.9</v>
      </c>
      <c r="G265">
        <v>155.1</v>
      </c>
      <c r="H265">
        <v>151.4</v>
      </c>
      <c r="I265">
        <v>154</v>
      </c>
      <c r="J265">
        <v>180.2</v>
      </c>
      <c r="K265">
        <v>159.80000000000001</v>
      </c>
      <c r="L265">
        <v>114.9</v>
      </c>
      <c r="M265">
        <v>162.5</v>
      </c>
      <c r="N265">
        <v>149.19999999999999</v>
      </c>
      <c r="O265">
        <v>169.4</v>
      </c>
      <c r="P265">
        <v>160.80000000000001</v>
      </c>
      <c r="Q265">
        <v>159.80000000000001</v>
      </c>
      <c r="R265">
        <v>149.1</v>
      </c>
      <c r="S265">
        <v>146.5</v>
      </c>
      <c r="T265">
        <v>156.30000000000001</v>
      </c>
      <c r="U265">
        <v>140.5</v>
      </c>
      <c r="V265">
        <v>147.30000000000001</v>
      </c>
      <c r="W265">
        <v>156.6</v>
      </c>
      <c r="X265">
        <v>156.69999999999999</v>
      </c>
      <c r="Y265">
        <v>149.30000000000001</v>
      </c>
      <c r="Z265">
        <v>156.5</v>
      </c>
      <c r="AA265" s="1">
        <f>SUM(Table15[[#This Row],[Cereals and products]:[Food and beverages]])/13</f>
        <v>158.92307692307693</v>
      </c>
      <c r="AB265" s="1">
        <f>SUM(Table15[[#This Row],[Fuel and light]])</f>
        <v>149.1</v>
      </c>
      <c r="AC265" s="1">
        <f>SUM(Table15[[#This Row],[Transport and communication]])</f>
        <v>140.5</v>
      </c>
      <c r="AD265" s="1">
        <f>SUM(Table15[[#This Row],[Housing]],Table15[[#This Row],[Household goods and services]])/2</f>
        <v>153.15</v>
      </c>
      <c r="AE265" s="1">
        <f>SUM(Table15[[#This Row],[Health]])</f>
        <v>156.30000000000001</v>
      </c>
      <c r="AF265" s="1">
        <f>SUM(Table15[[#This Row],[Recreation and amusement]],Table15[[#This Row],[Education]])/2</f>
        <v>151.94999999999999</v>
      </c>
      <c r="AG265" s="1">
        <f>SUM(Table15[[#This Row],[Miscellaneous]],Table15[[#This Row],[Personal care and effects]])/2</f>
        <v>153</v>
      </c>
    </row>
    <row r="266" spans="1:33" x14ac:dyDescent="0.3">
      <c r="A266" t="s">
        <v>36</v>
      </c>
      <c r="B266">
        <v>2018</v>
      </c>
      <c r="C266" t="s">
        <v>39</v>
      </c>
      <c r="D266">
        <v>134.80000000000001</v>
      </c>
      <c r="E266">
        <v>143</v>
      </c>
      <c r="F266">
        <v>139.9</v>
      </c>
      <c r="G266">
        <v>139.9</v>
      </c>
      <c r="H266">
        <v>116.2</v>
      </c>
      <c r="I266">
        <v>135.5</v>
      </c>
      <c r="J266">
        <v>136.9</v>
      </c>
      <c r="K266">
        <v>117</v>
      </c>
      <c r="L266">
        <v>115.4</v>
      </c>
      <c r="M266">
        <v>140.69999999999999</v>
      </c>
      <c r="N266">
        <v>125.9</v>
      </c>
      <c r="O266">
        <v>147.1</v>
      </c>
      <c r="P266">
        <v>135.6</v>
      </c>
      <c r="Q266">
        <v>141.30000000000001</v>
      </c>
      <c r="R266">
        <v>127.3</v>
      </c>
      <c r="S266">
        <v>129.9</v>
      </c>
      <c r="T266">
        <v>129.80000000000001</v>
      </c>
      <c r="U266">
        <v>117.4</v>
      </c>
      <c r="V266">
        <v>126.5</v>
      </c>
      <c r="W266">
        <v>137.19999999999999</v>
      </c>
      <c r="X266">
        <v>126.2</v>
      </c>
      <c r="Y266">
        <v>126.5</v>
      </c>
      <c r="Z266">
        <v>134</v>
      </c>
      <c r="AA266" s="1">
        <f>SUM(Table15[[#This Row],[Cereals and products]:[Food and beverages]])/13</f>
        <v>132.91538461538462</v>
      </c>
      <c r="AB266" s="1">
        <f>SUM(Table15[[#This Row],[Fuel and light]])</f>
        <v>127.3</v>
      </c>
      <c r="AC266" s="1">
        <f>SUM(Table15[[#This Row],[Transport and communication]])</f>
        <v>117.4</v>
      </c>
      <c r="AD266" s="1">
        <f>SUM(Table15[[#This Row],[Housing]],Table15[[#This Row],[Household goods and services]])/2</f>
        <v>135.60000000000002</v>
      </c>
      <c r="AE266" s="1">
        <f>SUM(Table15[[#This Row],[Health]])</f>
        <v>129.80000000000001</v>
      </c>
      <c r="AF266" s="1">
        <f>SUM(Table15[[#This Row],[Recreation and amusement]],Table15[[#This Row],[Education]])/2</f>
        <v>131.85</v>
      </c>
      <c r="AG266" s="1">
        <f>SUM(Table15[[#This Row],[Miscellaneous]],Table15[[#This Row],[Personal care and effects]])/2</f>
        <v>126.35</v>
      </c>
    </row>
    <row r="267" spans="1:33" x14ac:dyDescent="0.3">
      <c r="A267" t="s">
        <v>35</v>
      </c>
      <c r="B267">
        <v>2018</v>
      </c>
      <c r="C267" t="s">
        <v>39</v>
      </c>
      <c r="D267">
        <v>135.9</v>
      </c>
      <c r="E267">
        <v>143.5</v>
      </c>
      <c r="F267">
        <v>140.30000000000001</v>
      </c>
      <c r="G267">
        <v>140.9</v>
      </c>
      <c r="H267">
        <v>120.4</v>
      </c>
      <c r="I267">
        <v>142.9</v>
      </c>
      <c r="J267">
        <v>140.5</v>
      </c>
      <c r="K267">
        <v>125.8</v>
      </c>
      <c r="L267">
        <v>117.1</v>
      </c>
      <c r="M267">
        <v>137.30000000000001</v>
      </c>
      <c r="N267">
        <v>128.6</v>
      </c>
      <c r="O267">
        <v>149.6</v>
      </c>
      <c r="P267">
        <v>137.6</v>
      </c>
      <c r="Q267">
        <v>141.30000000000001</v>
      </c>
      <c r="R267">
        <v>136.69999999999999</v>
      </c>
      <c r="S267">
        <v>135.19999999999999</v>
      </c>
      <c r="T267">
        <v>133.80000000000001</v>
      </c>
      <c r="U267">
        <v>120.2</v>
      </c>
      <c r="V267">
        <v>129.9</v>
      </c>
      <c r="W267">
        <v>139</v>
      </c>
      <c r="X267">
        <v>127.7</v>
      </c>
      <c r="Y267">
        <v>129.6</v>
      </c>
      <c r="Z267">
        <v>136.4</v>
      </c>
      <c r="AA267" s="1">
        <f>SUM(Table15[[#This Row],[Cereals and products]:[Food and beverages]])/13</f>
        <v>135.4153846153846</v>
      </c>
      <c r="AB267" s="1">
        <f>SUM(Table15[[#This Row],[Fuel and light]])</f>
        <v>136.69999999999999</v>
      </c>
      <c r="AC267" s="1">
        <f>SUM(Table15[[#This Row],[Transport and communication]])</f>
        <v>120.2</v>
      </c>
      <c r="AD267" s="1">
        <f>SUM(Table15[[#This Row],[Housing]],Table15[[#This Row],[Household goods and services]])/2</f>
        <v>138.25</v>
      </c>
      <c r="AE267" s="1">
        <f>SUM(Table15[[#This Row],[Health]])</f>
        <v>133.80000000000001</v>
      </c>
      <c r="AF267" s="1">
        <f>SUM(Table15[[#This Row],[Recreation and amusement]],Table15[[#This Row],[Education]])/2</f>
        <v>134.44999999999999</v>
      </c>
      <c r="AG267" s="1">
        <f>SUM(Table15[[#This Row],[Miscellaneous]],Table15[[#This Row],[Personal care and effects]])/2</f>
        <v>128.65</v>
      </c>
    </row>
    <row r="268" spans="1:33" x14ac:dyDescent="0.3">
      <c r="A268" t="s">
        <v>33</v>
      </c>
      <c r="B268">
        <v>2018</v>
      </c>
      <c r="C268" t="s">
        <v>39</v>
      </c>
      <c r="D268">
        <v>136.4</v>
      </c>
      <c r="E268">
        <v>143.69999999999999</v>
      </c>
      <c r="F268">
        <v>140.6</v>
      </c>
      <c r="G268">
        <v>141.5</v>
      </c>
      <c r="H268">
        <v>122.9</v>
      </c>
      <c r="I268">
        <v>149.4</v>
      </c>
      <c r="J268">
        <v>142.4</v>
      </c>
      <c r="K268">
        <v>130.19999999999999</v>
      </c>
      <c r="L268">
        <v>117.9</v>
      </c>
      <c r="M268">
        <v>135.6</v>
      </c>
      <c r="N268">
        <v>130.5</v>
      </c>
      <c r="O268">
        <v>151.69999999999999</v>
      </c>
      <c r="P268">
        <v>138.69999999999999</v>
      </c>
      <c r="Q268">
        <f>AVERAGE(Q266:Q267)</f>
        <v>141.30000000000001</v>
      </c>
      <c r="R268">
        <v>142.4</v>
      </c>
      <c r="S268">
        <v>139.9</v>
      </c>
      <c r="T268">
        <v>136.19999999999999</v>
      </c>
      <c r="U268">
        <v>123.3</v>
      </c>
      <c r="V268">
        <v>134.30000000000001</v>
      </c>
      <c r="W268">
        <v>141.5</v>
      </c>
      <c r="X268">
        <v>128.80000000000001</v>
      </c>
      <c r="Y268">
        <v>132.5</v>
      </c>
      <c r="Z268">
        <v>138.5</v>
      </c>
      <c r="AA268" s="1">
        <f>SUM(Table15[[#This Row],[Cereals and products]:[Food and beverages]])/13</f>
        <v>137.03846153846155</v>
      </c>
      <c r="AB268" s="1">
        <f>SUM(Table15[[#This Row],[Fuel and light]])</f>
        <v>142.4</v>
      </c>
      <c r="AC268" s="1">
        <f>SUM(Table15[[#This Row],[Transport and communication]])</f>
        <v>123.3</v>
      </c>
      <c r="AD268" s="1">
        <f>SUM(Table15[[#This Row],[Housing]],Table15[[#This Row],[Household goods and services]])/2</f>
        <v>140.60000000000002</v>
      </c>
      <c r="AE268" s="1">
        <f>SUM(Table15[[#This Row],[Health]])</f>
        <v>136.19999999999999</v>
      </c>
      <c r="AF268" s="1">
        <f>SUM(Table15[[#This Row],[Recreation and amusement]],Table15[[#This Row],[Education]])/2</f>
        <v>137.9</v>
      </c>
      <c r="AG268" s="1">
        <f>SUM(Table15[[#This Row],[Miscellaneous]],Table15[[#This Row],[Personal care and effects]])/2</f>
        <v>130.65</v>
      </c>
    </row>
    <row r="269" spans="1:33" x14ac:dyDescent="0.3">
      <c r="A269" t="s">
        <v>36</v>
      </c>
      <c r="B269">
        <v>2017</v>
      </c>
      <c r="C269" t="s">
        <v>39</v>
      </c>
      <c r="D269">
        <v>132.80000000000001</v>
      </c>
      <c r="E269">
        <v>139.80000000000001</v>
      </c>
      <c r="F269">
        <v>129.30000000000001</v>
      </c>
      <c r="G269">
        <v>133.5</v>
      </c>
      <c r="H269">
        <v>114.3</v>
      </c>
      <c r="I269">
        <v>131.4</v>
      </c>
      <c r="J269">
        <v>120.2</v>
      </c>
      <c r="K269">
        <v>143.1</v>
      </c>
      <c r="L269">
        <v>119.5</v>
      </c>
      <c r="M269">
        <v>144</v>
      </c>
      <c r="N269">
        <v>123.4</v>
      </c>
      <c r="O269">
        <v>141.9</v>
      </c>
      <c r="P269">
        <v>132.1</v>
      </c>
      <c r="Q269">
        <v>130.5</v>
      </c>
      <c r="R269">
        <v>119.2</v>
      </c>
      <c r="S269">
        <v>125.3</v>
      </c>
      <c r="T269">
        <v>122.9</v>
      </c>
      <c r="U269">
        <v>115.5</v>
      </c>
      <c r="V269">
        <v>122.2</v>
      </c>
      <c r="W269">
        <v>132.4</v>
      </c>
      <c r="X269">
        <v>121.7</v>
      </c>
      <c r="Y269">
        <v>122.4</v>
      </c>
      <c r="Z269">
        <v>128.19999999999999</v>
      </c>
      <c r="AA269" s="1">
        <f>SUM(Table15[[#This Row],[Cereals and products]:[Food and beverages]])/13</f>
        <v>131.17692307692309</v>
      </c>
      <c r="AB269" s="1">
        <f>SUM(Table15[[#This Row],[Fuel and light]])</f>
        <v>119.2</v>
      </c>
      <c r="AC269" s="1">
        <f>SUM(Table15[[#This Row],[Transport and communication]])</f>
        <v>115.5</v>
      </c>
      <c r="AD269" s="1">
        <f>SUM(Table15[[#This Row],[Housing]],Table15[[#This Row],[Household goods and services]])/2</f>
        <v>127.9</v>
      </c>
      <c r="AE269" s="1">
        <f>SUM(Table15[[#This Row],[Health]])</f>
        <v>122.9</v>
      </c>
      <c r="AF269" s="1">
        <f>SUM(Table15[[#This Row],[Recreation and amusement]],Table15[[#This Row],[Education]])/2</f>
        <v>127.30000000000001</v>
      </c>
      <c r="AG269" s="1">
        <f>SUM(Table15[[#This Row],[Miscellaneous]],Table15[[#This Row],[Personal care and effects]])/2</f>
        <v>122.05000000000001</v>
      </c>
    </row>
    <row r="270" spans="1:33" x14ac:dyDescent="0.3">
      <c r="A270" t="s">
        <v>35</v>
      </c>
      <c r="B270">
        <v>2017</v>
      </c>
      <c r="C270" t="s">
        <v>39</v>
      </c>
      <c r="D270">
        <v>133.1</v>
      </c>
      <c r="E270">
        <v>138.80000000000001</v>
      </c>
      <c r="F270">
        <v>129.30000000000001</v>
      </c>
      <c r="G270">
        <v>135.80000000000001</v>
      </c>
      <c r="H270">
        <v>119.2</v>
      </c>
      <c r="I270">
        <v>135.30000000000001</v>
      </c>
      <c r="J270">
        <v>119.5</v>
      </c>
      <c r="K270">
        <v>152.19999999999999</v>
      </c>
      <c r="L270">
        <v>117.3</v>
      </c>
      <c r="M270">
        <v>138.69999999999999</v>
      </c>
      <c r="N270">
        <v>126.9</v>
      </c>
      <c r="O270">
        <v>143.19999999999999</v>
      </c>
      <c r="P270">
        <v>133</v>
      </c>
      <c r="Q270">
        <v>130.5</v>
      </c>
      <c r="R270">
        <v>127.9</v>
      </c>
      <c r="S270">
        <v>129.69999999999999</v>
      </c>
      <c r="T270">
        <v>127.4</v>
      </c>
      <c r="U270">
        <v>117.4</v>
      </c>
      <c r="V270">
        <v>124.6</v>
      </c>
      <c r="W270">
        <v>133.4</v>
      </c>
      <c r="X270">
        <v>122.6</v>
      </c>
      <c r="Y270">
        <v>124.8</v>
      </c>
      <c r="Z270">
        <v>130.6</v>
      </c>
      <c r="AA270" s="1">
        <f>SUM(Table15[[#This Row],[Cereals and products]:[Food and beverages]])/13</f>
        <v>132.48461538461541</v>
      </c>
      <c r="AB270" s="1">
        <f>SUM(Table15[[#This Row],[Fuel and light]])</f>
        <v>127.9</v>
      </c>
      <c r="AC270" s="1">
        <f>SUM(Table15[[#This Row],[Transport and communication]])</f>
        <v>117.4</v>
      </c>
      <c r="AD270" s="1">
        <f>SUM(Table15[[#This Row],[Housing]],Table15[[#This Row],[Household goods and services]])/2</f>
        <v>130.1</v>
      </c>
      <c r="AE270" s="1">
        <f>SUM(Table15[[#This Row],[Health]])</f>
        <v>127.4</v>
      </c>
      <c r="AF270" s="1">
        <f>SUM(Table15[[#This Row],[Recreation and amusement]],Table15[[#This Row],[Education]])/2</f>
        <v>129</v>
      </c>
      <c r="AG270" s="1">
        <f>SUM(Table15[[#This Row],[Miscellaneous]],Table15[[#This Row],[Personal care and effects]])/2</f>
        <v>123.69999999999999</v>
      </c>
    </row>
    <row r="271" spans="1:33" x14ac:dyDescent="0.3">
      <c r="A271" t="s">
        <v>33</v>
      </c>
      <c r="B271">
        <v>2017</v>
      </c>
      <c r="C271" t="s">
        <v>39</v>
      </c>
      <c r="D271">
        <v>133.30000000000001</v>
      </c>
      <c r="E271">
        <v>138.30000000000001</v>
      </c>
      <c r="F271">
        <v>129.30000000000001</v>
      </c>
      <c r="G271">
        <v>137.19999999999999</v>
      </c>
      <c r="H271">
        <v>122.1</v>
      </c>
      <c r="I271">
        <v>138.69999999999999</v>
      </c>
      <c r="J271">
        <v>119.1</v>
      </c>
      <c r="K271">
        <v>156.9</v>
      </c>
      <c r="L271">
        <v>116.2</v>
      </c>
      <c r="M271">
        <v>136</v>
      </c>
      <c r="N271">
        <v>129.4</v>
      </c>
      <c r="O271">
        <v>144.4</v>
      </c>
      <c r="P271">
        <v>133.6</v>
      </c>
      <c r="Q271">
        <f>AVERAGE(Q269:Q270)</f>
        <v>130.5</v>
      </c>
      <c r="R271">
        <v>133.19999999999999</v>
      </c>
      <c r="S271">
        <v>133.6</v>
      </c>
      <c r="T271">
        <v>130.1</v>
      </c>
      <c r="U271">
        <v>119.5</v>
      </c>
      <c r="V271">
        <v>127.7</v>
      </c>
      <c r="W271">
        <v>134.9</v>
      </c>
      <c r="X271">
        <v>123.2</v>
      </c>
      <c r="Y271">
        <v>127</v>
      </c>
      <c r="Z271">
        <v>132.6</v>
      </c>
      <c r="AA271" s="1">
        <f>SUM(Table15[[#This Row],[Cereals and products]:[Food and beverages]])/13</f>
        <v>133.42307692307693</v>
      </c>
      <c r="AB271" s="1">
        <f>SUM(Table15[[#This Row],[Fuel and light]])</f>
        <v>133.19999999999999</v>
      </c>
      <c r="AC271" s="1">
        <f>SUM(Table15[[#This Row],[Transport and communication]])</f>
        <v>119.5</v>
      </c>
      <c r="AD271" s="1">
        <f>SUM(Table15[[#This Row],[Housing]],Table15[[#This Row],[Household goods and services]])/2</f>
        <v>132.05000000000001</v>
      </c>
      <c r="AE271" s="1">
        <f>SUM(Table15[[#This Row],[Health]])</f>
        <v>130.1</v>
      </c>
      <c r="AF271" s="1">
        <f>SUM(Table15[[#This Row],[Recreation and amusement]],Table15[[#This Row],[Education]])/2</f>
        <v>131.30000000000001</v>
      </c>
      <c r="AG271" s="1">
        <f>SUM(Table15[[#This Row],[Miscellaneous]],Table15[[#This Row],[Personal care and effects]])/2</f>
        <v>125.1</v>
      </c>
    </row>
    <row r="272" spans="1:33" x14ac:dyDescent="0.3">
      <c r="A272" t="s">
        <v>36</v>
      </c>
      <c r="B272">
        <v>2016</v>
      </c>
      <c r="C272" t="s">
        <v>39</v>
      </c>
      <c r="D272">
        <v>124.8</v>
      </c>
      <c r="E272">
        <v>135.1</v>
      </c>
      <c r="F272">
        <v>130.30000000000001</v>
      </c>
      <c r="G272">
        <v>129.6</v>
      </c>
      <c r="H272">
        <v>108.4</v>
      </c>
      <c r="I272">
        <v>118.6</v>
      </c>
      <c r="J272">
        <v>129.19999999999999</v>
      </c>
      <c r="K272">
        <v>176.4</v>
      </c>
      <c r="L272">
        <v>99.1</v>
      </c>
      <c r="M272">
        <v>139.69999999999999</v>
      </c>
      <c r="N272">
        <v>120.6</v>
      </c>
      <c r="O272">
        <v>135.19999999999999</v>
      </c>
      <c r="P272">
        <v>129.1</v>
      </c>
      <c r="Q272">
        <v>124.4</v>
      </c>
      <c r="R272">
        <v>116</v>
      </c>
      <c r="S272">
        <v>121.8</v>
      </c>
      <c r="T272">
        <v>119.5</v>
      </c>
      <c r="U272">
        <v>109.1</v>
      </c>
      <c r="V272">
        <v>118.8</v>
      </c>
      <c r="W272">
        <v>126.3</v>
      </c>
      <c r="X272">
        <v>116.2</v>
      </c>
      <c r="Y272">
        <v>117.2</v>
      </c>
      <c r="Z272">
        <v>123.8</v>
      </c>
      <c r="AA272" s="1">
        <f>SUM(Table15[[#This Row],[Cereals and products]:[Food and beverages]])/13</f>
        <v>128.93076923076922</v>
      </c>
      <c r="AB272" s="1">
        <f>SUM(Table15[[#This Row],[Fuel and light]])</f>
        <v>116</v>
      </c>
      <c r="AC272" s="1">
        <f>SUM(Table15[[#This Row],[Transport and communication]])</f>
        <v>109.1</v>
      </c>
      <c r="AD272" s="1">
        <f>SUM(Table15[[#This Row],[Housing]],Table15[[#This Row],[Household goods and services]])/2</f>
        <v>123.1</v>
      </c>
      <c r="AE272" s="1">
        <f>SUM(Table15[[#This Row],[Health]])</f>
        <v>119.5</v>
      </c>
      <c r="AF272" s="1">
        <f>SUM(Table15[[#This Row],[Recreation and amusement]],Table15[[#This Row],[Education]])/2</f>
        <v>122.55</v>
      </c>
      <c r="AG272" s="1">
        <f>SUM(Table15[[#This Row],[Miscellaneous]],Table15[[#This Row],[Personal care and effects]])/2</f>
        <v>116.7</v>
      </c>
    </row>
    <row r="273" spans="1:33" x14ac:dyDescent="0.3">
      <c r="A273" t="s">
        <v>35</v>
      </c>
      <c r="B273">
        <v>2016</v>
      </c>
      <c r="C273" t="s">
        <v>39</v>
      </c>
      <c r="D273">
        <v>126.4</v>
      </c>
      <c r="E273">
        <v>134.19999999999999</v>
      </c>
      <c r="F273">
        <v>128.69999999999999</v>
      </c>
      <c r="G273">
        <v>130.30000000000001</v>
      </c>
      <c r="H273">
        <v>114.8</v>
      </c>
      <c r="I273">
        <v>124.9</v>
      </c>
      <c r="J273">
        <v>130.30000000000001</v>
      </c>
      <c r="K273">
        <v>167.4</v>
      </c>
      <c r="L273">
        <v>98.8</v>
      </c>
      <c r="M273">
        <v>133.6</v>
      </c>
      <c r="N273">
        <v>123</v>
      </c>
      <c r="O273">
        <v>135.80000000000001</v>
      </c>
      <c r="P273">
        <v>129.9</v>
      </c>
      <c r="Q273">
        <v>124.4</v>
      </c>
      <c r="R273">
        <v>123.1</v>
      </c>
      <c r="S273">
        <v>124.6</v>
      </c>
      <c r="T273">
        <v>122.5</v>
      </c>
      <c r="U273">
        <v>111.4</v>
      </c>
      <c r="V273">
        <v>120.3</v>
      </c>
      <c r="W273">
        <v>126.6</v>
      </c>
      <c r="X273">
        <v>116.6</v>
      </c>
      <c r="Y273">
        <v>119.1</v>
      </c>
      <c r="Z273">
        <v>126</v>
      </c>
      <c r="AA273" s="1">
        <f>SUM(Table15[[#This Row],[Cereals and products]:[Food and beverages]])/13</f>
        <v>129.08461538461538</v>
      </c>
      <c r="AB273" s="1">
        <f>SUM(Table15[[#This Row],[Fuel and light]])</f>
        <v>123.1</v>
      </c>
      <c r="AC273" s="1">
        <f>SUM(Table15[[#This Row],[Transport and communication]])</f>
        <v>111.4</v>
      </c>
      <c r="AD273" s="1">
        <f>SUM(Table15[[#This Row],[Housing]],Table15[[#This Row],[Household goods and services]])/2</f>
        <v>124.5</v>
      </c>
      <c r="AE273" s="1">
        <f>SUM(Table15[[#This Row],[Health]])</f>
        <v>122.5</v>
      </c>
      <c r="AF273" s="1">
        <f>SUM(Table15[[#This Row],[Recreation and amusement]],Table15[[#This Row],[Education]])/2</f>
        <v>123.44999999999999</v>
      </c>
      <c r="AG273" s="1">
        <f>SUM(Table15[[#This Row],[Miscellaneous]],Table15[[#This Row],[Personal care and effects]])/2</f>
        <v>117.85</v>
      </c>
    </row>
    <row r="274" spans="1:33" x14ac:dyDescent="0.3">
      <c r="A274" t="s">
        <v>33</v>
      </c>
      <c r="B274">
        <v>2016</v>
      </c>
      <c r="C274" t="s">
        <v>39</v>
      </c>
      <c r="D274">
        <v>127.1</v>
      </c>
      <c r="E274">
        <v>133.69999999999999</v>
      </c>
      <c r="F274">
        <v>127.7</v>
      </c>
      <c r="G274">
        <v>130.69999999999999</v>
      </c>
      <c r="H274">
        <v>118.5</v>
      </c>
      <c r="I274">
        <v>130.4</v>
      </c>
      <c r="J274">
        <v>130.9</v>
      </c>
      <c r="K274">
        <v>162.80000000000001</v>
      </c>
      <c r="L274">
        <v>98.7</v>
      </c>
      <c r="M274">
        <v>130.6</v>
      </c>
      <c r="N274">
        <v>124.8</v>
      </c>
      <c r="O274">
        <v>136.4</v>
      </c>
      <c r="P274">
        <v>130.30000000000001</v>
      </c>
      <c r="Q274">
        <f>AVERAGE(Q272:Q273)</f>
        <v>124.4</v>
      </c>
      <c r="R274">
        <v>127.5</v>
      </c>
      <c r="S274">
        <v>127.1</v>
      </c>
      <c r="T274">
        <v>124.3</v>
      </c>
      <c r="U274">
        <v>113.9</v>
      </c>
      <c r="V274">
        <v>122.3</v>
      </c>
      <c r="W274">
        <v>127.1</v>
      </c>
      <c r="X274">
        <v>116.8</v>
      </c>
      <c r="Y274">
        <v>120.9</v>
      </c>
      <c r="Z274">
        <v>127.9</v>
      </c>
      <c r="AA274" s="1">
        <f>SUM(Table15[[#This Row],[Cereals and products]:[Food and beverages]])/13</f>
        <v>129.43076923076922</v>
      </c>
      <c r="AB274" s="1">
        <f>SUM(Table15[[#This Row],[Fuel and light]])</f>
        <v>127.5</v>
      </c>
      <c r="AC274" s="1">
        <f>SUM(Table15[[#This Row],[Transport and communication]])</f>
        <v>113.9</v>
      </c>
      <c r="AD274" s="1">
        <f>SUM(Table15[[#This Row],[Housing]],Table15[[#This Row],[Household goods and services]])/2</f>
        <v>125.75</v>
      </c>
      <c r="AE274" s="1">
        <f>SUM(Table15[[#This Row],[Health]])</f>
        <v>124.3</v>
      </c>
      <c r="AF274" s="1">
        <f>SUM(Table15[[#This Row],[Recreation and amusement]],Table15[[#This Row],[Education]])/2</f>
        <v>124.69999999999999</v>
      </c>
      <c r="AG274" s="1">
        <f>SUM(Table15[[#This Row],[Miscellaneous]],Table15[[#This Row],[Personal care and effects]])/2</f>
        <v>118.85</v>
      </c>
    </row>
    <row r="275" spans="1:33" x14ac:dyDescent="0.3">
      <c r="A275" t="s">
        <v>33</v>
      </c>
      <c r="B275">
        <v>2015</v>
      </c>
      <c r="C275" t="s">
        <v>39</v>
      </c>
      <c r="D275">
        <v>123.4</v>
      </c>
      <c r="E275">
        <v>124.4</v>
      </c>
      <c r="F275">
        <v>122.1</v>
      </c>
      <c r="G275">
        <v>125.8</v>
      </c>
      <c r="H275">
        <v>111.5</v>
      </c>
      <c r="I275">
        <v>129.4</v>
      </c>
      <c r="J275">
        <v>128.19999999999999</v>
      </c>
      <c r="K275">
        <v>118.8</v>
      </c>
      <c r="L275">
        <v>100</v>
      </c>
      <c r="M275">
        <v>118.6</v>
      </c>
      <c r="N275">
        <v>118.8</v>
      </c>
      <c r="O275">
        <v>126.8</v>
      </c>
      <c r="P275">
        <v>122.8</v>
      </c>
      <c r="Q275">
        <f>AVERAGE(Q276:Q277)</f>
        <v>118.1</v>
      </c>
      <c r="R275">
        <v>120</v>
      </c>
      <c r="S275">
        <v>119.6</v>
      </c>
      <c r="T275">
        <v>117.7</v>
      </c>
      <c r="U275">
        <v>110.9</v>
      </c>
      <c r="V275">
        <v>114.8</v>
      </c>
      <c r="W275">
        <v>118.7</v>
      </c>
      <c r="X275">
        <v>110.8</v>
      </c>
      <c r="Y275">
        <v>115</v>
      </c>
      <c r="Z275">
        <v>120.6</v>
      </c>
      <c r="AA275" s="1">
        <f>SUM(Table15[[#This Row],[Cereals and products]:[Food and beverages]])/13</f>
        <v>120.81538461538459</v>
      </c>
      <c r="AB275" s="1">
        <f>SUM(Table15[[#This Row],[Fuel and light]])</f>
        <v>120</v>
      </c>
      <c r="AC275" s="1">
        <f>SUM(Table15[[#This Row],[Transport and communication]])</f>
        <v>110.9</v>
      </c>
      <c r="AD275" s="1">
        <f>SUM(Table15[[#This Row],[Housing]],Table15[[#This Row],[Household goods and services]])/2</f>
        <v>118.85</v>
      </c>
      <c r="AE275" s="1">
        <f>SUM(Table15[[#This Row],[Health]])</f>
        <v>117.7</v>
      </c>
      <c r="AF275" s="1">
        <f>SUM(Table15[[#This Row],[Recreation and amusement]],Table15[[#This Row],[Education]])/2</f>
        <v>116.75</v>
      </c>
      <c r="AG275" s="1">
        <f>SUM(Table15[[#This Row],[Miscellaneous]],Table15[[#This Row],[Personal care and effects]])/2</f>
        <v>112.9</v>
      </c>
    </row>
    <row r="276" spans="1:33" x14ac:dyDescent="0.3">
      <c r="A276" t="s">
        <v>35</v>
      </c>
      <c r="B276">
        <v>2015</v>
      </c>
      <c r="C276" t="s">
        <v>39</v>
      </c>
      <c r="D276">
        <v>123.7</v>
      </c>
      <c r="E276">
        <v>125.1</v>
      </c>
      <c r="F276">
        <v>121.1</v>
      </c>
      <c r="G276">
        <v>125.7</v>
      </c>
      <c r="H276">
        <v>109.1</v>
      </c>
      <c r="I276">
        <v>125.8</v>
      </c>
      <c r="J276">
        <v>129.4</v>
      </c>
      <c r="K276">
        <v>120.9</v>
      </c>
      <c r="L276">
        <v>98.3</v>
      </c>
      <c r="M276">
        <v>121.6</v>
      </c>
      <c r="N276">
        <v>118</v>
      </c>
      <c r="O276">
        <v>127.6</v>
      </c>
      <c r="P276">
        <v>123.1</v>
      </c>
      <c r="Q276">
        <v>118.1</v>
      </c>
      <c r="R276">
        <v>117.7</v>
      </c>
      <c r="S276">
        <v>118.7</v>
      </c>
      <c r="T276">
        <v>116.3</v>
      </c>
      <c r="U276">
        <v>108.7</v>
      </c>
      <c r="V276">
        <v>114.9</v>
      </c>
      <c r="W276">
        <v>119.7</v>
      </c>
      <c r="X276">
        <v>111.2</v>
      </c>
      <c r="Y276">
        <v>114.1</v>
      </c>
      <c r="Z276">
        <v>119.7</v>
      </c>
      <c r="AA276" s="1">
        <f>SUM(Table15[[#This Row],[Cereals and products]:[Food and beverages]])/13</f>
        <v>120.72307692307689</v>
      </c>
      <c r="AB276" s="1">
        <f>SUM(Table15[[#This Row],[Fuel and light]])</f>
        <v>117.7</v>
      </c>
      <c r="AC276" s="1">
        <f>SUM(Table15[[#This Row],[Transport and communication]])</f>
        <v>108.7</v>
      </c>
      <c r="AD276" s="1">
        <f>SUM(Table15[[#This Row],[Housing]],Table15[[#This Row],[Household goods and services]])/2</f>
        <v>118.4</v>
      </c>
      <c r="AE276" s="1">
        <f>SUM(Table15[[#This Row],[Health]])</f>
        <v>116.3</v>
      </c>
      <c r="AF276" s="1">
        <f>SUM(Table15[[#This Row],[Recreation and amusement]],Table15[[#This Row],[Education]])/2</f>
        <v>117.30000000000001</v>
      </c>
      <c r="AG276" s="1">
        <f>SUM(Table15[[#This Row],[Miscellaneous]],Table15[[#This Row],[Personal care and effects]])/2</f>
        <v>112.65</v>
      </c>
    </row>
    <row r="277" spans="1:33" x14ac:dyDescent="0.3">
      <c r="A277" t="s">
        <v>36</v>
      </c>
      <c r="B277">
        <v>2015</v>
      </c>
      <c r="C277" t="s">
        <v>39</v>
      </c>
      <c r="D277">
        <v>124.3</v>
      </c>
      <c r="E277">
        <v>126.5</v>
      </c>
      <c r="F277">
        <v>119.5</v>
      </c>
      <c r="G277">
        <v>125.6</v>
      </c>
      <c r="H277">
        <v>104.9</v>
      </c>
      <c r="I277">
        <v>121.6</v>
      </c>
      <c r="J277">
        <v>131.80000000000001</v>
      </c>
      <c r="K277">
        <v>125.1</v>
      </c>
      <c r="L277">
        <v>95</v>
      </c>
      <c r="M277">
        <v>127.7</v>
      </c>
      <c r="N277">
        <v>116.8</v>
      </c>
      <c r="O277">
        <v>128.6</v>
      </c>
      <c r="P277">
        <v>123.7</v>
      </c>
      <c r="Q277">
        <v>118.1</v>
      </c>
      <c r="R277">
        <v>114</v>
      </c>
      <c r="S277">
        <v>117.7</v>
      </c>
      <c r="T277">
        <v>114.1</v>
      </c>
      <c r="U277">
        <v>106.8</v>
      </c>
      <c r="V277">
        <v>114.9</v>
      </c>
      <c r="W277">
        <v>120.4</v>
      </c>
      <c r="X277">
        <v>111.7</v>
      </c>
      <c r="Y277">
        <v>113.2</v>
      </c>
      <c r="Z277">
        <v>118.7</v>
      </c>
      <c r="AA277" s="1">
        <f>SUM(Table15[[#This Row],[Cereals and products]:[Food and beverages]])/13</f>
        <v>120.85384615384616</v>
      </c>
      <c r="AB277" s="1">
        <f>SUM(Table15[[#This Row],[Fuel and light]])</f>
        <v>114</v>
      </c>
      <c r="AC277" s="1">
        <f>SUM(Table15[[#This Row],[Transport and communication]])</f>
        <v>106.8</v>
      </c>
      <c r="AD277" s="1">
        <f>SUM(Table15[[#This Row],[Housing]],Table15[[#This Row],[Household goods and services]])/2</f>
        <v>117.9</v>
      </c>
      <c r="AE277" s="1">
        <f>SUM(Table15[[#This Row],[Health]])</f>
        <v>114.1</v>
      </c>
      <c r="AF277" s="1">
        <f>SUM(Table15[[#This Row],[Recreation and amusement]],Table15[[#This Row],[Education]])/2</f>
        <v>117.65</v>
      </c>
      <c r="AG277" s="1">
        <f>SUM(Table15[[#This Row],[Miscellaneous]],Table15[[#This Row],[Personal care and effects]])/2</f>
        <v>112.45</v>
      </c>
    </row>
    <row r="278" spans="1:33" x14ac:dyDescent="0.3">
      <c r="A278" t="s">
        <v>33</v>
      </c>
      <c r="B278">
        <v>2014</v>
      </c>
      <c r="C278" t="s">
        <v>39</v>
      </c>
      <c r="D278">
        <v>119.4</v>
      </c>
      <c r="E278">
        <v>117.7</v>
      </c>
      <c r="F278">
        <v>121.2</v>
      </c>
      <c r="G278">
        <v>115</v>
      </c>
      <c r="H278">
        <v>109</v>
      </c>
      <c r="I278">
        <v>116.6</v>
      </c>
      <c r="J278">
        <v>116</v>
      </c>
      <c r="K278">
        <v>109.8</v>
      </c>
      <c r="L278">
        <v>101.1</v>
      </c>
      <c r="M278">
        <v>110.4</v>
      </c>
      <c r="N278">
        <v>112.9</v>
      </c>
      <c r="O278">
        <v>117.8</v>
      </c>
      <c r="P278">
        <v>115.3</v>
      </c>
      <c r="Q278">
        <f>AVERAGE(Q279:Q280)</f>
        <v>112.5</v>
      </c>
      <c r="R278">
        <v>113.2</v>
      </c>
      <c r="S278">
        <v>112.9</v>
      </c>
      <c r="T278">
        <v>110.9</v>
      </c>
      <c r="U278">
        <v>110.8</v>
      </c>
      <c r="V278">
        <v>109.9</v>
      </c>
      <c r="W278">
        <v>112</v>
      </c>
      <c r="X278">
        <v>108.7</v>
      </c>
      <c r="Y278">
        <v>110.9</v>
      </c>
      <c r="Z278">
        <v>114</v>
      </c>
      <c r="AA278" s="1">
        <f>SUM(Table15[[#This Row],[Cereals and products]:[Food and beverages]])/13</f>
        <v>114.01538461538462</v>
      </c>
      <c r="AB278" s="1">
        <f>SUM(Table15[[#This Row],[Fuel and light]])</f>
        <v>113.2</v>
      </c>
      <c r="AC278" s="1">
        <f>SUM(Table15[[#This Row],[Transport and communication]])</f>
        <v>110.8</v>
      </c>
      <c r="AD278" s="1">
        <f>SUM(Table15[[#This Row],[Housing]],Table15[[#This Row],[Household goods and services]])/2</f>
        <v>112.7</v>
      </c>
      <c r="AE278" s="1">
        <f>SUM(Table15[[#This Row],[Health]])</f>
        <v>110.9</v>
      </c>
      <c r="AF278" s="1">
        <f>SUM(Table15[[#This Row],[Recreation and amusement]],Table15[[#This Row],[Education]])/2</f>
        <v>110.95</v>
      </c>
      <c r="AG278" s="1">
        <f>SUM(Table15[[#This Row],[Miscellaneous]],Table15[[#This Row],[Personal care and effects]])/2</f>
        <v>109.80000000000001</v>
      </c>
    </row>
    <row r="279" spans="1:33" x14ac:dyDescent="0.3">
      <c r="A279" t="s">
        <v>35</v>
      </c>
      <c r="B279">
        <v>2014</v>
      </c>
      <c r="C279" t="s">
        <v>39</v>
      </c>
      <c r="D279">
        <v>120.2</v>
      </c>
      <c r="E279">
        <v>119.2</v>
      </c>
      <c r="F279">
        <v>122.5</v>
      </c>
      <c r="G279">
        <v>115.1</v>
      </c>
      <c r="H279">
        <v>106.6</v>
      </c>
      <c r="I279">
        <v>115.4</v>
      </c>
      <c r="J279">
        <v>114.5</v>
      </c>
      <c r="K279">
        <v>109.3</v>
      </c>
      <c r="L279">
        <v>99.2</v>
      </c>
      <c r="M279">
        <v>111.4</v>
      </c>
      <c r="N279">
        <v>112.6</v>
      </c>
      <c r="O279">
        <v>118.8</v>
      </c>
      <c r="P279">
        <v>115.3</v>
      </c>
      <c r="Q279">
        <v>112.5</v>
      </c>
      <c r="R279">
        <v>112.4</v>
      </c>
      <c r="S279">
        <v>112.8</v>
      </c>
      <c r="T279">
        <v>110.7</v>
      </c>
      <c r="U279">
        <v>111.1</v>
      </c>
      <c r="V279">
        <v>110.1</v>
      </c>
      <c r="W279">
        <v>111.8</v>
      </c>
      <c r="X279">
        <v>108.7</v>
      </c>
      <c r="Y279">
        <v>110.9</v>
      </c>
      <c r="Z279">
        <v>113.6</v>
      </c>
      <c r="AA279" s="1">
        <f>SUM(Table15[[#This Row],[Cereals and products]:[Food and beverages]])/13</f>
        <v>113.85384615384615</v>
      </c>
      <c r="AB279" s="1">
        <f>SUM(Table15[[#This Row],[Fuel and light]])</f>
        <v>112.4</v>
      </c>
      <c r="AC279" s="1">
        <f>SUM(Table15[[#This Row],[Transport and communication]])</f>
        <v>111.1</v>
      </c>
      <c r="AD279" s="1">
        <f>SUM(Table15[[#This Row],[Housing]],Table15[[#This Row],[Household goods and services]])/2</f>
        <v>112.65</v>
      </c>
      <c r="AE279" s="1">
        <f>SUM(Table15[[#This Row],[Health]])</f>
        <v>110.7</v>
      </c>
      <c r="AF279" s="1">
        <f>SUM(Table15[[#This Row],[Recreation and amusement]],Table15[[#This Row],[Education]])/2</f>
        <v>110.94999999999999</v>
      </c>
      <c r="AG279" s="1">
        <f>SUM(Table15[[#This Row],[Miscellaneous]],Table15[[#This Row],[Personal care and effects]])/2</f>
        <v>109.80000000000001</v>
      </c>
    </row>
    <row r="280" spans="1:33" x14ac:dyDescent="0.3">
      <c r="A280" t="s">
        <v>36</v>
      </c>
      <c r="B280">
        <v>2014</v>
      </c>
      <c r="C280" t="s">
        <v>39</v>
      </c>
      <c r="D280">
        <v>121.9</v>
      </c>
      <c r="E280">
        <v>122</v>
      </c>
      <c r="F280">
        <v>124.5</v>
      </c>
      <c r="G280">
        <v>115.2</v>
      </c>
      <c r="H280">
        <v>102.5</v>
      </c>
      <c r="I280">
        <v>114.1</v>
      </c>
      <c r="J280">
        <v>111.5</v>
      </c>
      <c r="K280">
        <v>108.2</v>
      </c>
      <c r="L280">
        <v>95.4</v>
      </c>
      <c r="M280">
        <v>113.5</v>
      </c>
      <c r="N280">
        <v>112.1</v>
      </c>
      <c r="O280">
        <v>119.9</v>
      </c>
      <c r="P280">
        <v>115.2</v>
      </c>
      <c r="Q280">
        <v>112.5</v>
      </c>
      <c r="R280">
        <v>111.1</v>
      </c>
      <c r="S280">
        <v>112.6</v>
      </c>
      <c r="T280">
        <v>110.4</v>
      </c>
      <c r="U280">
        <v>111.3</v>
      </c>
      <c r="V280">
        <v>110.3</v>
      </c>
      <c r="W280">
        <v>111.6</v>
      </c>
      <c r="X280">
        <v>108.7</v>
      </c>
      <c r="Y280">
        <v>111</v>
      </c>
      <c r="Z280">
        <v>113.1</v>
      </c>
      <c r="AA280" s="1">
        <f>SUM(Table15[[#This Row],[Cereals and products]:[Food and beverages]])/13</f>
        <v>113.53846153846153</v>
      </c>
      <c r="AB280" s="1">
        <f>SUM(Table15[[#This Row],[Fuel and light]])</f>
        <v>111.1</v>
      </c>
      <c r="AC280" s="1">
        <f>SUM(Table15[[#This Row],[Transport and communication]])</f>
        <v>111.3</v>
      </c>
      <c r="AD280" s="1">
        <f>SUM(Table15[[#This Row],[Housing]],Table15[[#This Row],[Household goods and services]])/2</f>
        <v>112.55</v>
      </c>
      <c r="AE280" s="1">
        <f>SUM(Table15[[#This Row],[Health]])</f>
        <v>110.4</v>
      </c>
      <c r="AF280" s="1">
        <f>SUM(Table15[[#This Row],[Recreation and amusement]],Table15[[#This Row],[Education]])/2</f>
        <v>110.94999999999999</v>
      </c>
      <c r="AG280" s="1">
        <f>SUM(Table15[[#This Row],[Miscellaneous]],Table15[[#This Row],[Personal care and effects]])/2</f>
        <v>109.85</v>
      </c>
    </row>
    <row r="281" spans="1:33" x14ac:dyDescent="0.3">
      <c r="A281" t="s">
        <v>33</v>
      </c>
      <c r="B281">
        <v>2013</v>
      </c>
      <c r="C281" t="s">
        <v>39</v>
      </c>
      <c r="D281">
        <v>109.2</v>
      </c>
      <c r="E281">
        <v>108.7</v>
      </c>
      <c r="F281">
        <v>110.2</v>
      </c>
      <c r="G281">
        <v>105.4</v>
      </c>
      <c r="H281">
        <v>106.7</v>
      </c>
      <c r="I281">
        <v>104</v>
      </c>
      <c r="J281">
        <v>102.4</v>
      </c>
      <c r="K281">
        <v>105.9</v>
      </c>
      <c r="L281">
        <v>105.7</v>
      </c>
      <c r="M281">
        <v>103.1</v>
      </c>
      <c r="N281">
        <v>105.1</v>
      </c>
      <c r="O281">
        <v>107.7</v>
      </c>
      <c r="P281">
        <v>106.3</v>
      </c>
      <c r="Q281">
        <f>AVERAGE(Q282:Q283)</f>
        <v>100.4</v>
      </c>
      <c r="R281">
        <v>106.2</v>
      </c>
      <c r="S281">
        <v>105.2</v>
      </c>
      <c r="T281">
        <v>104.4</v>
      </c>
      <c r="U281">
        <v>103.9</v>
      </c>
      <c r="V281">
        <v>104</v>
      </c>
      <c r="W281">
        <v>104.1</v>
      </c>
      <c r="X281">
        <v>104.6</v>
      </c>
      <c r="Y281">
        <v>104.4</v>
      </c>
      <c r="Z281">
        <v>105.8</v>
      </c>
      <c r="AA281" s="1">
        <f>SUM(Table15[[#This Row],[Cereals and products]:[Food and beverages]])/13</f>
        <v>106.18461538461537</v>
      </c>
      <c r="AB281" s="1">
        <f>SUM(Table15[[#This Row],[Fuel and light]])</f>
        <v>106.2</v>
      </c>
      <c r="AC281" s="1">
        <f>SUM(Table15[[#This Row],[Transport and communication]])</f>
        <v>103.9</v>
      </c>
      <c r="AD281" s="1">
        <f>SUM(Table15[[#This Row],[Housing]],Table15[[#This Row],[Household goods and services]])/2</f>
        <v>102.80000000000001</v>
      </c>
      <c r="AE281" s="1">
        <f>SUM(Table15[[#This Row],[Health]])</f>
        <v>104.4</v>
      </c>
      <c r="AF281" s="1">
        <f>SUM(Table15[[#This Row],[Recreation and amusement]],Table15[[#This Row],[Education]])/2</f>
        <v>104.05</v>
      </c>
      <c r="AG281" s="1">
        <f>SUM(Table15[[#This Row],[Miscellaneous]],Table15[[#This Row],[Personal care and effects]])/2</f>
        <v>104.5</v>
      </c>
    </row>
    <row r="282" spans="1:33" x14ac:dyDescent="0.3">
      <c r="A282" t="s">
        <v>35</v>
      </c>
      <c r="B282">
        <v>2013</v>
      </c>
      <c r="C282" t="s">
        <v>39</v>
      </c>
      <c r="D282">
        <v>110.4</v>
      </c>
      <c r="E282">
        <v>110.2</v>
      </c>
      <c r="F282">
        <v>112.8</v>
      </c>
      <c r="G282">
        <v>104.9</v>
      </c>
      <c r="H282">
        <v>105.5</v>
      </c>
      <c r="I282">
        <v>103.6</v>
      </c>
      <c r="J282">
        <v>103.2</v>
      </c>
      <c r="K282">
        <v>105.3</v>
      </c>
      <c r="L282">
        <v>105.1</v>
      </c>
      <c r="M282">
        <v>102.8</v>
      </c>
      <c r="N282">
        <v>105.5</v>
      </c>
      <c r="O282">
        <v>108.3</v>
      </c>
      <c r="P282">
        <v>106.6</v>
      </c>
      <c r="Q282">
        <v>100.4</v>
      </c>
      <c r="R282">
        <v>106</v>
      </c>
      <c r="S282">
        <v>105.2</v>
      </c>
      <c r="T282">
        <v>104.5</v>
      </c>
      <c r="U282">
        <v>104.2</v>
      </c>
      <c r="V282">
        <v>103.6</v>
      </c>
      <c r="W282">
        <v>103.9</v>
      </c>
      <c r="X282">
        <v>104.5</v>
      </c>
      <c r="Y282">
        <v>104.4</v>
      </c>
      <c r="Z282">
        <v>105.3</v>
      </c>
      <c r="AA282" s="1">
        <f>SUM(Table15[[#This Row],[Cereals and products]:[Food and beverages]])/13</f>
        <v>106.47692307692309</v>
      </c>
      <c r="AB282" s="1">
        <f>SUM(Table15[[#This Row],[Fuel and light]])</f>
        <v>106</v>
      </c>
      <c r="AC282" s="1">
        <f>SUM(Table15[[#This Row],[Transport and communication]])</f>
        <v>104.2</v>
      </c>
      <c r="AD282" s="1">
        <f>SUM(Table15[[#This Row],[Housing]],Table15[[#This Row],[Household goods and services]])/2</f>
        <v>102.80000000000001</v>
      </c>
      <c r="AE282" s="1">
        <f>SUM(Table15[[#This Row],[Health]])</f>
        <v>104.5</v>
      </c>
      <c r="AF282" s="1">
        <f>SUM(Table15[[#This Row],[Recreation and amusement]],Table15[[#This Row],[Education]])/2</f>
        <v>103.75</v>
      </c>
      <c r="AG282" s="1">
        <f>SUM(Table15[[#This Row],[Miscellaneous]],Table15[[#This Row],[Personal care and effects]])/2</f>
        <v>104.45</v>
      </c>
    </row>
    <row r="283" spans="1:33" x14ac:dyDescent="0.3">
      <c r="A283" t="s">
        <v>36</v>
      </c>
      <c r="B283">
        <v>2013</v>
      </c>
      <c r="C283" t="s">
        <v>39</v>
      </c>
      <c r="D283">
        <v>112.9</v>
      </c>
      <c r="E283">
        <v>112.9</v>
      </c>
      <c r="F283">
        <v>116.9</v>
      </c>
      <c r="G283">
        <v>104</v>
      </c>
      <c r="H283">
        <v>103.5</v>
      </c>
      <c r="I283">
        <v>103.1</v>
      </c>
      <c r="J283">
        <v>104.9</v>
      </c>
      <c r="K283">
        <v>104.1</v>
      </c>
      <c r="L283">
        <v>103.8</v>
      </c>
      <c r="M283">
        <v>102.3</v>
      </c>
      <c r="N283">
        <v>106</v>
      </c>
      <c r="O283">
        <v>109</v>
      </c>
      <c r="P283">
        <v>107.2</v>
      </c>
      <c r="Q283">
        <v>100.4</v>
      </c>
      <c r="R283">
        <v>105.7</v>
      </c>
      <c r="S283">
        <v>105.2</v>
      </c>
      <c r="T283">
        <v>104.7</v>
      </c>
      <c r="U283">
        <v>104.4</v>
      </c>
      <c r="V283">
        <v>103.3</v>
      </c>
      <c r="W283">
        <v>103.7</v>
      </c>
      <c r="X283">
        <v>104.3</v>
      </c>
      <c r="Y283">
        <v>104.3</v>
      </c>
      <c r="Z283">
        <v>104.7</v>
      </c>
      <c r="AA283" s="1">
        <f>SUM(Table15[[#This Row],[Cereals and products]:[Food and beverages]])/13</f>
        <v>106.96923076923078</v>
      </c>
      <c r="AB283" s="1">
        <f>SUM(Table15[[#This Row],[Fuel and light]])</f>
        <v>105.7</v>
      </c>
      <c r="AC283" s="1">
        <f>SUM(Table15[[#This Row],[Transport and communication]])</f>
        <v>104.4</v>
      </c>
      <c r="AD283" s="1">
        <f>SUM(Table15[[#This Row],[Housing]],Table15[[#This Row],[Household goods and services]])/2</f>
        <v>102.80000000000001</v>
      </c>
      <c r="AE283" s="1">
        <f>SUM(Table15[[#This Row],[Health]])</f>
        <v>104.7</v>
      </c>
      <c r="AF283" s="1">
        <f>SUM(Table15[[#This Row],[Recreation and amusement]],Table15[[#This Row],[Education]])/2</f>
        <v>103.5</v>
      </c>
      <c r="AG283" s="1">
        <f>SUM(Table15[[#This Row],[Miscellaneous]],Table15[[#This Row],[Personal care and effects]])/2</f>
        <v>104.3</v>
      </c>
    </row>
    <row r="284" spans="1:33" x14ac:dyDescent="0.3">
      <c r="A284" t="s">
        <v>33</v>
      </c>
      <c r="B284">
        <v>2022</v>
      </c>
      <c r="C284" t="s">
        <v>38</v>
      </c>
      <c r="D284">
        <v>168.8</v>
      </c>
      <c r="E284">
        <v>206.9</v>
      </c>
      <c r="F284">
        <v>189.1</v>
      </c>
      <c r="G284">
        <v>173.4</v>
      </c>
      <c r="H284">
        <v>193.9</v>
      </c>
      <c r="I284">
        <v>156.69999999999999</v>
      </c>
      <c r="J284">
        <v>150.19999999999999</v>
      </c>
      <c r="K284">
        <v>170.5</v>
      </c>
      <c r="L284">
        <v>121.2</v>
      </c>
      <c r="M284">
        <v>207.5</v>
      </c>
      <c r="N284">
        <v>176.8</v>
      </c>
      <c r="O284">
        <v>187.7</v>
      </c>
      <c r="P284">
        <v>174.4</v>
      </c>
      <c r="Q284">
        <f>AVERAGE(Q285:Q286)</f>
        <v>170.7</v>
      </c>
      <c r="R284">
        <v>182.8</v>
      </c>
      <c r="S284">
        <v>176.4</v>
      </c>
      <c r="T284">
        <v>183.5</v>
      </c>
      <c r="U284">
        <v>167.8</v>
      </c>
      <c r="V284">
        <v>171.2</v>
      </c>
      <c r="W284">
        <v>177.3</v>
      </c>
      <c r="X284">
        <v>175.7</v>
      </c>
      <c r="Y284">
        <v>175.5</v>
      </c>
      <c r="Z284">
        <v>177.1</v>
      </c>
      <c r="AA284" s="1">
        <f>SUM(Table15[[#This Row],[Cereals and products]:[Food and beverages]])/13</f>
        <v>175.16153846153844</v>
      </c>
      <c r="AB284" s="1">
        <f>SUM(Table15[[#This Row],[Fuel and light]])</f>
        <v>182.8</v>
      </c>
      <c r="AC284" s="1">
        <f>SUM(Table15[[#This Row],[Transport and communication]])</f>
        <v>167.8</v>
      </c>
      <c r="AD284" s="1">
        <f>SUM(Table15[[#This Row],[Housing]],Table15[[#This Row],[Household goods and services]])/2</f>
        <v>173.55</v>
      </c>
      <c r="AE284" s="1">
        <f>SUM(Table15[[#This Row],[Health]])</f>
        <v>183.5</v>
      </c>
      <c r="AF284" s="1">
        <f>SUM(Table15[[#This Row],[Recreation and amusement]],Table15[[#This Row],[Education]])/2</f>
        <v>174.25</v>
      </c>
      <c r="AG284" s="1">
        <f>SUM(Table15[[#This Row],[Miscellaneous]],Table15[[#This Row],[Personal care and effects]])/2</f>
        <v>175.6</v>
      </c>
    </row>
    <row r="285" spans="1:33" x14ac:dyDescent="0.3">
      <c r="A285" t="s">
        <v>35</v>
      </c>
      <c r="B285">
        <v>2022</v>
      </c>
      <c r="C285" t="s">
        <v>38</v>
      </c>
      <c r="D285">
        <v>169.2</v>
      </c>
      <c r="E285">
        <v>209</v>
      </c>
      <c r="F285">
        <v>190.2</v>
      </c>
      <c r="G285">
        <v>173.6</v>
      </c>
      <c r="H285">
        <v>188.5</v>
      </c>
      <c r="I285">
        <v>158</v>
      </c>
      <c r="J285">
        <v>159.9</v>
      </c>
      <c r="K285">
        <v>170.8</v>
      </c>
      <c r="L285">
        <v>121.8</v>
      </c>
      <c r="M285">
        <v>205.2</v>
      </c>
      <c r="N285">
        <v>171</v>
      </c>
      <c r="O285">
        <v>190.3</v>
      </c>
      <c r="P285">
        <v>175.9</v>
      </c>
      <c r="Q285">
        <v>170.7</v>
      </c>
      <c r="R285">
        <v>182</v>
      </c>
      <c r="S285">
        <v>172.1</v>
      </c>
      <c r="T285">
        <v>181.1</v>
      </c>
      <c r="U285">
        <v>163.4</v>
      </c>
      <c r="V285">
        <v>168.9</v>
      </c>
      <c r="W285">
        <v>174.1</v>
      </c>
      <c r="X285">
        <v>175.8</v>
      </c>
      <c r="Y285">
        <v>172</v>
      </c>
      <c r="Z285">
        <v>175.7</v>
      </c>
      <c r="AA285" s="1">
        <f>SUM(Table15[[#This Row],[Cereals and products]:[Food and beverages]])/13</f>
        <v>175.64615384615385</v>
      </c>
      <c r="AB285" s="1">
        <f>SUM(Table15[[#This Row],[Fuel and light]])</f>
        <v>182</v>
      </c>
      <c r="AC285" s="1">
        <f>SUM(Table15[[#This Row],[Transport and communication]])</f>
        <v>163.4</v>
      </c>
      <c r="AD285" s="1">
        <f>SUM(Table15[[#This Row],[Housing]],Table15[[#This Row],[Household goods and services]])/2</f>
        <v>171.39999999999998</v>
      </c>
      <c r="AE285" s="1">
        <f>SUM(Table15[[#This Row],[Health]])</f>
        <v>181.1</v>
      </c>
      <c r="AF285" s="1">
        <f>SUM(Table15[[#This Row],[Recreation and amusement]],Table15[[#This Row],[Education]])/2</f>
        <v>171.5</v>
      </c>
      <c r="AG285" s="1">
        <f>SUM(Table15[[#This Row],[Miscellaneous]],Table15[[#This Row],[Personal care and effects]])/2</f>
        <v>173.9</v>
      </c>
    </row>
    <row r="286" spans="1:33" x14ac:dyDescent="0.3">
      <c r="A286" t="s">
        <v>36</v>
      </c>
      <c r="B286">
        <v>2022</v>
      </c>
      <c r="C286" t="s">
        <v>38</v>
      </c>
      <c r="D286">
        <v>170.2</v>
      </c>
      <c r="E286">
        <v>212.9</v>
      </c>
      <c r="F286">
        <v>191.9</v>
      </c>
      <c r="G286">
        <v>173.9</v>
      </c>
      <c r="H286">
        <v>179.1</v>
      </c>
      <c r="I286">
        <v>159.5</v>
      </c>
      <c r="J286">
        <v>178.7</v>
      </c>
      <c r="K286">
        <v>171.3</v>
      </c>
      <c r="L286">
        <v>123.1</v>
      </c>
      <c r="M286">
        <v>200.5</v>
      </c>
      <c r="N286">
        <v>162.80000000000001</v>
      </c>
      <c r="O286">
        <v>193.3</v>
      </c>
      <c r="P286">
        <v>178.6</v>
      </c>
      <c r="Q286">
        <v>170.7</v>
      </c>
      <c r="R286">
        <v>180.6</v>
      </c>
      <c r="S286">
        <v>167.3</v>
      </c>
      <c r="T286">
        <v>177.2</v>
      </c>
      <c r="U286">
        <v>159.4</v>
      </c>
      <c r="V286">
        <v>167.1</v>
      </c>
      <c r="W286">
        <v>171.8</v>
      </c>
      <c r="X286">
        <v>176</v>
      </c>
      <c r="Y286">
        <v>168.2</v>
      </c>
      <c r="Z286">
        <v>174.1</v>
      </c>
      <c r="AA286" s="1">
        <f>SUM(Table15[[#This Row],[Cereals and products]:[Food and beverages]])/13</f>
        <v>176.59999999999997</v>
      </c>
      <c r="AB286" s="1">
        <f>SUM(Table15[[#This Row],[Fuel and light]])</f>
        <v>180.6</v>
      </c>
      <c r="AC286" s="1">
        <f>SUM(Table15[[#This Row],[Transport and communication]])</f>
        <v>159.4</v>
      </c>
      <c r="AD286" s="1">
        <f>SUM(Table15[[#This Row],[Housing]],Table15[[#This Row],[Household goods and services]])/2</f>
        <v>169</v>
      </c>
      <c r="AE286" s="1">
        <f>SUM(Table15[[#This Row],[Health]])</f>
        <v>177.2</v>
      </c>
      <c r="AF286" s="1">
        <f>SUM(Table15[[#This Row],[Recreation and amusement]],Table15[[#This Row],[Education]])/2</f>
        <v>169.45</v>
      </c>
      <c r="AG286" s="1">
        <f>SUM(Table15[[#This Row],[Miscellaneous]],Table15[[#This Row],[Personal care and effects]])/2</f>
        <v>172.1</v>
      </c>
    </row>
    <row r="287" spans="1:33" x14ac:dyDescent="0.3">
      <c r="A287" t="s">
        <v>33</v>
      </c>
      <c r="B287">
        <v>2021</v>
      </c>
      <c r="C287" t="s">
        <v>41</v>
      </c>
      <c r="D287">
        <v>143.4</v>
      </c>
      <c r="E287">
        <v>187.5</v>
      </c>
      <c r="F287">
        <v>173.4</v>
      </c>
      <c r="G287">
        <v>154</v>
      </c>
      <c r="H287">
        <v>154.80000000000001</v>
      </c>
      <c r="I287">
        <v>147</v>
      </c>
      <c r="J287">
        <v>187.8</v>
      </c>
      <c r="K287">
        <v>159.5</v>
      </c>
      <c r="L287">
        <v>113.8</v>
      </c>
      <c r="M287">
        <v>164.5</v>
      </c>
      <c r="N287">
        <v>156.1</v>
      </c>
      <c r="O287">
        <v>164.3</v>
      </c>
      <c r="P287">
        <v>159.6</v>
      </c>
      <c r="Q287">
        <f>AVERAGE(Q288:Q289)</f>
        <v>157.69999999999999</v>
      </c>
      <c r="R287">
        <v>150.9</v>
      </c>
      <c r="S287">
        <v>153.9</v>
      </c>
      <c r="T287">
        <v>162.5</v>
      </c>
      <c r="U287">
        <v>147.5</v>
      </c>
      <c r="V287">
        <v>155.1</v>
      </c>
      <c r="W287">
        <v>163.5</v>
      </c>
      <c r="X287">
        <v>156.19999999999999</v>
      </c>
      <c r="Y287">
        <v>155.9</v>
      </c>
      <c r="Z287">
        <v>158.5</v>
      </c>
      <c r="AA287" s="1">
        <f>SUM(Table15[[#This Row],[Cereals and products]:[Food and beverages]])/13</f>
        <v>158.89999999999998</v>
      </c>
      <c r="AB287" s="1">
        <f>SUM(Table15[[#This Row],[Fuel and light]])</f>
        <v>150.9</v>
      </c>
      <c r="AC287" s="1">
        <f>SUM(Table15[[#This Row],[Transport and communication]])</f>
        <v>147.5</v>
      </c>
      <c r="AD287" s="1">
        <f>SUM(Table15[[#This Row],[Housing]],Table15[[#This Row],[Household goods and services]])/2</f>
        <v>155.80000000000001</v>
      </c>
      <c r="AE287" s="1">
        <f>SUM(Table15[[#This Row],[Health]])</f>
        <v>162.5</v>
      </c>
      <c r="AF287" s="1">
        <f>SUM(Table15[[#This Row],[Recreation and amusement]],Table15[[#This Row],[Education]])/2</f>
        <v>159.30000000000001</v>
      </c>
      <c r="AG287" s="1">
        <f>SUM(Table15[[#This Row],[Miscellaneous]],Table15[[#This Row],[Personal care and effects]])/2</f>
        <v>156.05000000000001</v>
      </c>
    </row>
    <row r="288" spans="1:33" x14ac:dyDescent="0.3">
      <c r="A288" t="s">
        <v>35</v>
      </c>
      <c r="B288">
        <v>2021</v>
      </c>
      <c r="C288" t="s">
        <v>41</v>
      </c>
      <c r="D288">
        <v>144.9</v>
      </c>
      <c r="E288">
        <v>190.1</v>
      </c>
      <c r="F288">
        <v>175.3</v>
      </c>
      <c r="G288">
        <v>154.1</v>
      </c>
      <c r="H288">
        <v>150.9</v>
      </c>
      <c r="I288">
        <v>149.6</v>
      </c>
      <c r="J288">
        <v>194.2</v>
      </c>
      <c r="K288">
        <v>160.4</v>
      </c>
      <c r="L288">
        <v>114.6</v>
      </c>
      <c r="M288">
        <v>164</v>
      </c>
      <c r="N288">
        <v>151.80000000000001</v>
      </c>
      <c r="O288">
        <v>165.6</v>
      </c>
      <c r="P288">
        <v>161</v>
      </c>
      <c r="Q288">
        <v>157.69999999999999</v>
      </c>
      <c r="R288">
        <v>147.9</v>
      </c>
      <c r="S288">
        <v>150</v>
      </c>
      <c r="T288">
        <v>159.30000000000001</v>
      </c>
      <c r="U288">
        <v>141.9</v>
      </c>
      <c r="V288">
        <v>149.6</v>
      </c>
      <c r="W288">
        <v>159.19999999999999</v>
      </c>
      <c r="X288">
        <v>156.80000000000001</v>
      </c>
      <c r="Y288">
        <v>151.9</v>
      </c>
      <c r="Z288">
        <v>157.30000000000001</v>
      </c>
      <c r="AA288" s="1">
        <f>SUM(Table15[[#This Row],[Cereals and products]:[Food and beverages]])/13</f>
        <v>159.73076923076923</v>
      </c>
      <c r="AB288" s="1">
        <f>SUM(Table15[[#This Row],[Fuel and light]])</f>
        <v>147.9</v>
      </c>
      <c r="AC288" s="1">
        <f>SUM(Table15[[#This Row],[Transport and communication]])</f>
        <v>141.9</v>
      </c>
      <c r="AD288" s="1">
        <f>SUM(Table15[[#This Row],[Housing]],Table15[[#This Row],[Household goods and services]])/2</f>
        <v>153.85</v>
      </c>
      <c r="AE288" s="1">
        <f>SUM(Table15[[#This Row],[Health]])</f>
        <v>159.30000000000001</v>
      </c>
      <c r="AF288" s="1">
        <f>SUM(Table15[[#This Row],[Recreation and amusement]],Table15[[#This Row],[Education]])/2</f>
        <v>154.39999999999998</v>
      </c>
      <c r="AG288" s="1">
        <f>SUM(Table15[[#This Row],[Miscellaneous]],Table15[[#This Row],[Personal care and effects]])/2</f>
        <v>154.35000000000002</v>
      </c>
    </row>
    <row r="289" spans="1:33" x14ac:dyDescent="0.3">
      <c r="A289" t="s">
        <v>36</v>
      </c>
      <c r="B289">
        <v>2021</v>
      </c>
      <c r="C289" t="s">
        <v>41</v>
      </c>
      <c r="D289">
        <v>148</v>
      </c>
      <c r="E289">
        <v>194.8</v>
      </c>
      <c r="F289">
        <v>178.4</v>
      </c>
      <c r="G289">
        <v>154.4</v>
      </c>
      <c r="H289">
        <v>144.1</v>
      </c>
      <c r="I289">
        <v>152.6</v>
      </c>
      <c r="J289">
        <v>206.8</v>
      </c>
      <c r="K289">
        <v>162.1</v>
      </c>
      <c r="L289">
        <v>116.3</v>
      </c>
      <c r="M289">
        <v>163</v>
      </c>
      <c r="N289">
        <v>145.9</v>
      </c>
      <c r="O289">
        <v>167.2</v>
      </c>
      <c r="P289">
        <v>163.4</v>
      </c>
      <c r="Q289">
        <v>157.69999999999999</v>
      </c>
      <c r="R289">
        <v>142.9</v>
      </c>
      <c r="S289">
        <v>145.69999999999999</v>
      </c>
      <c r="T289">
        <v>154.1</v>
      </c>
      <c r="U289">
        <v>136.9</v>
      </c>
      <c r="V289">
        <v>145.4</v>
      </c>
      <c r="W289">
        <v>156.1</v>
      </c>
      <c r="X289">
        <v>157.69999999999999</v>
      </c>
      <c r="Y289">
        <v>147.6</v>
      </c>
      <c r="Z289">
        <v>156</v>
      </c>
      <c r="AA289" s="1">
        <f>SUM(Table15[[#This Row],[Cereals and products]:[Food and beverages]])/13</f>
        <v>161.30769230769232</v>
      </c>
      <c r="AB289" s="1">
        <f>SUM(Table15[[#This Row],[Fuel and light]])</f>
        <v>142.9</v>
      </c>
      <c r="AC289" s="1">
        <f>SUM(Table15[[#This Row],[Transport and communication]])</f>
        <v>136.9</v>
      </c>
      <c r="AD289" s="1">
        <f>SUM(Table15[[#This Row],[Housing]],Table15[[#This Row],[Household goods and services]])/2</f>
        <v>151.69999999999999</v>
      </c>
      <c r="AE289" s="1">
        <f>SUM(Table15[[#This Row],[Health]])</f>
        <v>154.1</v>
      </c>
      <c r="AF289" s="1">
        <f>SUM(Table15[[#This Row],[Recreation and amusement]],Table15[[#This Row],[Education]])/2</f>
        <v>150.75</v>
      </c>
      <c r="AG289" s="1">
        <f>SUM(Table15[[#This Row],[Miscellaneous]],Table15[[#This Row],[Personal care and effects]])/2</f>
        <v>152.64999999999998</v>
      </c>
    </row>
    <row r="290" spans="1:33" x14ac:dyDescent="0.3">
      <c r="A290" t="s">
        <v>33</v>
      </c>
      <c r="B290">
        <v>2021</v>
      </c>
      <c r="C290" t="s">
        <v>42</v>
      </c>
      <c r="D290">
        <v>145.1</v>
      </c>
      <c r="E290">
        <v>204.5</v>
      </c>
      <c r="F290">
        <v>180.4</v>
      </c>
      <c r="G290">
        <v>157.1</v>
      </c>
      <c r="H290">
        <v>188.7</v>
      </c>
      <c r="I290">
        <v>157.69999999999999</v>
      </c>
      <c r="J290">
        <v>152.80000000000001</v>
      </c>
      <c r="K290">
        <v>163.6</v>
      </c>
      <c r="L290">
        <v>113.9</v>
      </c>
      <c r="M290">
        <v>169.7</v>
      </c>
      <c r="N290">
        <v>166.2</v>
      </c>
      <c r="O290">
        <v>171</v>
      </c>
      <c r="P290">
        <v>161.69999999999999</v>
      </c>
      <c r="Q290">
        <f>AVERAGE(Q291:Q292)</f>
        <v>161.5</v>
      </c>
      <c r="R290">
        <v>162.5</v>
      </c>
      <c r="S290">
        <v>160.30000000000001</v>
      </c>
      <c r="T290">
        <v>170.4</v>
      </c>
      <c r="U290">
        <v>157.1</v>
      </c>
      <c r="V290">
        <v>160.69999999999999</v>
      </c>
      <c r="W290">
        <v>167.2</v>
      </c>
      <c r="X290">
        <v>160.4</v>
      </c>
      <c r="Y290">
        <v>162.80000000000001</v>
      </c>
      <c r="Z290">
        <v>163.19999999999999</v>
      </c>
      <c r="AA290" s="1">
        <f>SUM(Table15[[#This Row],[Cereals and products]:[Food and beverages]])/13</f>
        <v>164.03076923076924</v>
      </c>
      <c r="AB290" s="1">
        <f>SUM(Table15[[#This Row],[Fuel and light]])</f>
        <v>162.5</v>
      </c>
      <c r="AC290" s="1">
        <f>SUM(Table15[[#This Row],[Transport and communication]])</f>
        <v>157.1</v>
      </c>
      <c r="AD290" s="1">
        <f>SUM(Table15[[#This Row],[Housing]],Table15[[#This Row],[Household goods and services]])/2</f>
        <v>160.9</v>
      </c>
      <c r="AE290" s="1">
        <f>SUM(Table15[[#This Row],[Health]])</f>
        <v>170.4</v>
      </c>
      <c r="AF290" s="1">
        <f>SUM(Table15[[#This Row],[Recreation and amusement]],Table15[[#This Row],[Education]])/2</f>
        <v>163.95</v>
      </c>
      <c r="AG290" s="1">
        <f>SUM(Table15[[#This Row],[Miscellaneous]],Table15[[#This Row],[Personal care and effects]])/2</f>
        <v>161.60000000000002</v>
      </c>
    </row>
    <row r="291" spans="1:33" x14ac:dyDescent="0.3">
      <c r="A291" t="s">
        <v>35</v>
      </c>
      <c r="B291">
        <v>2021</v>
      </c>
      <c r="C291" t="s">
        <v>42</v>
      </c>
      <c r="D291">
        <v>146.4</v>
      </c>
      <c r="E291">
        <v>206.8</v>
      </c>
      <c r="F291">
        <v>182.2</v>
      </c>
      <c r="G291">
        <v>157.5</v>
      </c>
      <c r="H291">
        <v>182.1</v>
      </c>
      <c r="I291">
        <v>163.9</v>
      </c>
      <c r="J291">
        <v>164.2</v>
      </c>
      <c r="K291">
        <v>164</v>
      </c>
      <c r="L291">
        <v>114.5</v>
      </c>
      <c r="M291">
        <v>168.3</v>
      </c>
      <c r="N291">
        <v>160.9</v>
      </c>
      <c r="O291">
        <v>172.2</v>
      </c>
      <c r="P291">
        <v>164</v>
      </c>
      <c r="Q291">
        <v>161.5</v>
      </c>
      <c r="R291">
        <v>160.69999999999999</v>
      </c>
      <c r="S291">
        <v>155.80000000000001</v>
      </c>
      <c r="T291">
        <v>167</v>
      </c>
      <c r="U291">
        <v>153.1</v>
      </c>
      <c r="V291">
        <v>155.30000000000001</v>
      </c>
      <c r="W291">
        <v>163.19999999999999</v>
      </c>
      <c r="X291">
        <v>160.1</v>
      </c>
      <c r="Y291">
        <v>159</v>
      </c>
      <c r="Z291">
        <v>162.5</v>
      </c>
      <c r="AA291" s="1">
        <f>SUM(Table15[[#This Row],[Cereals and products]:[Food and beverages]])/13</f>
        <v>165.15384615384616</v>
      </c>
      <c r="AB291" s="1">
        <f>SUM(Table15[[#This Row],[Fuel and light]])</f>
        <v>160.69999999999999</v>
      </c>
      <c r="AC291" s="1">
        <f>SUM(Table15[[#This Row],[Transport and communication]])</f>
        <v>153.1</v>
      </c>
      <c r="AD291" s="1">
        <f>SUM(Table15[[#This Row],[Housing]],Table15[[#This Row],[Household goods and services]])/2</f>
        <v>158.65</v>
      </c>
      <c r="AE291" s="1">
        <f>SUM(Table15[[#This Row],[Health]])</f>
        <v>167</v>
      </c>
      <c r="AF291" s="1">
        <f>SUM(Table15[[#This Row],[Recreation and amusement]],Table15[[#This Row],[Education]])/2</f>
        <v>159.25</v>
      </c>
      <c r="AG291" s="1">
        <f>SUM(Table15[[#This Row],[Miscellaneous]],Table15[[#This Row],[Personal care and effects]])/2</f>
        <v>159.55000000000001</v>
      </c>
    </row>
    <row r="292" spans="1:33" x14ac:dyDescent="0.3">
      <c r="A292" t="s">
        <v>36</v>
      </c>
      <c r="B292">
        <v>2021</v>
      </c>
      <c r="C292" t="s">
        <v>42</v>
      </c>
      <c r="D292">
        <v>149.1</v>
      </c>
      <c r="E292">
        <v>210.9</v>
      </c>
      <c r="F292">
        <v>185</v>
      </c>
      <c r="G292">
        <v>158.19999999999999</v>
      </c>
      <c r="H292">
        <v>170.6</v>
      </c>
      <c r="I292">
        <v>170.9</v>
      </c>
      <c r="J292">
        <v>186.4</v>
      </c>
      <c r="K292">
        <v>164.7</v>
      </c>
      <c r="L292">
        <v>115.7</v>
      </c>
      <c r="M292">
        <v>165.5</v>
      </c>
      <c r="N292">
        <v>153.4</v>
      </c>
      <c r="O292">
        <v>173.5</v>
      </c>
      <c r="P292">
        <v>167.9</v>
      </c>
      <c r="Q292">
        <v>161.5</v>
      </c>
      <c r="R292">
        <v>157.69999999999999</v>
      </c>
      <c r="S292">
        <v>150.69999999999999</v>
      </c>
      <c r="T292">
        <v>161.5</v>
      </c>
      <c r="U292">
        <v>149.5</v>
      </c>
      <c r="V292">
        <v>151.19999999999999</v>
      </c>
      <c r="W292">
        <v>160.30000000000001</v>
      </c>
      <c r="X292">
        <v>159.6</v>
      </c>
      <c r="Y292">
        <v>155</v>
      </c>
      <c r="Z292">
        <v>161.80000000000001</v>
      </c>
      <c r="AA292" s="1">
        <f>SUM(Table15[[#This Row],[Cereals and products]:[Food and beverages]])/13</f>
        <v>167.06153846153848</v>
      </c>
      <c r="AB292" s="1">
        <f>SUM(Table15[[#This Row],[Fuel and light]])</f>
        <v>157.69999999999999</v>
      </c>
      <c r="AC292" s="1">
        <f>SUM(Table15[[#This Row],[Transport and communication]])</f>
        <v>149.5</v>
      </c>
      <c r="AD292" s="1">
        <f>SUM(Table15[[#This Row],[Housing]],Table15[[#This Row],[Household goods and services]])/2</f>
        <v>156.1</v>
      </c>
      <c r="AE292" s="1">
        <f>SUM(Table15[[#This Row],[Health]])</f>
        <v>161.5</v>
      </c>
      <c r="AF292" s="1">
        <f>SUM(Table15[[#This Row],[Recreation and amusement]],Table15[[#This Row],[Education]])/2</f>
        <v>155.75</v>
      </c>
      <c r="AG292" s="1">
        <f>SUM(Table15[[#This Row],[Miscellaneous]],Table15[[#This Row],[Personal care and effects]])/2</f>
        <v>157.30000000000001</v>
      </c>
    </row>
    <row r="293" spans="1:33" x14ac:dyDescent="0.3">
      <c r="A293" t="s">
        <v>33</v>
      </c>
      <c r="B293">
        <v>2021</v>
      </c>
      <c r="C293" t="s">
        <v>43</v>
      </c>
      <c r="D293">
        <v>145.6</v>
      </c>
      <c r="E293">
        <v>200.1</v>
      </c>
      <c r="F293">
        <v>179.3</v>
      </c>
      <c r="G293">
        <v>156.1</v>
      </c>
      <c r="H293">
        <v>190.4</v>
      </c>
      <c r="I293">
        <v>158.6</v>
      </c>
      <c r="J293">
        <v>144.69999999999999</v>
      </c>
      <c r="K293">
        <v>165.5</v>
      </c>
      <c r="L293">
        <v>114.6</v>
      </c>
      <c r="M293">
        <v>170</v>
      </c>
      <c r="N293">
        <v>165.5</v>
      </c>
      <c r="O293">
        <v>171.7</v>
      </c>
      <c r="P293">
        <v>160.5</v>
      </c>
      <c r="Q293">
        <f>AVERAGE(Q294:Q295)</f>
        <v>160.5</v>
      </c>
      <c r="R293">
        <v>162.1</v>
      </c>
      <c r="S293">
        <v>159.19999999999999</v>
      </c>
      <c r="T293">
        <v>169.7</v>
      </c>
      <c r="U293">
        <v>154.19999999999999</v>
      </c>
      <c r="V293">
        <v>160.4</v>
      </c>
      <c r="W293">
        <v>166.8</v>
      </c>
      <c r="X293">
        <v>159.4</v>
      </c>
      <c r="Y293">
        <v>161.5</v>
      </c>
      <c r="Z293">
        <v>162.1</v>
      </c>
      <c r="AA293" s="1">
        <f>SUM(Table15[[#This Row],[Cereals and products]:[Food and beverages]])/13</f>
        <v>163.27692307692308</v>
      </c>
      <c r="AB293" s="1">
        <f>SUM(Table15[[#This Row],[Fuel and light]])</f>
        <v>162.1</v>
      </c>
      <c r="AC293" s="1">
        <f>SUM(Table15[[#This Row],[Transport and communication]])</f>
        <v>154.19999999999999</v>
      </c>
      <c r="AD293" s="1">
        <f>SUM(Table15[[#This Row],[Housing]],Table15[[#This Row],[Household goods and services]])/2</f>
        <v>159.85</v>
      </c>
      <c r="AE293" s="1">
        <f>SUM(Table15[[#This Row],[Health]])</f>
        <v>169.7</v>
      </c>
      <c r="AF293" s="1">
        <f>SUM(Table15[[#This Row],[Recreation and amusement]],Table15[[#This Row],[Education]])/2</f>
        <v>163.60000000000002</v>
      </c>
      <c r="AG293" s="1">
        <f>SUM(Table15[[#This Row],[Miscellaneous]],Table15[[#This Row],[Personal care and effects]])/2</f>
        <v>160.44999999999999</v>
      </c>
    </row>
    <row r="294" spans="1:33" x14ac:dyDescent="0.3">
      <c r="A294" t="s">
        <v>35</v>
      </c>
      <c r="B294">
        <v>2021</v>
      </c>
      <c r="C294" t="s">
        <v>43</v>
      </c>
      <c r="D294">
        <v>146.69999999999999</v>
      </c>
      <c r="E294">
        <v>202</v>
      </c>
      <c r="F294">
        <v>180.7</v>
      </c>
      <c r="G294">
        <v>156.19999999999999</v>
      </c>
      <c r="H294">
        <v>183.7</v>
      </c>
      <c r="I294">
        <v>164.6</v>
      </c>
      <c r="J294">
        <v>155.4</v>
      </c>
      <c r="K294">
        <v>166</v>
      </c>
      <c r="L294">
        <v>115.1</v>
      </c>
      <c r="M294">
        <v>168.5</v>
      </c>
      <c r="N294">
        <v>160</v>
      </c>
      <c r="O294">
        <v>172.4</v>
      </c>
      <c r="P294">
        <v>162.6</v>
      </c>
      <c r="Q294">
        <v>160.5</v>
      </c>
      <c r="R294">
        <v>159.80000000000001</v>
      </c>
      <c r="S294">
        <v>154.80000000000001</v>
      </c>
      <c r="T294">
        <v>166.3</v>
      </c>
      <c r="U294">
        <v>150.69999999999999</v>
      </c>
      <c r="V294">
        <v>154.9</v>
      </c>
      <c r="W294">
        <v>161.69999999999999</v>
      </c>
      <c r="X294">
        <v>158.80000000000001</v>
      </c>
      <c r="Y294">
        <v>157.6</v>
      </c>
      <c r="Z294">
        <v>161.30000000000001</v>
      </c>
      <c r="AA294" s="1">
        <f>SUM(Table15[[#This Row],[Cereals and products]:[Food and beverages]])/13</f>
        <v>164.14615384615385</v>
      </c>
      <c r="AB294" s="1">
        <f>SUM(Table15[[#This Row],[Fuel and light]])</f>
        <v>159.80000000000001</v>
      </c>
      <c r="AC294" s="1">
        <f>SUM(Table15[[#This Row],[Transport and communication]])</f>
        <v>150.69999999999999</v>
      </c>
      <c r="AD294" s="1">
        <f>SUM(Table15[[#This Row],[Housing]],Table15[[#This Row],[Household goods and services]])/2</f>
        <v>157.65</v>
      </c>
      <c r="AE294" s="1">
        <f>SUM(Table15[[#This Row],[Health]])</f>
        <v>166.3</v>
      </c>
      <c r="AF294" s="1">
        <f>SUM(Table15[[#This Row],[Recreation and amusement]],Table15[[#This Row],[Education]])/2</f>
        <v>158.30000000000001</v>
      </c>
      <c r="AG294" s="1">
        <f>SUM(Table15[[#This Row],[Miscellaneous]],Table15[[#This Row],[Personal care and effects]])/2</f>
        <v>158.19999999999999</v>
      </c>
    </row>
    <row r="295" spans="1:33" x14ac:dyDescent="0.3">
      <c r="A295" t="s">
        <v>36</v>
      </c>
      <c r="B295">
        <v>2021</v>
      </c>
      <c r="C295" t="s">
        <v>43</v>
      </c>
      <c r="D295">
        <v>149.19999999999999</v>
      </c>
      <c r="E295">
        <v>205.5</v>
      </c>
      <c r="F295">
        <v>182.8</v>
      </c>
      <c r="G295">
        <v>156.5</v>
      </c>
      <c r="H295">
        <v>172.2</v>
      </c>
      <c r="I295">
        <v>171.5</v>
      </c>
      <c r="J295">
        <v>176.2</v>
      </c>
      <c r="K295">
        <v>166.9</v>
      </c>
      <c r="L295">
        <v>116.1</v>
      </c>
      <c r="M295">
        <v>165.5</v>
      </c>
      <c r="N295">
        <v>152.30000000000001</v>
      </c>
      <c r="O295">
        <v>173.3</v>
      </c>
      <c r="P295">
        <v>166.2</v>
      </c>
      <c r="Q295">
        <v>160.5</v>
      </c>
      <c r="R295">
        <v>156.1</v>
      </c>
      <c r="S295">
        <v>149.80000000000001</v>
      </c>
      <c r="T295">
        <v>160.80000000000001</v>
      </c>
      <c r="U295">
        <v>147.5</v>
      </c>
      <c r="V295">
        <v>150.69999999999999</v>
      </c>
      <c r="W295">
        <v>158.1</v>
      </c>
      <c r="X295">
        <v>158</v>
      </c>
      <c r="Y295">
        <v>153.4</v>
      </c>
      <c r="Z295">
        <v>160.4</v>
      </c>
      <c r="AA295" s="1">
        <f>SUM(Table15[[#This Row],[Cereals and products]:[Food and beverages]])/13</f>
        <v>165.7076923076923</v>
      </c>
      <c r="AB295" s="1">
        <f>SUM(Table15[[#This Row],[Fuel and light]])</f>
        <v>156.1</v>
      </c>
      <c r="AC295" s="1">
        <f>SUM(Table15[[#This Row],[Transport and communication]])</f>
        <v>147.5</v>
      </c>
      <c r="AD295" s="1">
        <f>SUM(Table15[[#This Row],[Housing]],Table15[[#This Row],[Household goods and services]])/2</f>
        <v>155.15</v>
      </c>
      <c r="AE295" s="1">
        <f>SUM(Table15[[#This Row],[Health]])</f>
        <v>160.80000000000001</v>
      </c>
      <c r="AF295" s="1">
        <f>SUM(Table15[[#This Row],[Recreation and amusement]],Table15[[#This Row],[Education]])/2</f>
        <v>154.39999999999998</v>
      </c>
      <c r="AG295" s="1">
        <f>SUM(Table15[[#This Row],[Miscellaneous]],Table15[[#This Row],[Personal care and effects]])/2</f>
        <v>155.69999999999999</v>
      </c>
    </row>
    <row r="296" spans="1:33" x14ac:dyDescent="0.3">
      <c r="A296" t="s">
        <v>33</v>
      </c>
      <c r="B296">
        <v>2018</v>
      </c>
      <c r="C296" t="s">
        <v>38</v>
      </c>
      <c r="D296">
        <v>137.1</v>
      </c>
      <c r="E296">
        <v>151.9</v>
      </c>
      <c r="F296">
        <v>137.4</v>
      </c>
      <c r="G296">
        <v>142.4</v>
      </c>
      <c r="H296">
        <v>124.2</v>
      </c>
      <c r="I296">
        <v>140.19999999999999</v>
      </c>
      <c r="J296">
        <v>136.6</v>
      </c>
      <c r="K296">
        <v>120.9</v>
      </c>
      <c r="L296">
        <v>109.9</v>
      </c>
      <c r="M296">
        <v>140.19999999999999</v>
      </c>
      <c r="N296">
        <v>137.80000000000001</v>
      </c>
      <c r="O296">
        <v>156</v>
      </c>
      <c r="P296">
        <v>138.5</v>
      </c>
      <c r="Q296">
        <f>AVERAGE(Q297:Q298)</f>
        <v>146.5</v>
      </c>
      <c r="R296">
        <v>149</v>
      </c>
      <c r="S296">
        <v>149.5</v>
      </c>
      <c r="T296">
        <v>149.6</v>
      </c>
      <c r="U296">
        <v>128.9</v>
      </c>
      <c r="V296">
        <v>143.30000000000001</v>
      </c>
      <c r="W296">
        <v>155.1</v>
      </c>
      <c r="X296">
        <v>133.19999999999999</v>
      </c>
      <c r="Y296">
        <v>141.6</v>
      </c>
      <c r="Z296">
        <v>141.9</v>
      </c>
      <c r="AA296" s="1">
        <f>SUM(Table15[[#This Row],[Cereals and products]:[Food and beverages]])/13</f>
        <v>136.3923076923077</v>
      </c>
      <c r="AB296" s="1">
        <f>SUM(Table15[[#This Row],[Fuel and light]])</f>
        <v>149</v>
      </c>
      <c r="AC296" s="1">
        <f>SUM(Table15[[#This Row],[Transport and communication]])</f>
        <v>128.9</v>
      </c>
      <c r="AD296" s="1">
        <f>SUM(Table15[[#This Row],[Housing]],Table15[[#This Row],[Household goods and services]])/2</f>
        <v>148</v>
      </c>
      <c r="AE296" s="1">
        <f>SUM(Table15[[#This Row],[Health]])</f>
        <v>149.6</v>
      </c>
      <c r="AF296" s="1">
        <f>SUM(Table15[[#This Row],[Recreation and amusement]],Table15[[#This Row],[Education]])/2</f>
        <v>149.19999999999999</v>
      </c>
      <c r="AG296" s="1">
        <f>SUM(Table15[[#This Row],[Miscellaneous]],Table15[[#This Row],[Personal care and effects]])/2</f>
        <v>137.39999999999998</v>
      </c>
    </row>
    <row r="297" spans="1:33" x14ac:dyDescent="0.3">
      <c r="A297" t="s">
        <v>35</v>
      </c>
      <c r="B297">
        <v>2018</v>
      </c>
      <c r="C297" t="s">
        <v>38</v>
      </c>
      <c r="D297">
        <v>137.5</v>
      </c>
      <c r="E297">
        <v>150.5</v>
      </c>
      <c r="F297">
        <v>138.80000000000001</v>
      </c>
      <c r="G297">
        <v>142.1</v>
      </c>
      <c r="H297">
        <v>122</v>
      </c>
      <c r="I297">
        <v>139.4</v>
      </c>
      <c r="J297">
        <v>135.19999999999999</v>
      </c>
      <c r="K297">
        <v>119.8</v>
      </c>
      <c r="L297">
        <v>110.3</v>
      </c>
      <c r="M297">
        <v>140.6</v>
      </c>
      <c r="N297">
        <v>133.80000000000001</v>
      </c>
      <c r="O297">
        <v>154.6</v>
      </c>
      <c r="P297">
        <v>138.19999999999999</v>
      </c>
      <c r="Q297">
        <v>146.5</v>
      </c>
      <c r="R297">
        <v>142.69999999999999</v>
      </c>
      <c r="S297">
        <v>143.19999999999999</v>
      </c>
      <c r="T297">
        <v>144.9</v>
      </c>
      <c r="U297">
        <v>123.6</v>
      </c>
      <c r="V297">
        <v>136.80000000000001</v>
      </c>
      <c r="W297">
        <v>150.1</v>
      </c>
      <c r="X297">
        <v>132.19999999999999</v>
      </c>
      <c r="Y297">
        <v>136.80000000000001</v>
      </c>
      <c r="Z297">
        <v>140.1</v>
      </c>
      <c r="AA297" s="1">
        <f>SUM(Table15[[#This Row],[Cereals and products]:[Food and beverages]])/13</f>
        <v>135.59999999999997</v>
      </c>
      <c r="AB297" s="1">
        <f>SUM(Table15[[#This Row],[Fuel and light]])</f>
        <v>142.69999999999999</v>
      </c>
      <c r="AC297" s="1">
        <f>SUM(Table15[[#This Row],[Transport and communication]])</f>
        <v>123.6</v>
      </c>
      <c r="AD297" s="1">
        <f>SUM(Table15[[#This Row],[Housing]],Table15[[#This Row],[Household goods and services]])/2</f>
        <v>144.85</v>
      </c>
      <c r="AE297" s="1">
        <f>SUM(Table15[[#This Row],[Health]])</f>
        <v>144.9</v>
      </c>
      <c r="AF297" s="1">
        <f>SUM(Table15[[#This Row],[Recreation and amusement]],Table15[[#This Row],[Education]])/2</f>
        <v>143.44999999999999</v>
      </c>
      <c r="AG297" s="1">
        <f>SUM(Table15[[#This Row],[Miscellaneous]],Table15[[#This Row],[Personal care and effects]])/2</f>
        <v>134.5</v>
      </c>
    </row>
    <row r="298" spans="1:33" x14ac:dyDescent="0.3">
      <c r="A298" t="s">
        <v>36</v>
      </c>
      <c r="B298">
        <v>2018</v>
      </c>
      <c r="C298" t="s">
        <v>38</v>
      </c>
      <c r="D298">
        <v>138.5</v>
      </c>
      <c r="E298">
        <v>147.80000000000001</v>
      </c>
      <c r="F298">
        <v>141.1</v>
      </c>
      <c r="G298">
        <v>141.6</v>
      </c>
      <c r="H298">
        <v>118.1</v>
      </c>
      <c r="I298">
        <v>138.5</v>
      </c>
      <c r="J298">
        <v>132.4</v>
      </c>
      <c r="K298">
        <v>117.5</v>
      </c>
      <c r="L298">
        <v>111</v>
      </c>
      <c r="M298">
        <v>141.5</v>
      </c>
      <c r="N298">
        <v>128.1</v>
      </c>
      <c r="O298">
        <v>152.9</v>
      </c>
      <c r="P298">
        <v>137.6</v>
      </c>
      <c r="Q298">
        <v>146.5</v>
      </c>
      <c r="R298">
        <v>132.4</v>
      </c>
      <c r="S298">
        <v>136.19999999999999</v>
      </c>
      <c r="T298">
        <v>137.30000000000001</v>
      </c>
      <c r="U298">
        <v>118.8</v>
      </c>
      <c r="V298">
        <v>131.69999999999999</v>
      </c>
      <c r="W298">
        <v>146.5</v>
      </c>
      <c r="X298">
        <v>130.80000000000001</v>
      </c>
      <c r="Y298">
        <v>131.69999999999999</v>
      </c>
      <c r="Z298">
        <v>138</v>
      </c>
      <c r="AA298" s="1">
        <f>SUM(Table15[[#This Row],[Cereals and products]:[Food and beverages]])/13</f>
        <v>134.35384615384615</v>
      </c>
      <c r="AB298" s="1">
        <f>SUM(Table15[[#This Row],[Fuel and light]])</f>
        <v>132.4</v>
      </c>
      <c r="AC298" s="1">
        <f>SUM(Table15[[#This Row],[Transport and communication]])</f>
        <v>118.8</v>
      </c>
      <c r="AD298" s="1">
        <f>SUM(Table15[[#This Row],[Housing]],Table15[[#This Row],[Household goods and services]])/2</f>
        <v>141.35</v>
      </c>
      <c r="AE298" s="1">
        <f>SUM(Table15[[#This Row],[Health]])</f>
        <v>137.30000000000001</v>
      </c>
      <c r="AF298" s="1">
        <f>SUM(Table15[[#This Row],[Recreation and amusement]],Table15[[#This Row],[Education]])/2</f>
        <v>139.1</v>
      </c>
      <c r="AG298" s="1">
        <f>SUM(Table15[[#This Row],[Miscellaneous]],Table15[[#This Row],[Personal care and effects]])/2</f>
        <v>131.25</v>
      </c>
    </row>
    <row r="299" spans="1:33" x14ac:dyDescent="0.3">
      <c r="A299" t="s">
        <v>36</v>
      </c>
      <c r="B299">
        <v>2017</v>
      </c>
      <c r="C299" t="s">
        <v>38</v>
      </c>
      <c r="D299">
        <v>134.4</v>
      </c>
      <c r="E299">
        <v>142.6</v>
      </c>
      <c r="F299">
        <v>145.9</v>
      </c>
      <c r="G299">
        <v>139.5</v>
      </c>
      <c r="H299">
        <v>115.9</v>
      </c>
      <c r="I299">
        <v>135</v>
      </c>
      <c r="J299">
        <v>163.19999999999999</v>
      </c>
      <c r="K299">
        <v>119.8</v>
      </c>
      <c r="L299">
        <v>120.7</v>
      </c>
      <c r="M299">
        <v>139.69999999999999</v>
      </c>
      <c r="N299">
        <v>125.7</v>
      </c>
      <c r="O299">
        <v>146.30000000000001</v>
      </c>
      <c r="P299">
        <v>138.80000000000001</v>
      </c>
      <c r="Q299">
        <v>139.1</v>
      </c>
      <c r="R299">
        <v>126.8</v>
      </c>
      <c r="S299">
        <v>129.30000000000001</v>
      </c>
      <c r="T299">
        <v>128.19999999999999</v>
      </c>
      <c r="U299">
        <v>115.3</v>
      </c>
      <c r="V299">
        <v>125.6</v>
      </c>
      <c r="W299">
        <v>136.69999999999999</v>
      </c>
      <c r="X299">
        <v>124.6</v>
      </c>
      <c r="Y299">
        <v>125.1</v>
      </c>
      <c r="Z299">
        <v>134.1</v>
      </c>
      <c r="AA299" s="1">
        <f>SUM(Table15[[#This Row],[Cereals and products]:[Food and beverages]])/13</f>
        <v>135.96153846153845</v>
      </c>
      <c r="AB299" s="1">
        <f>SUM(Table15[[#This Row],[Fuel and light]])</f>
        <v>126.8</v>
      </c>
      <c r="AC299" s="1">
        <f>SUM(Table15[[#This Row],[Transport and communication]])</f>
        <v>115.3</v>
      </c>
      <c r="AD299" s="1">
        <f>SUM(Table15[[#This Row],[Housing]],Table15[[#This Row],[Household goods and services]])/2</f>
        <v>134.19999999999999</v>
      </c>
      <c r="AE299" s="1">
        <f>SUM(Table15[[#This Row],[Health]])</f>
        <v>128.19999999999999</v>
      </c>
      <c r="AF299" s="1">
        <f>SUM(Table15[[#This Row],[Recreation and amusement]],Table15[[#This Row],[Education]])/2</f>
        <v>131.14999999999998</v>
      </c>
      <c r="AG299" s="1">
        <f>SUM(Table15[[#This Row],[Miscellaneous]],Table15[[#This Row],[Personal care and effects]])/2</f>
        <v>124.85</v>
      </c>
    </row>
    <row r="300" spans="1:33" x14ac:dyDescent="0.3">
      <c r="A300" t="s">
        <v>35</v>
      </c>
      <c r="B300">
        <v>2017</v>
      </c>
      <c r="C300" t="s">
        <v>38</v>
      </c>
      <c r="D300">
        <v>135.80000000000001</v>
      </c>
      <c r="E300">
        <v>143.30000000000001</v>
      </c>
      <c r="F300">
        <v>145.19999999999999</v>
      </c>
      <c r="G300">
        <v>141</v>
      </c>
      <c r="H300">
        <v>120.5</v>
      </c>
      <c r="I300">
        <v>141.5</v>
      </c>
      <c r="J300">
        <v>161.69999999999999</v>
      </c>
      <c r="K300">
        <v>129.1</v>
      </c>
      <c r="L300">
        <v>121.5</v>
      </c>
      <c r="M300">
        <v>137.1</v>
      </c>
      <c r="N300">
        <v>128.80000000000001</v>
      </c>
      <c r="O300">
        <v>149</v>
      </c>
      <c r="P300">
        <v>140.5</v>
      </c>
      <c r="Q300">
        <v>139.1</v>
      </c>
      <c r="R300">
        <v>136.6</v>
      </c>
      <c r="S300">
        <v>134.69999999999999</v>
      </c>
      <c r="T300">
        <v>133.1</v>
      </c>
      <c r="U300">
        <v>118.5</v>
      </c>
      <c r="V300">
        <v>129</v>
      </c>
      <c r="W300">
        <v>138.5</v>
      </c>
      <c r="X300">
        <v>126.5</v>
      </c>
      <c r="Y300">
        <v>128.6</v>
      </c>
      <c r="Z300">
        <v>137.19999999999999</v>
      </c>
      <c r="AA300" s="1">
        <f>SUM(Table15[[#This Row],[Cereals and products]:[Food and beverages]])/13</f>
        <v>138.07692307692307</v>
      </c>
      <c r="AB300" s="1">
        <f>SUM(Table15[[#This Row],[Fuel and light]])</f>
        <v>136.6</v>
      </c>
      <c r="AC300" s="1">
        <f>SUM(Table15[[#This Row],[Transport and communication]])</f>
        <v>118.5</v>
      </c>
      <c r="AD300" s="1">
        <f>SUM(Table15[[#This Row],[Housing]],Table15[[#This Row],[Household goods and services]])/2</f>
        <v>136.89999999999998</v>
      </c>
      <c r="AE300" s="1">
        <f>SUM(Table15[[#This Row],[Health]])</f>
        <v>133.1</v>
      </c>
      <c r="AF300" s="1">
        <f>SUM(Table15[[#This Row],[Recreation and amusement]],Table15[[#This Row],[Education]])/2</f>
        <v>133.75</v>
      </c>
      <c r="AG300" s="1">
        <f>SUM(Table15[[#This Row],[Miscellaneous]],Table15[[#This Row],[Personal care and effects]])/2</f>
        <v>127.55</v>
      </c>
    </row>
    <row r="301" spans="1:33" x14ac:dyDescent="0.3">
      <c r="A301" t="s">
        <v>33</v>
      </c>
      <c r="B301">
        <v>2017</v>
      </c>
      <c r="C301" t="s">
        <v>38</v>
      </c>
      <c r="D301">
        <v>136.4</v>
      </c>
      <c r="E301">
        <v>143.69999999999999</v>
      </c>
      <c r="F301">
        <v>144.80000000000001</v>
      </c>
      <c r="G301">
        <v>141.9</v>
      </c>
      <c r="H301">
        <v>123.1</v>
      </c>
      <c r="I301">
        <v>147.19999999999999</v>
      </c>
      <c r="J301">
        <v>161</v>
      </c>
      <c r="K301">
        <v>133.80000000000001</v>
      </c>
      <c r="L301">
        <v>121.9</v>
      </c>
      <c r="M301">
        <v>135.80000000000001</v>
      </c>
      <c r="N301">
        <v>131.1</v>
      </c>
      <c r="O301">
        <v>151.4</v>
      </c>
      <c r="P301">
        <v>141.5</v>
      </c>
      <c r="Q301">
        <f>AVERAGE(Q299:Q300)</f>
        <v>139.1</v>
      </c>
      <c r="R301">
        <v>142.6</v>
      </c>
      <c r="S301">
        <v>139.5</v>
      </c>
      <c r="T301">
        <v>136.1</v>
      </c>
      <c r="U301">
        <v>122</v>
      </c>
      <c r="V301">
        <v>133.4</v>
      </c>
      <c r="W301">
        <v>141.1</v>
      </c>
      <c r="X301">
        <v>127.8</v>
      </c>
      <c r="Y301">
        <v>131.9</v>
      </c>
      <c r="Z301">
        <v>139.80000000000001</v>
      </c>
      <c r="AA301" s="1">
        <f>SUM(Table15[[#This Row],[Cereals and products]:[Food and beverages]])/13</f>
        <v>139.50769230769231</v>
      </c>
      <c r="AB301" s="1">
        <f>SUM(Table15[[#This Row],[Fuel and light]])</f>
        <v>142.6</v>
      </c>
      <c r="AC301" s="1">
        <f>SUM(Table15[[#This Row],[Transport and communication]])</f>
        <v>122</v>
      </c>
      <c r="AD301" s="1">
        <f>SUM(Table15[[#This Row],[Housing]],Table15[[#This Row],[Household goods and services]])/2</f>
        <v>139.30000000000001</v>
      </c>
      <c r="AE301" s="1">
        <f>SUM(Table15[[#This Row],[Health]])</f>
        <v>136.1</v>
      </c>
      <c r="AF301" s="1">
        <f>SUM(Table15[[#This Row],[Recreation and amusement]],Table15[[#This Row],[Education]])/2</f>
        <v>137.25</v>
      </c>
      <c r="AG301" s="1">
        <f>SUM(Table15[[#This Row],[Miscellaneous]],Table15[[#This Row],[Personal care and effects]])/2</f>
        <v>129.85</v>
      </c>
    </row>
    <row r="302" spans="1:33" x14ac:dyDescent="0.3">
      <c r="A302" t="s">
        <v>36</v>
      </c>
      <c r="B302">
        <v>2016</v>
      </c>
      <c r="C302" t="s">
        <v>38</v>
      </c>
      <c r="D302">
        <v>131.6</v>
      </c>
      <c r="E302">
        <v>138.19999999999999</v>
      </c>
      <c r="F302">
        <v>134.9</v>
      </c>
      <c r="G302">
        <v>133.1</v>
      </c>
      <c r="H302">
        <v>113.5</v>
      </c>
      <c r="I302">
        <v>129.30000000000001</v>
      </c>
      <c r="J302">
        <v>121.1</v>
      </c>
      <c r="K302">
        <v>170.3</v>
      </c>
      <c r="L302">
        <v>115.5</v>
      </c>
      <c r="M302">
        <v>145.5</v>
      </c>
      <c r="N302">
        <v>123.1</v>
      </c>
      <c r="O302">
        <v>140.9</v>
      </c>
      <c r="P302">
        <v>132.80000000000001</v>
      </c>
      <c r="Q302">
        <v>128.5</v>
      </c>
      <c r="R302">
        <v>117.8</v>
      </c>
      <c r="S302">
        <v>125</v>
      </c>
      <c r="T302">
        <v>122.3</v>
      </c>
      <c r="U302">
        <v>113.7</v>
      </c>
      <c r="V302">
        <v>121.8</v>
      </c>
      <c r="W302">
        <v>132.30000000000001</v>
      </c>
      <c r="X302">
        <v>119.9</v>
      </c>
      <c r="Y302">
        <v>121.4</v>
      </c>
      <c r="Z302">
        <v>127.6</v>
      </c>
      <c r="AA302" s="1">
        <f>SUM(Table15[[#This Row],[Cereals and products]:[Food and beverages]])/13</f>
        <v>133.06153846153845</v>
      </c>
      <c r="AB302" s="1">
        <f>SUM(Table15[[#This Row],[Fuel and light]])</f>
        <v>117.8</v>
      </c>
      <c r="AC302" s="1">
        <f>SUM(Table15[[#This Row],[Transport and communication]])</f>
        <v>113.7</v>
      </c>
      <c r="AD302" s="1">
        <f>SUM(Table15[[#This Row],[Housing]],Table15[[#This Row],[Household goods and services]])/2</f>
        <v>126.75</v>
      </c>
      <c r="AE302" s="1">
        <f>SUM(Table15[[#This Row],[Health]])</f>
        <v>122.3</v>
      </c>
      <c r="AF302" s="1">
        <f>SUM(Table15[[#This Row],[Recreation and amusement]],Table15[[#This Row],[Education]])/2</f>
        <v>127.05000000000001</v>
      </c>
      <c r="AG302" s="1">
        <f>SUM(Table15[[#This Row],[Miscellaneous]],Table15[[#This Row],[Personal care and effects]])/2</f>
        <v>120.65</v>
      </c>
    </row>
    <row r="303" spans="1:33" x14ac:dyDescent="0.3">
      <c r="A303" t="s">
        <v>35</v>
      </c>
      <c r="B303">
        <v>2016</v>
      </c>
      <c r="C303" t="s">
        <v>38</v>
      </c>
      <c r="D303">
        <v>132.30000000000001</v>
      </c>
      <c r="E303">
        <v>137.6</v>
      </c>
      <c r="F303">
        <v>132.9</v>
      </c>
      <c r="G303">
        <v>135.1</v>
      </c>
      <c r="H303">
        <v>118.6</v>
      </c>
      <c r="I303">
        <v>132.69999999999999</v>
      </c>
      <c r="J303">
        <v>125.3</v>
      </c>
      <c r="K303">
        <v>168.7</v>
      </c>
      <c r="L303">
        <v>114.4</v>
      </c>
      <c r="M303">
        <v>140.19999999999999</v>
      </c>
      <c r="N303">
        <v>126.6</v>
      </c>
      <c r="O303">
        <v>142.30000000000001</v>
      </c>
      <c r="P303">
        <v>134</v>
      </c>
      <c r="Q303">
        <v>128.5</v>
      </c>
      <c r="R303">
        <v>126.6</v>
      </c>
      <c r="S303">
        <v>129.19999999999999</v>
      </c>
      <c r="T303">
        <v>126.9</v>
      </c>
      <c r="U303">
        <v>116</v>
      </c>
      <c r="V303">
        <v>124.2</v>
      </c>
      <c r="W303">
        <v>133.1</v>
      </c>
      <c r="X303">
        <v>121.1</v>
      </c>
      <c r="Y303">
        <v>123.9</v>
      </c>
      <c r="Z303">
        <v>130.4</v>
      </c>
      <c r="AA303" s="1">
        <f>SUM(Table15[[#This Row],[Cereals and products]:[Food and beverages]])/13</f>
        <v>133.9</v>
      </c>
      <c r="AB303" s="1">
        <f>SUM(Table15[[#This Row],[Fuel and light]])</f>
        <v>126.6</v>
      </c>
      <c r="AC303" s="1">
        <f>SUM(Table15[[#This Row],[Transport and communication]])</f>
        <v>116</v>
      </c>
      <c r="AD303" s="1">
        <f>SUM(Table15[[#This Row],[Housing]],Table15[[#This Row],[Household goods and services]])/2</f>
        <v>128.85</v>
      </c>
      <c r="AE303" s="1">
        <f>SUM(Table15[[#This Row],[Health]])</f>
        <v>126.9</v>
      </c>
      <c r="AF303" s="1">
        <f>SUM(Table15[[#This Row],[Recreation and amusement]],Table15[[#This Row],[Education]])/2</f>
        <v>128.65</v>
      </c>
      <c r="AG303" s="1">
        <f>SUM(Table15[[#This Row],[Miscellaneous]],Table15[[#This Row],[Personal care and effects]])/2</f>
        <v>122.5</v>
      </c>
    </row>
    <row r="304" spans="1:33" x14ac:dyDescent="0.3">
      <c r="A304" t="s">
        <v>33</v>
      </c>
      <c r="B304">
        <v>2016</v>
      </c>
      <c r="C304" t="s">
        <v>38</v>
      </c>
      <c r="D304">
        <v>132.6</v>
      </c>
      <c r="E304">
        <v>137.30000000000001</v>
      </c>
      <c r="F304">
        <v>131.6</v>
      </c>
      <c r="G304">
        <v>136.30000000000001</v>
      </c>
      <c r="H304">
        <v>121.6</v>
      </c>
      <c r="I304">
        <v>135.6</v>
      </c>
      <c r="J304">
        <v>127.5</v>
      </c>
      <c r="K304">
        <v>167.9</v>
      </c>
      <c r="L304">
        <v>113.8</v>
      </c>
      <c r="M304">
        <v>137.5</v>
      </c>
      <c r="N304">
        <v>129.1</v>
      </c>
      <c r="O304">
        <v>143.6</v>
      </c>
      <c r="P304">
        <v>134.69999999999999</v>
      </c>
      <c r="Q304">
        <f>AVERAGE(Q302:Q303)</f>
        <v>128.5</v>
      </c>
      <c r="R304">
        <v>132</v>
      </c>
      <c r="S304">
        <v>132.9</v>
      </c>
      <c r="T304">
        <v>129.69999999999999</v>
      </c>
      <c r="U304">
        <v>118.6</v>
      </c>
      <c r="V304">
        <v>127.3</v>
      </c>
      <c r="W304">
        <v>134.19999999999999</v>
      </c>
      <c r="X304">
        <v>121.9</v>
      </c>
      <c r="Y304">
        <v>126.3</v>
      </c>
      <c r="Z304">
        <v>132.80000000000001</v>
      </c>
      <c r="AA304" s="1">
        <f>SUM(Table15[[#This Row],[Cereals and products]:[Food and beverages]])/13</f>
        <v>134.54615384615383</v>
      </c>
      <c r="AB304" s="1">
        <f>SUM(Table15[[#This Row],[Fuel and light]])</f>
        <v>132</v>
      </c>
      <c r="AC304" s="1">
        <f>SUM(Table15[[#This Row],[Transport and communication]])</f>
        <v>118.6</v>
      </c>
      <c r="AD304" s="1">
        <f>SUM(Table15[[#This Row],[Housing]],Table15[[#This Row],[Household goods and services]])/2</f>
        <v>130.69999999999999</v>
      </c>
      <c r="AE304" s="1">
        <f>SUM(Table15[[#This Row],[Health]])</f>
        <v>129.69999999999999</v>
      </c>
      <c r="AF304" s="1">
        <f>SUM(Table15[[#This Row],[Recreation and amusement]],Table15[[#This Row],[Education]])/2</f>
        <v>130.75</v>
      </c>
      <c r="AG304" s="1">
        <f>SUM(Table15[[#This Row],[Miscellaneous]],Table15[[#This Row],[Personal care and effects]])/2</f>
        <v>124.1</v>
      </c>
    </row>
    <row r="305" spans="1:33" x14ac:dyDescent="0.3">
      <c r="A305" t="s">
        <v>36</v>
      </c>
      <c r="B305">
        <v>2015</v>
      </c>
      <c r="C305" t="s">
        <v>38</v>
      </c>
      <c r="D305">
        <v>124.3</v>
      </c>
      <c r="E305">
        <v>131.69999999999999</v>
      </c>
      <c r="F305">
        <v>127.1</v>
      </c>
      <c r="G305">
        <v>128.6</v>
      </c>
      <c r="H305">
        <v>110</v>
      </c>
      <c r="I305">
        <v>120.8</v>
      </c>
      <c r="J305">
        <v>149</v>
      </c>
      <c r="K305">
        <v>190.1</v>
      </c>
      <c r="L305">
        <v>92.7</v>
      </c>
      <c r="M305">
        <v>138.6</v>
      </c>
      <c r="N305">
        <v>120.2</v>
      </c>
      <c r="O305">
        <v>134.19999999999999</v>
      </c>
      <c r="P305">
        <v>131.5</v>
      </c>
      <c r="Q305">
        <v>122.4</v>
      </c>
      <c r="R305">
        <v>116</v>
      </c>
      <c r="S305">
        <v>121</v>
      </c>
      <c r="T305">
        <v>118.6</v>
      </c>
      <c r="U305">
        <v>109.3</v>
      </c>
      <c r="V305">
        <v>118.1</v>
      </c>
      <c r="W305">
        <v>126.6</v>
      </c>
      <c r="X305">
        <v>113.2</v>
      </c>
      <c r="Y305">
        <v>116.7</v>
      </c>
      <c r="Z305">
        <v>124</v>
      </c>
      <c r="AA305" s="1">
        <f>SUM(Table15[[#This Row],[Cereals and products]:[Food and beverages]])/13</f>
        <v>130.67692307692306</v>
      </c>
      <c r="AB305" s="1">
        <f>SUM(Table15[[#This Row],[Fuel and light]])</f>
        <v>116</v>
      </c>
      <c r="AC305" s="1">
        <f>SUM(Table15[[#This Row],[Transport and communication]])</f>
        <v>109.3</v>
      </c>
      <c r="AD305" s="1">
        <f>SUM(Table15[[#This Row],[Housing]],Table15[[#This Row],[Household goods and services]])/2</f>
        <v>121.7</v>
      </c>
      <c r="AE305" s="1">
        <f>SUM(Table15[[#This Row],[Health]])</f>
        <v>118.6</v>
      </c>
      <c r="AF305" s="1">
        <f>SUM(Table15[[#This Row],[Recreation and amusement]],Table15[[#This Row],[Education]])/2</f>
        <v>122.35</v>
      </c>
      <c r="AG305" s="1">
        <f>SUM(Table15[[#This Row],[Miscellaneous]],Table15[[#This Row],[Personal care and effects]])/2</f>
        <v>114.95</v>
      </c>
    </row>
    <row r="306" spans="1:33" x14ac:dyDescent="0.3">
      <c r="A306" t="s">
        <v>35</v>
      </c>
      <c r="B306">
        <v>2015</v>
      </c>
      <c r="C306" t="s">
        <v>38</v>
      </c>
      <c r="D306">
        <v>125.7</v>
      </c>
      <c r="E306">
        <v>131.4</v>
      </c>
      <c r="F306">
        <v>124.8</v>
      </c>
      <c r="G306">
        <v>129.4</v>
      </c>
      <c r="H306">
        <v>115.3</v>
      </c>
      <c r="I306">
        <v>126.6</v>
      </c>
      <c r="J306">
        <v>146.69999999999999</v>
      </c>
      <c r="K306">
        <v>171.5</v>
      </c>
      <c r="L306">
        <v>94.5</v>
      </c>
      <c r="M306">
        <v>132.1</v>
      </c>
      <c r="N306">
        <v>122</v>
      </c>
      <c r="O306">
        <v>134.69999999999999</v>
      </c>
      <c r="P306">
        <v>131.4</v>
      </c>
      <c r="Q306">
        <v>122.4</v>
      </c>
      <c r="R306">
        <v>122</v>
      </c>
      <c r="S306">
        <v>123.6</v>
      </c>
      <c r="T306">
        <v>121.4</v>
      </c>
      <c r="U306">
        <v>111.5</v>
      </c>
      <c r="V306">
        <v>119.6</v>
      </c>
      <c r="W306">
        <v>126.2</v>
      </c>
      <c r="X306">
        <v>113.7</v>
      </c>
      <c r="Y306">
        <v>118.3</v>
      </c>
      <c r="Z306">
        <v>126.1</v>
      </c>
      <c r="AA306" s="1">
        <f>SUM(Table15[[#This Row],[Cereals and products]:[Food and beverages]])/13</f>
        <v>129.70000000000002</v>
      </c>
      <c r="AB306" s="1">
        <f>SUM(Table15[[#This Row],[Fuel and light]])</f>
        <v>122</v>
      </c>
      <c r="AC306" s="1">
        <f>SUM(Table15[[#This Row],[Transport and communication]])</f>
        <v>111.5</v>
      </c>
      <c r="AD306" s="1">
        <f>SUM(Table15[[#This Row],[Housing]],Table15[[#This Row],[Household goods and services]])/2</f>
        <v>123</v>
      </c>
      <c r="AE306" s="1">
        <f>SUM(Table15[[#This Row],[Health]])</f>
        <v>121.4</v>
      </c>
      <c r="AF306" s="1">
        <f>SUM(Table15[[#This Row],[Recreation and amusement]],Table15[[#This Row],[Education]])/2</f>
        <v>122.9</v>
      </c>
      <c r="AG306" s="1">
        <f>SUM(Table15[[#This Row],[Miscellaneous]],Table15[[#This Row],[Personal care and effects]])/2</f>
        <v>116</v>
      </c>
    </row>
    <row r="307" spans="1:33" x14ac:dyDescent="0.3">
      <c r="A307" t="s">
        <v>33</v>
      </c>
      <c r="B307">
        <v>2015</v>
      </c>
      <c r="C307" t="s">
        <v>38</v>
      </c>
      <c r="D307">
        <v>126.3</v>
      </c>
      <c r="E307">
        <v>131.30000000000001</v>
      </c>
      <c r="F307">
        <v>123.3</v>
      </c>
      <c r="G307">
        <v>129.80000000000001</v>
      </c>
      <c r="H307">
        <v>118.3</v>
      </c>
      <c r="I307">
        <v>131.6</v>
      </c>
      <c r="J307">
        <v>145.5</v>
      </c>
      <c r="K307">
        <v>162.1</v>
      </c>
      <c r="L307">
        <v>95.4</v>
      </c>
      <c r="M307">
        <v>128.9</v>
      </c>
      <c r="N307">
        <v>123.3</v>
      </c>
      <c r="O307">
        <v>135.1</v>
      </c>
      <c r="P307">
        <v>131.4</v>
      </c>
      <c r="Q307">
        <f>AVERAGE(Q305:Q306)</f>
        <v>122.4</v>
      </c>
      <c r="R307">
        <v>125.7</v>
      </c>
      <c r="S307">
        <v>126</v>
      </c>
      <c r="T307">
        <v>123.1</v>
      </c>
      <c r="U307">
        <v>114</v>
      </c>
      <c r="V307">
        <v>121.6</v>
      </c>
      <c r="W307">
        <v>125.6</v>
      </c>
      <c r="X307">
        <v>114.1</v>
      </c>
      <c r="Y307">
        <v>119.8</v>
      </c>
      <c r="Z307">
        <v>127.9</v>
      </c>
      <c r="AA307" s="1">
        <f>SUM(Table15[[#This Row],[Cereals and products]:[Food and beverages]])/13</f>
        <v>129.40769230769232</v>
      </c>
      <c r="AB307" s="1">
        <f>SUM(Table15[[#This Row],[Fuel and light]])</f>
        <v>125.7</v>
      </c>
      <c r="AC307" s="1">
        <f>SUM(Table15[[#This Row],[Transport and communication]])</f>
        <v>114</v>
      </c>
      <c r="AD307" s="1">
        <f>SUM(Table15[[#This Row],[Housing]],Table15[[#This Row],[Household goods and services]])/2</f>
        <v>124.2</v>
      </c>
      <c r="AE307" s="1">
        <f>SUM(Table15[[#This Row],[Health]])</f>
        <v>123.1</v>
      </c>
      <c r="AF307" s="1">
        <f>SUM(Table15[[#This Row],[Recreation and amusement]],Table15[[#This Row],[Education]])/2</f>
        <v>123.6</v>
      </c>
      <c r="AG307" s="1">
        <f>SUM(Table15[[#This Row],[Miscellaneous]],Table15[[#This Row],[Personal care and effects]])/2</f>
        <v>116.94999999999999</v>
      </c>
    </row>
    <row r="308" spans="1:33" x14ac:dyDescent="0.3">
      <c r="A308" t="s">
        <v>33</v>
      </c>
      <c r="B308">
        <v>2014</v>
      </c>
      <c r="C308" t="s">
        <v>38</v>
      </c>
      <c r="D308">
        <v>122.4</v>
      </c>
      <c r="E308">
        <v>122.4</v>
      </c>
      <c r="F308">
        <v>121.8</v>
      </c>
      <c r="G308">
        <v>124.2</v>
      </c>
      <c r="H308">
        <v>110.2</v>
      </c>
      <c r="I308">
        <v>128.6</v>
      </c>
      <c r="J308">
        <v>140.30000000000001</v>
      </c>
      <c r="K308">
        <v>116.3</v>
      </c>
      <c r="L308">
        <v>102</v>
      </c>
      <c r="M308">
        <v>116</v>
      </c>
      <c r="N308">
        <v>117.3</v>
      </c>
      <c r="O308">
        <v>124.8</v>
      </c>
      <c r="P308">
        <v>123.3</v>
      </c>
      <c r="Q308">
        <f>AVERAGE(Q309:Q310)</f>
        <v>116.5</v>
      </c>
      <c r="R308">
        <v>117.4</v>
      </c>
      <c r="S308">
        <v>118.2</v>
      </c>
      <c r="T308">
        <v>116.2</v>
      </c>
      <c r="U308">
        <v>111.5</v>
      </c>
      <c r="V308">
        <v>113.3</v>
      </c>
      <c r="W308">
        <v>117.7</v>
      </c>
      <c r="X308">
        <v>109.4</v>
      </c>
      <c r="Y308">
        <v>114.2</v>
      </c>
      <c r="Z308">
        <v>120.3</v>
      </c>
      <c r="AA308" s="1">
        <f>SUM(Table15[[#This Row],[Cereals and products]:[Food and beverages]])/13</f>
        <v>120.73846153846154</v>
      </c>
      <c r="AB308" s="1">
        <f>SUM(Table15[[#This Row],[Fuel and light]])</f>
        <v>117.4</v>
      </c>
      <c r="AC308" s="1">
        <f>SUM(Table15[[#This Row],[Transport and communication]])</f>
        <v>111.5</v>
      </c>
      <c r="AD308" s="1">
        <f>SUM(Table15[[#This Row],[Housing]],Table15[[#This Row],[Household goods and services]])/2</f>
        <v>117.35</v>
      </c>
      <c r="AE308" s="1">
        <f>SUM(Table15[[#This Row],[Health]])</f>
        <v>116.2</v>
      </c>
      <c r="AF308" s="1">
        <f>SUM(Table15[[#This Row],[Recreation and amusement]],Table15[[#This Row],[Education]])/2</f>
        <v>115.5</v>
      </c>
      <c r="AG308" s="1">
        <f>SUM(Table15[[#This Row],[Miscellaneous]],Table15[[#This Row],[Personal care and effects]])/2</f>
        <v>111.80000000000001</v>
      </c>
    </row>
    <row r="309" spans="1:33" x14ac:dyDescent="0.3">
      <c r="A309" t="s">
        <v>35</v>
      </c>
      <c r="B309">
        <v>2014</v>
      </c>
      <c r="C309" t="s">
        <v>38</v>
      </c>
      <c r="D309">
        <v>122.9</v>
      </c>
      <c r="E309">
        <v>123.2</v>
      </c>
      <c r="F309">
        <v>123.5</v>
      </c>
      <c r="G309">
        <v>124.5</v>
      </c>
      <c r="H309">
        <v>107.6</v>
      </c>
      <c r="I309">
        <v>125.7</v>
      </c>
      <c r="J309">
        <v>140.5</v>
      </c>
      <c r="K309">
        <v>117.6</v>
      </c>
      <c r="L309">
        <v>100.6</v>
      </c>
      <c r="M309">
        <v>119.1</v>
      </c>
      <c r="N309">
        <v>116.8</v>
      </c>
      <c r="O309">
        <v>126.1</v>
      </c>
      <c r="P309">
        <v>123.6</v>
      </c>
      <c r="Q309">
        <v>116.5</v>
      </c>
      <c r="R309">
        <v>115.7</v>
      </c>
      <c r="S309">
        <v>117.5</v>
      </c>
      <c r="T309">
        <v>115.1</v>
      </c>
      <c r="U309">
        <v>110.1</v>
      </c>
      <c r="V309">
        <v>113.9</v>
      </c>
      <c r="W309">
        <v>119.5</v>
      </c>
      <c r="X309">
        <v>109.8</v>
      </c>
      <c r="Y309">
        <v>113.8</v>
      </c>
      <c r="Z309">
        <v>119.4</v>
      </c>
      <c r="AA309" s="1">
        <f>SUM(Table15[[#This Row],[Cereals and products]:[Food and beverages]])/13</f>
        <v>120.89999999999999</v>
      </c>
      <c r="AB309" s="1">
        <f>SUM(Table15[[#This Row],[Fuel and light]])</f>
        <v>115.7</v>
      </c>
      <c r="AC309" s="1">
        <f>SUM(Table15[[#This Row],[Transport and communication]])</f>
        <v>110.1</v>
      </c>
      <c r="AD309" s="1">
        <f>SUM(Table15[[#This Row],[Housing]],Table15[[#This Row],[Household goods and services]])/2</f>
        <v>117</v>
      </c>
      <c r="AE309" s="1">
        <f>SUM(Table15[[#This Row],[Health]])</f>
        <v>115.1</v>
      </c>
      <c r="AF309" s="1">
        <f>SUM(Table15[[#This Row],[Recreation and amusement]],Table15[[#This Row],[Education]])/2</f>
        <v>116.7</v>
      </c>
      <c r="AG309" s="1">
        <f>SUM(Table15[[#This Row],[Miscellaneous]],Table15[[#This Row],[Personal care and effects]])/2</f>
        <v>111.8</v>
      </c>
    </row>
    <row r="310" spans="1:33" x14ac:dyDescent="0.3">
      <c r="A310" t="s">
        <v>36</v>
      </c>
      <c r="B310">
        <v>2014</v>
      </c>
      <c r="C310" t="s">
        <v>38</v>
      </c>
      <c r="D310">
        <v>124</v>
      </c>
      <c r="E310">
        <v>124.7</v>
      </c>
      <c r="F310">
        <v>126.3</v>
      </c>
      <c r="G310">
        <v>124.9</v>
      </c>
      <c r="H310">
        <v>103</v>
      </c>
      <c r="I310">
        <v>122.3</v>
      </c>
      <c r="J310">
        <v>141</v>
      </c>
      <c r="K310">
        <v>120.1</v>
      </c>
      <c r="L310">
        <v>97.8</v>
      </c>
      <c r="M310">
        <v>125.4</v>
      </c>
      <c r="N310">
        <v>116.1</v>
      </c>
      <c r="O310">
        <v>127.6</v>
      </c>
      <c r="P310">
        <v>124</v>
      </c>
      <c r="Q310">
        <v>116.5</v>
      </c>
      <c r="R310">
        <v>113</v>
      </c>
      <c r="S310">
        <v>116.8</v>
      </c>
      <c r="T310">
        <v>113.2</v>
      </c>
      <c r="U310">
        <v>108.8</v>
      </c>
      <c r="V310">
        <v>114.3</v>
      </c>
      <c r="W310">
        <v>120.7</v>
      </c>
      <c r="X310">
        <v>110.4</v>
      </c>
      <c r="Y310">
        <v>113.4</v>
      </c>
      <c r="Z310">
        <v>118.4</v>
      </c>
      <c r="AA310" s="1">
        <f>SUM(Table15[[#This Row],[Cereals and products]:[Food and beverages]])/13</f>
        <v>121.32307692307691</v>
      </c>
      <c r="AB310" s="1">
        <f>SUM(Table15[[#This Row],[Fuel and light]])</f>
        <v>113</v>
      </c>
      <c r="AC310" s="1">
        <f>SUM(Table15[[#This Row],[Transport and communication]])</f>
        <v>108.8</v>
      </c>
      <c r="AD310" s="1">
        <f>SUM(Table15[[#This Row],[Housing]],Table15[[#This Row],[Household goods and services]])/2</f>
        <v>116.65</v>
      </c>
      <c r="AE310" s="1">
        <f>SUM(Table15[[#This Row],[Health]])</f>
        <v>113.2</v>
      </c>
      <c r="AF310" s="1">
        <f>SUM(Table15[[#This Row],[Recreation and amusement]],Table15[[#This Row],[Education]])/2</f>
        <v>117.5</v>
      </c>
      <c r="AG310" s="1">
        <f>SUM(Table15[[#This Row],[Miscellaneous]],Table15[[#This Row],[Personal care and effects]])/2</f>
        <v>111.9</v>
      </c>
    </row>
    <row r="311" spans="1:33" x14ac:dyDescent="0.3">
      <c r="A311" t="s">
        <v>33</v>
      </c>
      <c r="B311">
        <v>2013</v>
      </c>
      <c r="C311" t="s">
        <v>38</v>
      </c>
      <c r="D311">
        <v>118.4</v>
      </c>
      <c r="E311">
        <v>115.9</v>
      </c>
      <c r="F311">
        <v>120.4</v>
      </c>
      <c r="G311">
        <v>113.8</v>
      </c>
      <c r="H311">
        <v>109.5</v>
      </c>
      <c r="I311">
        <v>115.5</v>
      </c>
      <c r="J311">
        <v>145.69999999999999</v>
      </c>
      <c r="K311">
        <v>109.5</v>
      </c>
      <c r="L311">
        <v>102.9</v>
      </c>
      <c r="M311">
        <v>109.8</v>
      </c>
      <c r="N311">
        <v>112.1</v>
      </c>
      <c r="O311">
        <v>116.8</v>
      </c>
      <c r="P311">
        <v>118.7</v>
      </c>
      <c r="Q311">
        <f>AVERAGE(Q312:Q313)</f>
        <v>110.7</v>
      </c>
      <c r="R311">
        <v>112.8</v>
      </c>
      <c r="S311">
        <v>112.1</v>
      </c>
      <c r="T311">
        <v>110.1</v>
      </c>
      <c r="U311">
        <v>109.9</v>
      </c>
      <c r="V311">
        <v>109.2</v>
      </c>
      <c r="W311">
        <v>111.6</v>
      </c>
      <c r="X311">
        <v>108.1</v>
      </c>
      <c r="Y311">
        <v>110.1</v>
      </c>
      <c r="Z311">
        <v>115.5</v>
      </c>
      <c r="AA311" s="1">
        <f>SUM(Table15[[#This Row],[Cereals and products]:[Food and beverages]])/13</f>
        <v>116.07692307692308</v>
      </c>
      <c r="AB311" s="1">
        <f>SUM(Table15[[#This Row],[Fuel and light]])</f>
        <v>112.8</v>
      </c>
      <c r="AC311" s="1">
        <f>SUM(Table15[[#This Row],[Transport and communication]])</f>
        <v>109.9</v>
      </c>
      <c r="AD311" s="1">
        <f>SUM(Table15[[#This Row],[Housing]],Table15[[#This Row],[Household goods and services]])/2</f>
        <v>111.4</v>
      </c>
      <c r="AE311" s="1">
        <f>SUM(Table15[[#This Row],[Health]])</f>
        <v>110.1</v>
      </c>
      <c r="AF311" s="1">
        <f>SUM(Table15[[#This Row],[Recreation and amusement]],Table15[[#This Row],[Education]])/2</f>
        <v>110.4</v>
      </c>
      <c r="AG311" s="1">
        <f>SUM(Table15[[#This Row],[Miscellaneous]],Table15[[#This Row],[Personal care and effects]])/2</f>
        <v>109.1</v>
      </c>
    </row>
    <row r="312" spans="1:33" x14ac:dyDescent="0.3">
      <c r="A312" t="s">
        <v>35</v>
      </c>
      <c r="B312">
        <v>2013</v>
      </c>
      <c r="C312" t="s">
        <v>38</v>
      </c>
      <c r="D312">
        <v>119.1</v>
      </c>
      <c r="E312">
        <v>116.7</v>
      </c>
      <c r="F312">
        <v>123.5</v>
      </c>
      <c r="G312">
        <v>113.4</v>
      </c>
      <c r="H312">
        <v>107.3</v>
      </c>
      <c r="I312">
        <v>113.3</v>
      </c>
      <c r="J312">
        <v>145.4</v>
      </c>
      <c r="K312">
        <v>108.7</v>
      </c>
      <c r="L312">
        <v>101.5</v>
      </c>
      <c r="M312">
        <v>110.5</v>
      </c>
      <c r="N312">
        <v>112.1</v>
      </c>
      <c r="O312">
        <v>117.4</v>
      </c>
      <c r="P312">
        <v>118.4</v>
      </c>
      <c r="Q312">
        <v>110.7</v>
      </c>
      <c r="R312">
        <v>111.9</v>
      </c>
      <c r="S312">
        <v>111.7</v>
      </c>
      <c r="T312">
        <v>109.7</v>
      </c>
      <c r="U312">
        <v>109.8</v>
      </c>
      <c r="V312">
        <v>109</v>
      </c>
      <c r="W312">
        <v>111.5</v>
      </c>
      <c r="X312">
        <v>107.9</v>
      </c>
      <c r="Y312">
        <v>110</v>
      </c>
      <c r="Z312">
        <v>114.5</v>
      </c>
      <c r="AA312" s="1">
        <f>SUM(Table15[[#This Row],[Cereals and products]:[Food and beverages]])/13</f>
        <v>115.94615384615386</v>
      </c>
      <c r="AB312" s="1">
        <f>SUM(Table15[[#This Row],[Fuel and light]])</f>
        <v>111.9</v>
      </c>
      <c r="AC312" s="1">
        <f>SUM(Table15[[#This Row],[Transport and communication]])</f>
        <v>109.8</v>
      </c>
      <c r="AD312" s="1">
        <f>SUM(Table15[[#This Row],[Housing]],Table15[[#This Row],[Household goods and services]])/2</f>
        <v>111.2</v>
      </c>
      <c r="AE312" s="1">
        <f>SUM(Table15[[#This Row],[Health]])</f>
        <v>109.7</v>
      </c>
      <c r="AF312" s="1">
        <f>SUM(Table15[[#This Row],[Recreation and amusement]],Table15[[#This Row],[Education]])/2</f>
        <v>110.25</v>
      </c>
      <c r="AG312" s="1">
        <f>SUM(Table15[[#This Row],[Miscellaneous]],Table15[[#This Row],[Personal care and effects]])/2</f>
        <v>108.95</v>
      </c>
    </row>
    <row r="313" spans="1:33" x14ac:dyDescent="0.3">
      <c r="A313" t="s">
        <v>36</v>
      </c>
      <c r="B313">
        <v>2013</v>
      </c>
      <c r="C313" t="s">
        <v>38</v>
      </c>
      <c r="D313">
        <v>120.5</v>
      </c>
      <c r="E313">
        <v>118.1</v>
      </c>
      <c r="F313">
        <v>128.5</v>
      </c>
      <c r="G313">
        <v>112.8</v>
      </c>
      <c r="H313">
        <v>103.4</v>
      </c>
      <c r="I313">
        <v>110.7</v>
      </c>
      <c r="J313">
        <v>144.80000000000001</v>
      </c>
      <c r="K313">
        <v>107.1</v>
      </c>
      <c r="L313">
        <v>98.6</v>
      </c>
      <c r="M313">
        <v>111.9</v>
      </c>
      <c r="N313">
        <v>112.1</v>
      </c>
      <c r="O313">
        <v>118.1</v>
      </c>
      <c r="P313">
        <v>117.8</v>
      </c>
      <c r="Q313">
        <v>110.7</v>
      </c>
      <c r="R313">
        <v>110.4</v>
      </c>
      <c r="S313">
        <v>111.3</v>
      </c>
      <c r="T313">
        <v>109</v>
      </c>
      <c r="U313">
        <v>109.7</v>
      </c>
      <c r="V313">
        <v>108.9</v>
      </c>
      <c r="W313">
        <v>111.4</v>
      </c>
      <c r="X313">
        <v>107.7</v>
      </c>
      <c r="Y313">
        <v>109.8</v>
      </c>
      <c r="Z313">
        <v>113.3</v>
      </c>
      <c r="AA313" s="1">
        <f>SUM(Table15[[#This Row],[Cereals and products]:[Food and beverages]])/13</f>
        <v>115.72307692307693</v>
      </c>
      <c r="AB313" s="1">
        <f>SUM(Table15[[#This Row],[Fuel and light]])</f>
        <v>110.4</v>
      </c>
      <c r="AC313" s="1">
        <f>SUM(Table15[[#This Row],[Transport and communication]])</f>
        <v>109.7</v>
      </c>
      <c r="AD313" s="1">
        <f>SUM(Table15[[#This Row],[Housing]],Table15[[#This Row],[Household goods and services]])/2</f>
        <v>111</v>
      </c>
      <c r="AE313" s="1">
        <f>SUM(Table15[[#This Row],[Health]])</f>
        <v>109</v>
      </c>
      <c r="AF313" s="1">
        <f>SUM(Table15[[#This Row],[Recreation and amusement]],Table15[[#This Row],[Education]])/2</f>
        <v>110.15</v>
      </c>
      <c r="AG313" s="1">
        <f>SUM(Table15[[#This Row],[Miscellaneous]],Table15[[#This Row],[Personal care and effects]])/2</f>
        <v>108.75</v>
      </c>
    </row>
    <row r="314" spans="1:33" x14ac:dyDescent="0.3">
      <c r="A314" t="s">
        <v>33</v>
      </c>
      <c r="B314">
        <v>2022</v>
      </c>
      <c r="C314" t="s">
        <v>37</v>
      </c>
      <c r="D314">
        <v>159.5</v>
      </c>
      <c r="E314">
        <v>204.1</v>
      </c>
      <c r="F314">
        <v>168.3</v>
      </c>
      <c r="G314">
        <v>167.9</v>
      </c>
      <c r="H314">
        <v>198.1</v>
      </c>
      <c r="I314">
        <v>169.2</v>
      </c>
      <c r="J314">
        <v>173.1</v>
      </c>
      <c r="K314">
        <v>167.1</v>
      </c>
      <c r="L314">
        <v>120.2</v>
      </c>
      <c r="M314">
        <v>195.6</v>
      </c>
      <c r="N314">
        <v>174.8</v>
      </c>
      <c r="O314">
        <v>184</v>
      </c>
      <c r="P314">
        <v>173.9</v>
      </c>
      <c r="Q314">
        <f>AVERAGE(Q315:Q316)</f>
        <v>169</v>
      </c>
      <c r="R314">
        <v>179.1</v>
      </c>
      <c r="S314">
        <v>172.3</v>
      </c>
      <c r="T314">
        <v>179.4</v>
      </c>
      <c r="U314">
        <v>166.6</v>
      </c>
      <c r="V314">
        <v>169.3</v>
      </c>
      <c r="W314">
        <v>175.7</v>
      </c>
      <c r="X314">
        <v>171.1</v>
      </c>
      <c r="Y314">
        <v>172.6</v>
      </c>
      <c r="Z314">
        <v>175.3</v>
      </c>
      <c r="AA314" s="1">
        <f>SUM(Table15[[#This Row],[Cereals and products]:[Food and beverages]])/13</f>
        <v>173.5230769230769</v>
      </c>
      <c r="AB314" s="1">
        <f>SUM(Table15[[#This Row],[Fuel and light]])</f>
        <v>179.1</v>
      </c>
      <c r="AC314" s="1">
        <f>SUM(Table15[[#This Row],[Transport and communication]])</f>
        <v>166.6</v>
      </c>
      <c r="AD314" s="1">
        <f>SUM(Table15[[#This Row],[Housing]],Table15[[#This Row],[Household goods and services]])/2</f>
        <v>170.65</v>
      </c>
      <c r="AE314" s="1">
        <f>SUM(Table15[[#This Row],[Health]])</f>
        <v>179.4</v>
      </c>
      <c r="AF314" s="1">
        <f>SUM(Table15[[#This Row],[Recreation and amusement]],Table15[[#This Row],[Education]])/2</f>
        <v>172.5</v>
      </c>
      <c r="AG314" s="1">
        <f>SUM(Table15[[#This Row],[Miscellaneous]],Table15[[#This Row],[Personal care and effects]])/2</f>
        <v>171.85</v>
      </c>
    </row>
    <row r="315" spans="1:33" x14ac:dyDescent="0.3">
      <c r="A315" t="s">
        <v>35</v>
      </c>
      <c r="B315">
        <v>2022</v>
      </c>
      <c r="C315" t="s">
        <v>37</v>
      </c>
      <c r="D315">
        <v>160.30000000000001</v>
      </c>
      <c r="E315">
        <v>206.5</v>
      </c>
      <c r="F315">
        <v>169.2</v>
      </c>
      <c r="G315">
        <v>168.1</v>
      </c>
      <c r="H315">
        <v>192.4</v>
      </c>
      <c r="I315">
        <v>172.9</v>
      </c>
      <c r="J315">
        <v>186.7</v>
      </c>
      <c r="K315">
        <v>167.2</v>
      </c>
      <c r="L315">
        <v>120.9</v>
      </c>
      <c r="M315">
        <v>193.6</v>
      </c>
      <c r="N315">
        <v>168.8</v>
      </c>
      <c r="O315">
        <v>186.3</v>
      </c>
      <c r="P315">
        <v>176.3</v>
      </c>
      <c r="Q315">
        <v>169</v>
      </c>
      <c r="R315">
        <v>178.8</v>
      </c>
      <c r="S315">
        <v>168.5</v>
      </c>
      <c r="T315">
        <v>176.8</v>
      </c>
      <c r="U315">
        <v>161.9</v>
      </c>
      <c r="V315">
        <v>166.9</v>
      </c>
      <c r="W315">
        <v>172.3</v>
      </c>
      <c r="X315">
        <v>171.2</v>
      </c>
      <c r="Y315">
        <v>169.1</v>
      </c>
      <c r="Z315">
        <v>174.3</v>
      </c>
      <c r="AA315" s="1">
        <f>SUM(Table15[[#This Row],[Cereals and products]:[Food and beverages]])/13</f>
        <v>174.55384615384617</v>
      </c>
      <c r="AB315" s="1">
        <f>SUM(Table15[[#This Row],[Fuel and light]])</f>
        <v>178.8</v>
      </c>
      <c r="AC315" s="1">
        <f>SUM(Table15[[#This Row],[Transport and communication]])</f>
        <v>161.9</v>
      </c>
      <c r="AD315" s="1">
        <f>SUM(Table15[[#This Row],[Housing]],Table15[[#This Row],[Household goods and services]])/2</f>
        <v>168.75</v>
      </c>
      <c r="AE315" s="1">
        <f>SUM(Table15[[#This Row],[Health]])</f>
        <v>176.8</v>
      </c>
      <c r="AF315" s="1">
        <f>SUM(Table15[[#This Row],[Recreation and amusement]],Table15[[#This Row],[Education]])/2</f>
        <v>169.60000000000002</v>
      </c>
      <c r="AG315" s="1">
        <f>SUM(Table15[[#This Row],[Miscellaneous]],Table15[[#This Row],[Personal care and effects]])/2</f>
        <v>170.14999999999998</v>
      </c>
    </row>
    <row r="316" spans="1:33" x14ac:dyDescent="0.3">
      <c r="A316" t="s">
        <v>36</v>
      </c>
      <c r="B316">
        <v>2022</v>
      </c>
      <c r="C316" t="s">
        <v>37</v>
      </c>
      <c r="D316">
        <v>162.1</v>
      </c>
      <c r="E316">
        <v>210.9</v>
      </c>
      <c r="F316">
        <v>170.6</v>
      </c>
      <c r="G316">
        <v>168.4</v>
      </c>
      <c r="H316">
        <v>182.5</v>
      </c>
      <c r="I316">
        <v>177.1</v>
      </c>
      <c r="J316">
        <v>213.1</v>
      </c>
      <c r="K316">
        <v>167.3</v>
      </c>
      <c r="L316">
        <v>122.2</v>
      </c>
      <c r="M316">
        <v>189.7</v>
      </c>
      <c r="N316">
        <v>160.5</v>
      </c>
      <c r="O316">
        <v>188.9</v>
      </c>
      <c r="P316">
        <v>180.4</v>
      </c>
      <c r="Q316">
        <v>169</v>
      </c>
      <c r="R316">
        <v>178.4</v>
      </c>
      <c r="S316">
        <v>164.2</v>
      </c>
      <c r="T316">
        <v>172.6</v>
      </c>
      <c r="U316">
        <v>157.69999999999999</v>
      </c>
      <c r="V316">
        <v>165.1</v>
      </c>
      <c r="W316">
        <v>169.9</v>
      </c>
      <c r="X316">
        <v>171.4</v>
      </c>
      <c r="Y316">
        <v>165.4</v>
      </c>
      <c r="Z316">
        <v>173.1</v>
      </c>
      <c r="AA316" s="1">
        <f>SUM(Table15[[#This Row],[Cereals and products]:[Food and beverages]])/13</f>
        <v>176.43846153846152</v>
      </c>
      <c r="AB316" s="1">
        <f>SUM(Table15[[#This Row],[Fuel and light]])</f>
        <v>178.4</v>
      </c>
      <c r="AC316" s="1">
        <f>SUM(Table15[[#This Row],[Transport and communication]])</f>
        <v>157.69999999999999</v>
      </c>
      <c r="AD316" s="1">
        <f>SUM(Table15[[#This Row],[Housing]],Table15[[#This Row],[Household goods and services]])/2</f>
        <v>166.6</v>
      </c>
      <c r="AE316" s="1">
        <f>SUM(Table15[[#This Row],[Health]])</f>
        <v>172.6</v>
      </c>
      <c r="AF316" s="1">
        <f>SUM(Table15[[#This Row],[Recreation and amusement]],Table15[[#This Row],[Education]])/2</f>
        <v>167.5</v>
      </c>
      <c r="AG316" s="1">
        <f>SUM(Table15[[#This Row],[Miscellaneous]],Table15[[#This Row],[Personal care and effects]])/2</f>
        <v>168.4</v>
      </c>
    </row>
    <row r="317" spans="1:33" x14ac:dyDescent="0.3">
      <c r="A317" t="s">
        <v>33</v>
      </c>
      <c r="B317">
        <v>2021</v>
      </c>
      <c r="C317" t="s">
        <v>46</v>
      </c>
      <c r="D317">
        <v>142.5</v>
      </c>
      <c r="E317">
        <v>189.4</v>
      </c>
      <c r="F317">
        <v>163.19999999999999</v>
      </c>
      <c r="G317">
        <v>154.5</v>
      </c>
      <c r="H317">
        <v>168.2</v>
      </c>
      <c r="I317">
        <v>150.5</v>
      </c>
      <c r="J317">
        <v>141</v>
      </c>
      <c r="K317">
        <v>159.19999999999999</v>
      </c>
      <c r="L317">
        <v>111.7</v>
      </c>
      <c r="M317">
        <v>164</v>
      </c>
      <c r="N317">
        <v>160.6</v>
      </c>
      <c r="O317">
        <v>166.4</v>
      </c>
      <c r="P317">
        <v>154.5</v>
      </c>
      <c r="Q317">
        <f>AVERAGE(Q318:Q319)</f>
        <v>159.9</v>
      </c>
      <c r="R317">
        <v>156</v>
      </c>
      <c r="S317">
        <v>154.80000000000001</v>
      </c>
      <c r="T317">
        <v>164.6</v>
      </c>
      <c r="U317">
        <v>151.30000000000001</v>
      </c>
      <c r="V317">
        <v>157.80000000000001</v>
      </c>
      <c r="W317">
        <v>163.80000000000001</v>
      </c>
      <c r="X317">
        <v>153.1</v>
      </c>
      <c r="Y317">
        <v>157.30000000000001</v>
      </c>
      <c r="Z317">
        <v>156.69999999999999</v>
      </c>
      <c r="AA317" s="1">
        <f>SUM(Table15[[#This Row],[Cereals and products]:[Food and beverages]])/13</f>
        <v>155.82307692307694</v>
      </c>
      <c r="AB317" s="1">
        <f>SUM(Table15[[#This Row],[Fuel and light]])</f>
        <v>156</v>
      </c>
      <c r="AC317" s="1">
        <f>SUM(Table15[[#This Row],[Transport and communication]])</f>
        <v>151.30000000000001</v>
      </c>
      <c r="AD317" s="1">
        <f>SUM(Table15[[#This Row],[Housing]],Table15[[#This Row],[Household goods and services]])/2</f>
        <v>157.35000000000002</v>
      </c>
      <c r="AE317" s="1">
        <f>SUM(Table15[[#This Row],[Health]])</f>
        <v>164.6</v>
      </c>
      <c r="AF317" s="1">
        <f>SUM(Table15[[#This Row],[Recreation and amusement]],Table15[[#This Row],[Education]])/2</f>
        <v>160.80000000000001</v>
      </c>
      <c r="AG317" s="1">
        <f>SUM(Table15[[#This Row],[Miscellaneous]],Table15[[#This Row],[Personal care and effects]])/2</f>
        <v>155.19999999999999</v>
      </c>
    </row>
    <row r="318" spans="1:33" x14ac:dyDescent="0.3">
      <c r="A318" t="s">
        <v>35</v>
      </c>
      <c r="B318">
        <v>2021</v>
      </c>
      <c r="C318" t="s">
        <v>46</v>
      </c>
      <c r="D318">
        <v>144.1</v>
      </c>
      <c r="E318">
        <v>192.2</v>
      </c>
      <c r="F318">
        <v>163.80000000000001</v>
      </c>
      <c r="G318">
        <v>154.9</v>
      </c>
      <c r="H318">
        <v>163.9</v>
      </c>
      <c r="I318">
        <v>153.69999999999999</v>
      </c>
      <c r="J318">
        <v>149.5</v>
      </c>
      <c r="K318">
        <v>159.80000000000001</v>
      </c>
      <c r="L318">
        <v>112.6</v>
      </c>
      <c r="M318">
        <v>163.5</v>
      </c>
      <c r="N318">
        <v>156.5</v>
      </c>
      <c r="O318">
        <v>168.2</v>
      </c>
      <c r="P318">
        <v>156.69999999999999</v>
      </c>
      <c r="Q318">
        <v>159.9</v>
      </c>
      <c r="R318">
        <v>155.5</v>
      </c>
      <c r="S318">
        <v>151.19999999999999</v>
      </c>
      <c r="T318">
        <v>161.69999999999999</v>
      </c>
      <c r="U318">
        <v>146.19999999999999</v>
      </c>
      <c r="V318">
        <v>152.6</v>
      </c>
      <c r="W318">
        <v>160.19999999999999</v>
      </c>
      <c r="X318">
        <v>153.80000000000001</v>
      </c>
      <c r="Y318">
        <v>153.80000000000001</v>
      </c>
      <c r="Z318">
        <v>156.80000000000001</v>
      </c>
      <c r="AA318" s="1">
        <f>SUM(Table15[[#This Row],[Cereals and products]:[Food and beverages]])/13</f>
        <v>156.87692307692308</v>
      </c>
      <c r="AB318" s="1">
        <f>SUM(Table15[[#This Row],[Fuel and light]])</f>
        <v>155.5</v>
      </c>
      <c r="AC318" s="1">
        <f>SUM(Table15[[#This Row],[Transport and communication]])</f>
        <v>146.19999999999999</v>
      </c>
      <c r="AD318" s="1">
        <f>SUM(Table15[[#This Row],[Housing]],Table15[[#This Row],[Household goods and services]])/2</f>
        <v>155.55000000000001</v>
      </c>
      <c r="AE318" s="1">
        <f>SUM(Table15[[#This Row],[Health]])</f>
        <v>161.69999999999999</v>
      </c>
      <c r="AF318" s="1">
        <f>SUM(Table15[[#This Row],[Recreation and amusement]],Table15[[#This Row],[Education]])/2</f>
        <v>156.39999999999998</v>
      </c>
      <c r="AG318" s="1">
        <f>SUM(Table15[[#This Row],[Miscellaneous]],Table15[[#This Row],[Personal care and effects]])/2</f>
        <v>153.80000000000001</v>
      </c>
    </row>
    <row r="319" spans="1:33" x14ac:dyDescent="0.3">
      <c r="A319" t="s">
        <v>36</v>
      </c>
      <c r="B319">
        <v>2021</v>
      </c>
      <c r="C319" t="s">
        <v>46</v>
      </c>
      <c r="D319">
        <v>147.5</v>
      </c>
      <c r="E319">
        <v>197.5</v>
      </c>
      <c r="F319">
        <v>164.7</v>
      </c>
      <c r="G319">
        <v>155.6</v>
      </c>
      <c r="H319">
        <v>156.4</v>
      </c>
      <c r="I319">
        <v>157.30000000000001</v>
      </c>
      <c r="J319">
        <v>166.1</v>
      </c>
      <c r="K319">
        <v>161.1</v>
      </c>
      <c r="L319">
        <v>114.3</v>
      </c>
      <c r="M319">
        <v>162.6</v>
      </c>
      <c r="N319">
        <v>150.69999999999999</v>
      </c>
      <c r="O319">
        <v>170.3</v>
      </c>
      <c r="P319">
        <v>160.4</v>
      </c>
      <c r="Q319">
        <v>159.9</v>
      </c>
      <c r="R319">
        <v>154.80000000000001</v>
      </c>
      <c r="S319">
        <v>147.19999999999999</v>
      </c>
      <c r="T319">
        <v>156.9</v>
      </c>
      <c r="U319">
        <v>141.69999999999999</v>
      </c>
      <c r="V319">
        <v>148.6</v>
      </c>
      <c r="W319">
        <v>157.6</v>
      </c>
      <c r="X319">
        <v>154.9</v>
      </c>
      <c r="Y319">
        <v>150</v>
      </c>
      <c r="Z319">
        <v>156.9</v>
      </c>
      <c r="AA319" s="1">
        <f>SUM(Table15[[#This Row],[Cereals and products]:[Food and beverages]])/13</f>
        <v>158.80769230769226</v>
      </c>
      <c r="AB319" s="1">
        <f>SUM(Table15[[#This Row],[Fuel and light]])</f>
        <v>154.80000000000001</v>
      </c>
      <c r="AC319" s="1">
        <f>SUM(Table15[[#This Row],[Transport and communication]])</f>
        <v>141.69999999999999</v>
      </c>
      <c r="AD319" s="1">
        <f>SUM(Table15[[#This Row],[Housing]],Table15[[#This Row],[Household goods and services]])/2</f>
        <v>153.55000000000001</v>
      </c>
      <c r="AE319" s="1">
        <f>SUM(Table15[[#This Row],[Health]])</f>
        <v>156.9</v>
      </c>
      <c r="AF319" s="1">
        <f>SUM(Table15[[#This Row],[Recreation and amusement]],Table15[[#This Row],[Education]])/2</f>
        <v>153.1</v>
      </c>
      <c r="AG319" s="1">
        <f>SUM(Table15[[#This Row],[Miscellaneous]],Table15[[#This Row],[Personal care and effects]])/2</f>
        <v>152.44999999999999</v>
      </c>
    </row>
    <row r="320" spans="1:33" x14ac:dyDescent="0.3">
      <c r="A320" t="s">
        <v>33</v>
      </c>
      <c r="B320">
        <v>2021</v>
      </c>
      <c r="C320" t="s">
        <v>47</v>
      </c>
      <c r="D320">
        <v>145.1</v>
      </c>
      <c r="E320">
        <v>198.5</v>
      </c>
      <c r="F320">
        <v>168.6</v>
      </c>
      <c r="G320">
        <v>155.80000000000001</v>
      </c>
      <c r="H320">
        <v>184.4</v>
      </c>
      <c r="I320">
        <v>162.30000000000001</v>
      </c>
      <c r="J320">
        <v>138.4</v>
      </c>
      <c r="K320">
        <v>165.1</v>
      </c>
      <c r="L320">
        <v>114.3</v>
      </c>
      <c r="M320">
        <v>169.7</v>
      </c>
      <c r="N320">
        <v>164.6</v>
      </c>
      <c r="O320">
        <v>169.8</v>
      </c>
      <c r="P320">
        <v>158.69999999999999</v>
      </c>
      <c r="Q320">
        <v>150.1</v>
      </c>
      <c r="R320">
        <v>161.69999999999999</v>
      </c>
      <c r="S320">
        <v>158.80000000000001</v>
      </c>
      <c r="T320">
        <v>169.1</v>
      </c>
      <c r="U320">
        <v>153.19999999999999</v>
      </c>
      <c r="V320">
        <v>160</v>
      </c>
      <c r="W320">
        <v>167.6</v>
      </c>
      <c r="X320">
        <v>159.30000000000001</v>
      </c>
      <c r="Y320">
        <v>161.1</v>
      </c>
      <c r="Z320">
        <v>161.1</v>
      </c>
      <c r="AA320" s="1">
        <f>SUM(Table15[[#This Row],[Cereals and products]:[Food and beverages]])/13</f>
        <v>161.17692307692306</v>
      </c>
      <c r="AB320" s="1">
        <f>SUM(Table15[[#This Row],[Fuel and light]])</f>
        <v>161.69999999999999</v>
      </c>
      <c r="AC320" s="1">
        <f>SUM(Table15[[#This Row],[Transport and communication]])</f>
        <v>153.19999999999999</v>
      </c>
      <c r="AD320" s="1">
        <f>SUM(Table15[[#This Row],[Housing]],Table15[[#This Row],[Household goods and services]])/2</f>
        <v>154.44999999999999</v>
      </c>
      <c r="AE320" s="1">
        <f>SUM(Table15[[#This Row],[Health]])</f>
        <v>169.1</v>
      </c>
      <c r="AF320" s="1">
        <f>SUM(Table15[[#This Row],[Recreation and amusement]],Table15[[#This Row],[Education]])/2</f>
        <v>163.80000000000001</v>
      </c>
      <c r="AG320" s="1">
        <f>SUM(Table15[[#This Row],[Miscellaneous]],Table15[[#This Row],[Personal care and effects]])/2</f>
        <v>160.19999999999999</v>
      </c>
    </row>
    <row r="321" spans="1:33" x14ac:dyDescent="0.3">
      <c r="A321" t="s">
        <v>35</v>
      </c>
      <c r="B321">
        <v>2021</v>
      </c>
      <c r="C321" t="s">
        <v>47</v>
      </c>
      <c r="D321">
        <v>146.30000000000001</v>
      </c>
      <c r="E321">
        <v>200.5</v>
      </c>
      <c r="F321">
        <v>170.3</v>
      </c>
      <c r="G321">
        <v>156.1</v>
      </c>
      <c r="H321">
        <v>178.7</v>
      </c>
      <c r="I321">
        <v>167.1</v>
      </c>
      <c r="J321">
        <v>147.9</v>
      </c>
      <c r="K321">
        <v>165.4</v>
      </c>
      <c r="L321">
        <v>114.8</v>
      </c>
      <c r="M321">
        <v>168.2</v>
      </c>
      <c r="N321">
        <v>159.30000000000001</v>
      </c>
      <c r="O321">
        <v>170.4</v>
      </c>
      <c r="P321">
        <v>160.69999999999999</v>
      </c>
      <c r="Q321">
        <v>161.6</v>
      </c>
      <c r="R321">
        <v>159.4</v>
      </c>
      <c r="S321">
        <v>154.69999999999999</v>
      </c>
      <c r="T321">
        <v>165.8</v>
      </c>
      <c r="U321">
        <v>148.9</v>
      </c>
      <c r="V321">
        <v>155.80000000000001</v>
      </c>
      <c r="W321">
        <v>161.19999999999999</v>
      </c>
      <c r="X321">
        <v>158.6</v>
      </c>
      <c r="Y321">
        <v>156.80000000000001</v>
      </c>
      <c r="Z321">
        <v>160.4</v>
      </c>
      <c r="AA321" s="1">
        <f>SUM(Table15[[#This Row],[Cereals and products]:[Food and beverages]])/13</f>
        <v>161.9769230769231</v>
      </c>
      <c r="AB321" s="1">
        <f>SUM(Table15[[#This Row],[Fuel and light]])</f>
        <v>159.4</v>
      </c>
      <c r="AC321" s="1">
        <f>SUM(Table15[[#This Row],[Transport and communication]])</f>
        <v>148.9</v>
      </c>
      <c r="AD321" s="1">
        <f>SUM(Table15[[#This Row],[Housing]],Table15[[#This Row],[Household goods and services]])/2</f>
        <v>158.14999999999998</v>
      </c>
      <c r="AE321" s="1">
        <f>SUM(Table15[[#This Row],[Health]])</f>
        <v>165.8</v>
      </c>
      <c r="AF321" s="1">
        <f>SUM(Table15[[#This Row],[Recreation and amusement]],Table15[[#This Row],[Education]])/2</f>
        <v>158.5</v>
      </c>
      <c r="AG321" s="1">
        <f>SUM(Table15[[#This Row],[Miscellaneous]],Table15[[#This Row],[Personal care and effects]])/2</f>
        <v>157.69999999999999</v>
      </c>
    </row>
    <row r="322" spans="1:33" x14ac:dyDescent="0.3">
      <c r="A322" t="s">
        <v>36</v>
      </c>
      <c r="B322">
        <v>2021</v>
      </c>
      <c r="C322" t="s">
        <v>47</v>
      </c>
      <c r="D322">
        <v>148.80000000000001</v>
      </c>
      <c r="E322">
        <v>204.3</v>
      </c>
      <c r="F322">
        <v>173</v>
      </c>
      <c r="G322">
        <v>156.5</v>
      </c>
      <c r="H322">
        <v>168.8</v>
      </c>
      <c r="I322">
        <v>172.5</v>
      </c>
      <c r="J322">
        <v>166.5</v>
      </c>
      <c r="K322">
        <v>165.9</v>
      </c>
      <c r="L322">
        <v>115.9</v>
      </c>
      <c r="M322">
        <v>165.2</v>
      </c>
      <c r="N322">
        <v>152</v>
      </c>
      <c r="O322">
        <v>171.1</v>
      </c>
      <c r="P322">
        <v>164.2</v>
      </c>
      <c r="Q322">
        <v>161.6</v>
      </c>
      <c r="R322">
        <v>155.5</v>
      </c>
      <c r="S322">
        <v>150.1</v>
      </c>
      <c r="T322">
        <v>160.4</v>
      </c>
      <c r="U322">
        <v>145</v>
      </c>
      <c r="V322">
        <v>152.6</v>
      </c>
      <c r="W322">
        <v>156.6</v>
      </c>
      <c r="X322">
        <v>157.5</v>
      </c>
      <c r="Y322">
        <v>152.30000000000001</v>
      </c>
      <c r="Z322">
        <v>159.5</v>
      </c>
      <c r="AA322" s="1">
        <f>SUM(Table15[[#This Row],[Cereals and products]:[Food and beverages]])/13</f>
        <v>163.43846153846155</v>
      </c>
      <c r="AB322" s="1">
        <f>SUM(Table15[[#This Row],[Fuel and light]])</f>
        <v>155.5</v>
      </c>
      <c r="AC322" s="1">
        <f>SUM(Table15[[#This Row],[Transport and communication]])</f>
        <v>145</v>
      </c>
      <c r="AD322" s="1">
        <f>SUM(Table15[[#This Row],[Housing]],Table15[[#This Row],[Household goods and services]])/2</f>
        <v>155.85</v>
      </c>
      <c r="AE322" s="1">
        <f>SUM(Table15[[#This Row],[Health]])</f>
        <v>160.4</v>
      </c>
      <c r="AF322" s="1">
        <f>SUM(Table15[[#This Row],[Recreation and amusement]],Table15[[#This Row],[Education]])/2</f>
        <v>154.6</v>
      </c>
      <c r="AG322" s="1">
        <f>SUM(Table15[[#This Row],[Miscellaneous]],Table15[[#This Row],[Personal care and effects]])/2</f>
        <v>154.9</v>
      </c>
    </row>
    <row r="323" spans="1:33" x14ac:dyDescent="0.3">
      <c r="A323" t="s">
        <v>33</v>
      </c>
      <c r="B323">
        <v>2021</v>
      </c>
      <c r="C323" t="s">
        <v>45</v>
      </c>
      <c r="D323">
        <v>146.9</v>
      </c>
      <c r="E323">
        <v>199.8</v>
      </c>
      <c r="F323">
        <v>171.5</v>
      </c>
      <c r="G323">
        <v>159.1</v>
      </c>
      <c r="H323">
        <v>198.4</v>
      </c>
      <c r="I323">
        <v>153.19999999999999</v>
      </c>
      <c r="J323">
        <v>183.9</v>
      </c>
      <c r="K323">
        <v>165.4</v>
      </c>
      <c r="L323">
        <v>122.1</v>
      </c>
      <c r="M323">
        <v>170.8</v>
      </c>
      <c r="N323">
        <v>169.1</v>
      </c>
      <c r="O323">
        <v>174.3</v>
      </c>
      <c r="P323">
        <v>167.5</v>
      </c>
      <c r="Q323">
        <v>158</v>
      </c>
      <c r="R323">
        <v>165.3</v>
      </c>
      <c r="S323">
        <v>162.9</v>
      </c>
      <c r="T323">
        <v>173.4</v>
      </c>
      <c r="U323">
        <v>158.9</v>
      </c>
      <c r="V323">
        <v>163.80000000000001</v>
      </c>
      <c r="W323">
        <v>169.3</v>
      </c>
      <c r="X323">
        <v>162.4</v>
      </c>
      <c r="Y323">
        <v>165.2</v>
      </c>
      <c r="Z323">
        <v>167.6</v>
      </c>
      <c r="AA323" s="1">
        <f>SUM(Table15[[#This Row],[Cereals and products]:[Food and beverages]])/13</f>
        <v>167.84615384615384</v>
      </c>
      <c r="AB323" s="1">
        <f>SUM(Table15[[#This Row],[Fuel and light]])</f>
        <v>165.3</v>
      </c>
      <c r="AC323" s="1">
        <f>SUM(Table15[[#This Row],[Transport and communication]])</f>
        <v>158.9</v>
      </c>
      <c r="AD323" s="1">
        <f>SUM(Table15[[#This Row],[Housing]],Table15[[#This Row],[Household goods and services]])/2</f>
        <v>160.44999999999999</v>
      </c>
      <c r="AE323" s="1">
        <f>SUM(Table15[[#This Row],[Health]])</f>
        <v>173.4</v>
      </c>
      <c r="AF323" s="1">
        <f>SUM(Table15[[#This Row],[Recreation and amusement]],Table15[[#This Row],[Education]])/2</f>
        <v>166.55</v>
      </c>
      <c r="AG323" s="1">
        <f>SUM(Table15[[#This Row],[Miscellaneous]],Table15[[#This Row],[Personal care and effects]])/2</f>
        <v>163.80000000000001</v>
      </c>
    </row>
    <row r="324" spans="1:33" x14ac:dyDescent="0.3">
      <c r="A324" t="s">
        <v>35</v>
      </c>
      <c r="B324">
        <v>2021</v>
      </c>
      <c r="C324" t="s">
        <v>45</v>
      </c>
      <c r="D324">
        <v>148.19999999999999</v>
      </c>
      <c r="E324">
        <v>201.6</v>
      </c>
      <c r="F324">
        <v>173</v>
      </c>
      <c r="G324">
        <v>159.30000000000001</v>
      </c>
      <c r="H324">
        <v>190.1</v>
      </c>
      <c r="I324">
        <v>156.5</v>
      </c>
      <c r="J324">
        <v>199.2</v>
      </c>
      <c r="K324">
        <v>165.3</v>
      </c>
      <c r="L324">
        <v>122.4</v>
      </c>
      <c r="M324">
        <v>169.6</v>
      </c>
      <c r="N324">
        <v>163.69999999999999</v>
      </c>
      <c r="O324">
        <v>175.5</v>
      </c>
      <c r="P324">
        <v>169.7</v>
      </c>
      <c r="Q324">
        <v>164.2</v>
      </c>
      <c r="R324">
        <v>163.9</v>
      </c>
      <c r="S324">
        <v>159.30000000000001</v>
      </c>
      <c r="T324">
        <v>169.9</v>
      </c>
      <c r="U324">
        <v>154.80000000000001</v>
      </c>
      <c r="V324">
        <v>159.80000000000001</v>
      </c>
      <c r="W324">
        <v>164.3</v>
      </c>
      <c r="X324">
        <v>162.19999999999999</v>
      </c>
      <c r="Y324">
        <v>161.4</v>
      </c>
      <c r="Z324">
        <v>166.7</v>
      </c>
      <c r="AA324" s="1">
        <f>SUM(Table15[[#This Row],[Cereals and products]:[Food and beverages]])/13</f>
        <v>168.77692307692308</v>
      </c>
      <c r="AB324" s="1">
        <f>SUM(Table15[[#This Row],[Fuel and light]])</f>
        <v>163.9</v>
      </c>
      <c r="AC324" s="1">
        <f>SUM(Table15[[#This Row],[Transport and communication]])</f>
        <v>154.80000000000001</v>
      </c>
      <c r="AD324" s="1">
        <f>SUM(Table15[[#This Row],[Housing]],Table15[[#This Row],[Household goods and services]])/2</f>
        <v>161.75</v>
      </c>
      <c r="AE324" s="1">
        <f>SUM(Table15[[#This Row],[Health]])</f>
        <v>169.9</v>
      </c>
      <c r="AF324" s="1">
        <f>SUM(Table15[[#This Row],[Recreation and amusement]],Table15[[#This Row],[Education]])/2</f>
        <v>162.05000000000001</v>
      </c>
      <c r="AG324" s="1">
        <f>SUM(Table15[[#This Row],[Miscellaneous]],Table15[[#This Row],[Personal care and effects]])/2</f>
        <v>161.80000000000001</v>
      </c>
    </row>
    <row r="325" spans="1:33" x14ac:dyDescent="0.3">
      <c r="A325" t="s">
        <v>36</v>
      </c>
      <c r="B325">
        <v>2021</v>
      </c>
      <c r="C325" t="s">
        <v>45</v>
      </c>
      <c r="D325">
        <v>151</v>
      </c>
      <c r="E325">
        <v>204.9</v>
      </c>
      <c r="F325">
        <v>175.4</v>
      </c>
      <c r="G325">
        <v>159.6</v>
      </c>
      <c r="H325">
        <v>175.8</v>
      </c>
      <c r="I325">
        <v>160.30000000000001</v>
      </c>
      <c r="J325">
        <v>229.1</v>
      </c>
      <c r="K325">
        <v>165.1</v>
      </c>
      <c r="L325">
        <v>123.1</v>
      </c>
      <c r="M325">
        <v>167.2</v>
      </c>
      <c r="N325">
        <v>156.1</v>
      </c>
      <c r="O325">
        <v>176.8</v>
      </c>
      <c r="P325">
        <v>173.5</v>
      </c>
      <c r="Q325">
        <v>164.2</v>
      </c>
      <c r="R325">
        <v>161.6</v>
      </c>
      <c r="S325">
        <v>155.19999999999999</v>
      </c>
      <c r="T325">
        <v>164.2</v>
      </c>
      <c r="U325">
        <v>151.19999999999999</v>
      </c>
      <c r="V325">
        <v>156.69999999999999</v>
      </c>
      <c r="W325">
        <v>160.80000000000001</v>
      </c>
      <c r="X325">
        <v>161.80000000000001</v>
      </c>
      <c r="Y325">
        <v>157.30000000000001</v>
      </c>
      <c r="Z325">
        <v>165.6</v>
      </c>
      <c r="AA325" s="1">
        <f>SUM(Table15[[#This Row],[Cereals and products]:[Food and beverages]])/13</f>
        <v>170.60769230769228</v>
      </c>
      <c r="AB325" s="1">
        <f>SUM(Table15[[#This Row],[Fuel and light]])</f>
        <v>161.6</v>
      </c>
      <c r="AC325" s="1">
        <f>SUM(Table15[[#This Row],[Transport and communication]])</f>
        <v>151.19999999999999</v>
      </c>
      <c r="AD325" s="1">
        <f>SUM(Table15[[#This Row],[Housing]],Table15[[#This Row],[Household goods and services]])/2</f>
        <v>159.69999999999999</v>
      </c>
      <c r="AE325" s="1">
        <f>SUM(Table15[[#This Row],[Health]])</f>
        <v>164.2</v>
      </c>
      <c r="AF325" s="1">
        <f>SUM(Table15[[#This Row],[Recreation and amusement]],Table15[[#This Row],[Education]])/2</f>
        <v>158.75</v>
      </c>
      <c r="AG325" s="1">
        <f>SUM(Table15[[#This Row],[Miscellaneous]],Table15[[#This Row],[Personal care and effects]])/2</f>
        <v>159.55000000000001</v>
      </c>
    </row>
    <row r="326" spans="1:33" x14ac:dyDescent="0.3">
      <c r="A326" t="s">
        <v>36</v>
      </c>
      <c r="B326">
        <v>2018</v>
      </c>
      <c r="C326" t="s">
        <v>37</v>
      </c>
      <c r="D326">
        <v>136.5</v>
      </c>
      <c r="E326">
        <v>146.4</v>
      </c>
      <c r="F326">
        <v>136.6</v>
      </c>
      <c r="G326">
        <v>141.19999999999999</v>
      </c>
      <c r="H326">
        <v>117.4</v>
      </c>
      <c r="I326">
        <v>146.30000000000001</v>
      </c>
      <c r="J326">
        <v>157.30000000000001</v>
      </c>
      <c r="K326">
        <v>113.6</v>
      </c>
      <c r="L326">
        <v>113.3</v>
      </c>
      <c r="M326">
        <v>141.1</v>
      </c>
      <c r="N326">
        <v>127.4</v>
      </c>
      <c r="O326">
        <v>150.4</v>
      </c>
      <c r="P326">
        <v>140.1</v>
      </c>
      <c r="Q326">
        <v>144.6</v>
      </c>
      <c r="R326">
        <v>129.80000000000001</v>
      </c>
      <c r="S326">
        <v>134.4</v>
      </c>
      <c r="T326">
        <v>134.9</v>
      </c>
      <c r="U326">
        <v>120.7</v>
      </c>
      <c r="V326">
        <v>129.80000000000001</v>
      </c>
      <c r="W326">
        <v>145.30000000000001</v>
      </c>
      <c r="X326">
        <v>128.30000000000001</v>
      </c>
      <c r="Y326">
        <v>131</v>
      </c>
      <c r="Z326">
        <v>138</v>
      </c>
      <c r="AA326" s="1">
        <f>SUM(Table15[[#This Row],[Cereals and products]:[Food and beverages]])/13</f>
        <v>135.96923076923076</v>
      </c>
      <c r="AB326" s="1">
        <f>SUM(Table15[[#This Row],[Fuel and light]])</f>
        <v>129.80000000000001</v>
      </c>
      <c r="AC326" s="1">
        <f>SUM(Table15[[#This Row],[Transport and communication]])</f>
        <v>120.7</v>
      </c>
      <c r="AD326" s="1">
        <f>SUM(Table15[[#This Row],[Housing]],Table15[[#This Row],[Household goods and services]])/2</f>
        <v>139.5</v>
      </c>
      <c r="AE326" s="1">
        <f>SUM(Table15[[#This Row],[Health]])</f>
        <v>134.9</v>
      </c>
      <c r="AF326" s="1">
        <f>SUM(Table15[[#This Row],[Recreation and amusement]],Table15[[#This Row],[Education]])/2</f>
        <v>137.55000000000001</v>
      </c>
      <c r="AG326" s="1">
        <f>SUM(Table15[[#This Row],[Miscellaneous]],Table15[[#This Row],[Personal care and effects]])/2</f>
        <v>129.65</v>
      </c>
    </row>
    <row r="327" spans="1:33" x14ac:dyDescent="0.3">
      <c r="A327" t="s">
        <v>35</v>
      </c>
      <c r="B327">
        <v>2018</v>
      </c>
      <c r="C327" t="s">
        <v>37</v>
      </c>
      <c r="D327">
        <v>138.30000000000001</v>
      </c>
      <c r="E327">
        <v>148</v>
      </c>
      <c r="F327">
        <v>138.1</v>
      </c>
      <c r="G327">
        <v>142.6</v>
      </c>
      <c r="H327">
        <v>122.2</v>
      </c>
      <c r="I327">
        <v>150.6</v>
      </c>
      <c r="J327">
        <v>156.6</v>
      </c>
      <c r="K327">
        <v>122.4</v>
      </c>
      <c r="L327">
        <v>114.7</v>
      </c>
      <c r="M327">
        <v>139.4</v>
      </c>
      <c r="N327">
        <v>131.1</v>
      </c>
      <c r="O327">
        <v>153</v>
      </c>
      <c r="P327">
        <v>141.69999999999999</v>
      </c>
      <c r="Q327">
        <v>144.6</v>
      </c>
      <c r="R327">
        <v>140.9</v>
      </c>
      <c r="S327">
        <v>139.4</v>
      </c>
      <c r="T327">
        <v>137.69999999999999</v>
      </c>
      <c r="U327">
        <v>124.3</v>
      </c>
      <c r="V327">
        <v>133.6</v>
      </c>
      <c r="W327">
        <v>146</v>
      </c>
      <c r="X327">
        <v>130.1</v>
      </c>
      <c r="Y327">
        <v>133.9</v>
      </c>
      <c r="Z327">
        <v>140.4</v>
      </c>
      <c r="AA327" s="1">
        <f>SUM(Table15[[#This Row],[Cereals and products]:[Food and beverages]])/13</f>
        <v>138.36153846153849</v>
      </c>
      <c r="AB327" s="1">
        <f>SUM(Table15[[#This Row],[Fuel and light]])</f>
        <v>140.9</v>
      </c>
      <c r="AC327" s="1">
        <f>SUM(Table15[[#This Row],[Transport and communication]])</f>
        <v>124.3</v>
      </c>
      <c r="AD327" s="1">
        <f>SUM(Table15[[#This Row],[Housing]],Table15[[#This Row],[Household goods and services]])/2</f>
        <v>142</v>
      </c>
      <c r="AE327" s="1">
        <f>SUM(Table15[[#This Row],[Health]])</f>
        <v>137.69999999999999</v>
      </c>
      <c r="AF327" s="1">
        <f>SUM(Table15[[#This Row],[Recreation and amusement]],Table15[[#This Row],[Education]])/2</f>
        <v>139.80000000000001</v>
      </c>
      <c r="AG327" s="1">
        <f>SUM(Table15[[#This Row],[Miscellaneous]],Table15[[#This Row],[Personal care and effects]])/2</f>
        <v>132</v>
      </c>
    </row>
    <row r="328" spans="1:33" x14ac:dyDescent="0.3">
      <c r="A328" t="s">
        <v>33</v>
      </c>
      <c r="B328">
        <v>2018</v>
      </c>
      <c r="C328" t="s">
        <v>37</v>
      </c>
      <c r="D328">
        <v>139.19999999999999</v>
      </c>
      <c r="E328">
        <v>148.80000000000001</v>
      </c>
      <c r="F328">
        <v>139.1</v>
      </c>
      <c r="G328">
        <v>143.5</v>
      </c>
      <c r="H328">
        <v>125</v>
      </c>
      <c r="I328">
        <v>154.4</v>
      </c>
      <c r="J328">
        <v>156.30000000000001</v>
      </c>
      <c r="K328">
        <v>126.8</v>
      </c>
      <c r="L328">
        <v>115.4</v>
      </c>
      <c r="M328">
        <v>138.6</v>
      </c>
      <c r="N328">
        <v>133.80000000000001</v>
      </c>
      <c r="O328">
        <v>155.19999999999999</v>
      </c>
      <c r="P328">
        <v>142.69999999999999</v>
      </c>
      <c r="Q328">
        <f>AVERAGE(Q326:Q327)</f>
        <v>144.6</v>
      </c>
      <c r="R328">
        <v>147.69999999999999</v>
      </c>
      <c r="S328">
        <v>143.80000000000001</v>
      </c>
      <c r="T328">
        <v>139.4</v>
      </c>
      <c r="U328">
        <v>128.30000000000001</v>
      </c>
      <c r="V328">
        <v>138.6</v>
      </c>
      <c r="W328">
        <v>146.9</v>
      </c>
      <c r="X328">
        <v>131.30000000000001</v>
      </c>
      <c r="Y328">
        <v>136.6</v>
      </c>
      <c r="Z328">
        <v>142.5</v>
      </c>
      <c r="AA328" s="1">
        <f>SUM(Table15[[#This Row],[Cereals and products]:[Food and beverages]])/13</f>
        <v>139.90769230769232</v>
      </c>
      <c r="AB328" s="1">
        <f>SUM(Table15[[#This Row],[Fuel and light]])</f>
        <v>147.69999999999999</v>
      </c>
      <c r="AC328" s="1">
        <f>SUM(Table15[[#This Row],[Transport and communication]])</f>
        <v>128.30000000000001</v>
      </c>
      <c r="AD328" s="1">
        <f>SUM(Table15[[#This Row],[Housing]],Table15[[#This Row],[Household goods and services]])/2</f>
        <v>144.19999999999999</v>
      </c>
      <c r="AE328" s="1">
        <f>SUM(Table15[[#This Row],[Health]])</f>
        <v>139.4</v>
      </c>
      <c r="AF328" s="1">
        <f>SUM(Table15[[#This Row],[Recreation and amusement]],Table15[[#This Row],[Education]])/2</f>
        <v>142.75</v>
      </c>
      <c r="AG328" s="1">
        <f>SUM(Table15[[#This Row],[Miscellaneous]],Table15[[#This Row],[Personal care and effects]])/2</f>
        <v>133.94999999999999</v>
      </c>
    </row>
    <row r="329" spans="1:33" x14ac:dyDescent="0.3">
      <c r="A329" t="s">
        <v>36</v>
      </c>
      <c r="B329">
        <v>2017</v>
      </c>
      <c r="C329" t="s">
        <v>37</v>
      </c>
      <c r="D329">
        <v>133.19999999999999</v>
      </c>
      <c r="E329">
        <v>143.9</v>
      </c>
      <c r="F329">
        <v>128.30000000000001</v>
      </c>
      <c r="G329">
        <v>138.30000000000001</v>
      </c>
      <c r="H329">
        <v>114.1</v>
      </c>
      <c r="I329">
        <v>142.69999999999999</v>
      </c>
      <c r="J329">
        <v>179.8</v>
      </c>
      <c r="K329">
        <v>123.5</v>
      </c>
      <c r="L329">
        <v>122.1</v>
      </c>
      <c r="M329">
        <v>137.5</v>
      </c>
      <c r="N329">
        <v>124.6</v>
      </c>
      <c r="O329">
        <v>144.5</v>
      </c>
      <c r="P329">
        <v>140.5</v>
      </c>
      <c r="Q329">
        <v>134.4</v>
      </c>
      <c r="R329">
        <v>118.9</v>
      </c>
      <c r="S329">
        <v>127.7</v>
      </c>
      <c r="T329">
        <v>125.7</v>
      </c>
      <c r="U329">
        <v>114.6</v>
      </c>
      <c r="V329">
        <v>124.1</v>
      </c>
      <c r="W329">
        <v>135.69999999999999</v>
      </c>
      <c r="X329">
        <v>123.3</v>
      </c>
      <c r="Y329">
        <v>123.8</v>
      </c>
      <c r="Z329">
        <v>132.69999999999999</v>
      </c>
      <c r="AA329" s="1">
        <f>SUM(Table15[[#This Row],[Cereals and products]:[Food and beverages]])/13</f>
        <v>136.38461538461536</v>
      </c>
      <c r="AB329" s="1">
        <f>SUM(Table15[[#This Row],[Fuel and light]])</f>
        <v>118.9</v>
      </c>
      <c r="AC329" s="1">
        <f>SUM(Table15[[#This Row],[Transport and communication]])</f>
        <v>114.6</v>
      </c>
      <c r="AD329" s="1">
        <f>SUM(Table15[[#This Row],[Housing]],Table15[[#This Row],[Household goods and services]])/2</f>
        <v>131.05000000000001</v>
      </c>
      <c r="AE329" s="1">
        <f>SUM(Table15[[#This Row],[Health]])</f>
        <v>125.7</v>
      </c>
      <c r="AF329" s="1">
        <f>SUM(Table15[[#This Row],[Recreation and amusement]],Table15[[#This Row],[Education]])/2</f>
        <v>129.89999999999998</v>
      </c>
      <c r="AG329" s="1">
        <f>SUM(Table15[[#This Row],[Miscellaneous]],Table15[[#This Row],[Personal care and effects]])/2</f>
        <v>123.55</v>
      </c>
    </row>
    <row r="330" spans="1:33" x14ac:dyDescent="0.3">
      <c r="A330" t="s">
        <v>35</v>
      </c>
      <c r="B330">
        <v>2017</v>
      </c>
      <c r="C330" t="s">
        <v>37</v>
      </c>
      <c r="D330">
        <v>134.30000000000001</v>
      </c>
      <c r="E330">
        <v>143.4</v>
      </c>
      <c r="F330">
        <v>129.30000000000001</v>
      </c>
      <c r="G330">
        <v>139</v>
      </c>
      <c r="H330">
        <v>118.1</v>
      </c>
      <c r="I330">
        <v>145.5</v>
      </c>
      <c r="J330">
        <v>168.6</v>
      </c>
      <c r="K330">
        <v>132.69999999999999</v>
      </c>
      <c r="L330">
        <v>121.2</v>
      </c>
      <c r="M330">
        <v>135.6</v>
      </c>
      <c r="N330">
        <v>128.69999999999999</v>
      </c>
      <c r="O330">
        <v>146.80000000000001</v>
      </c>
      <c r="P330">
        <v>140.6</v>
      </c>
      <c r="Q330">
        <v>134.4</v>
      </c>
      <c r="R330">
        <v>129.80000000000001</v>
      </c>
      <c r="S330">
        <v>132.80000000000001</v>
      </c>
      <c r="T330">
        <v>130.19999999999999</v>
      </c>
      <c r="U330">
        <v>117.3</v>
      </c>
      <c r="V330">
        <v>127.3</v>
      </c>
      <c r="W330">
        <v>137.6</v>
      </c>
      <c r="X330">
        <v>124.5</v>
      </c>
      <c r="Y330">
        <v>126.8</v>
      </c>
      <c r="Z330">
        <v>135.4</v>
      </c>
      <c r="AA330" s="1">
        <f>SUM(Table15[[#This Row],[Cereals and products]:[Food and beverages]])/13</f>
        <v>137.21538461538461</v>
      </c>
      <c r="AB330" s="1">
        <f>SUM(Table15[[#This Row],[Fuel and light]])</f>
        <v>129.80000000000001</v>
      </c>
      <c r="AC330" s="1">
        <f>SUM(Table15[[#This Row],[Transport and communication]])</f>
        <v>117.3</v>
      </c>
      <c r="AD330" s="1">
        <f>SUM(Table15[[#This Row],[Housing]],Table15[[#This Row],[Household goods and services]])/2</f>
        <v>133.60000000000002</v>
      </c>
      <c r="AE330" s="1">
        <f>SUM(Table15[[#This Row],[Health]])</f>
        <v>130.19999999999999</v>
      </c>
      <c r="AF330" s="1">
        <f>SUM(Table15[[#This Row],[Recreation and amusement]],Table15[[#This Row],[Education]])/2</f>
        <v>132.44999999999999</v>
      </c>
      <c r="AG330" s="1">
        <f>SUM(Table15[[#This Row],[Miscellaneous]],Table15[[#This Row],[Personal care and effects]])/2</f>
        <v>125.65</v>
      </c>
    </row>
    <row r="331" spans="1:33" x14ac:dyDescent="0.3">
      <c r="A331" t="s">
        <v>33</v>
      </c>
      <c r="B331">
        <v>2017</v>
      </c>
      <c r="C331" t="s">
        <v>37</v>
      </c>
      <c r="D331">
        <v>134.80000000000001</v>
      </c>
      <c r="E331">
        <v>143.1</v>
      </c>
      <c r="F331">
        <v>130</v>
      </c>
      <c r="G331">
        <v>139.4</v>
      </c>
      <c r="H331">
        <v>120.5</v>
      </c>
      <c r="I331">
        <v>148</v>
      </c>
      <c r="J331">
        <v>162.9</v>
      </c>
      <c r="K331">
        <v>137.4</v>
      </c>
      <c r="L331">
        <v>120.8</v>
      </c>
      <c r="M331">
        <v>134.69999999999999</v>
      </c>
      <c r="N331">
        <v>131.6</v>
      </c>
      <c r="O331">
        <v>148.69999999999999</v>
      </c>
      <c r="P331">
        <v>140.6</v>
      </c>
      <c r="Q331">
        <f>AVERAGE(Q329:Q330)</f>
        <v>134.4</v>
      </c>
      <c r="R331">
        <v>136.4</v>
      </c>
      <c r="S331">
        <v>137.30000000000001</v>
      </c>
      <c r="T331">
        <v>133</v>
      </c>
      <c r="U331">
        <v>120.3</v>
      </c>
      <c r="V331">
        <v>131.5</v>
      </c>
      <c r="W331">
        <v>140.19999999999999</v>
      </c>
      <c r="X331">
        <v>125.4</v>
      </c>
      <c r="Y331">
        <v>129.69999999999999</v>
      </c>
      <c r="Z331">
        <v>137.80000000000001</v>
      </c>
      <c r="AA331" s="1">
        <f>SUM(Table15[[#This Row],[Cereals and products]:[Food and beverages]])/13</f>
        <v>137.88461538461536</v>
      </c>
      <c r="AB331" s="1">
        <f>SUM(Table15[[#This Row],[Fuel and light]])</f>
        <v>136.4</v>
      </c>
      <c r="AC331" s="1">
        <f>SUM(Table15[[#This Row],[Transport and communication]])</f>
        <v>120.3</v>
      </c>
      <c r="AD331" s="1">
        <f>SUM(Table15[[#This Row],[Housing]],Table15[[#This Row],[Household goods and services]])/2</f>
        <v>135.85000000000002</v>
      </c>
      <c r="AE331" s="1">
        <f>SUM(Table15[[#This Row],[Health]])</f>
        <v>133</v>
      </c>
      <c r="AF331" s="1">
        <f>SUM(Table15[[#This Row],[Recreation and amusement]],Table15[[#This Row],[Education]])/2</f>
        <v>135.85</v>
      </c>
      <c r="AG331" s="1">
        <f>SUM(Table15[[#This Row],[Miscellaneous]],Table15[[#This Row],[Personal care and effects]])/2</f>
        <v>127.55</v>
      </c>
    </row>
    <row r="332" spans="1:33" x14ac:dyDescent="0.3">
      <c r="A332" t="s">
        <v>36</v>
      </c>
      <c r="B332">
        <v>2016</v>
      </c>
      <c r="C332" t="s">
        <v>37</v>
      </c>
      <c r="D332">
        <v>127.6</v>
      </c>
      <c r="E332">
        <v>140.30000000000001</v>
      </c>
      <c r="F332">
        <v>133.69999999999999</v>
      </c>
      <c r="G332">
        <v>132.19999999999999</v>
      </c>
      <c r="H332">
        <v>111.8</v>
      </c>
      <c r="I332">
        <v>135.80000000000001</v>
      </c>
      <c r="J332">
        <v>163.5</v>
      </c>
      <c r="K332">
        <v>182.3</v>
      </c>
      <c r="L332">
        <v>114.6</v>
      </c>
      <c r="M332">
        <v>144.6</v>
      </c>
      <c r="N332">
        <v>121.9</v>
      </c>
      <c r="O332">
        <v>138.1</v>
      </c>
      <c r="P332">
        <v>137.6</v>
      </c>
      <c r="Q332">
        <v>127.3</v>
      </c>
      <c r="R332">
        <v>114.7</v>
      </c>
      <c r="S332">
        <v>123.9</v>
      </c>
      <c r="T332">
        <v>121.2</v>
      </c>
      <c r="U332">
        <v>110.4</v>
      </c>
      <c r="V332">
        <v>120.6</v>
      </c>
      <c r="W332">
        <v>131.5</v>
      </c>
      <c r="X332">
        <v>120.9</v>
      </c>
      <c r="Y332">
        <v>119.9</v>
      </c>
      <c r="Z332">
        <v>128.4</v>
      </c>
      <c r="AA332" s="1">
        <f>SUM(Table15[[#This Row],[Cereals and products]:[Food and beverages]])/13</f>
        <v>137.2307692307692</v>
      </c>
      <c r="AB332" s="1">
        <f>SUM(Table15[[#This Row],[Fuel and light]])</f>
        <v>114.7</v>
      </c>
      <c r="AC332" s="1">
        <f>SUM(Table15[[#This Row],[Transport and communication]])</f>
        <v>110.4</v>
      </c>
      <c r="AD332" s="1">
        <f>SUM(Table15[[#This Row],[Housing]],Table15[[#This Row],[Household goods and services]])/2</f>
        <v>125.6</v>
      </c>
      <c r="AE332" s="1">
        <f>SUM(Table15[[#This Row],[Health]])</f>
        <v>121.2</v>
      </c>
      <c r="AF332" s="1">
        <f>SUM(Table15[[#This Row],[Recreation and amusement]],Table15[[#This Row],[Education]])/2</f>
        <v>126.05</v>
      </c>
      <c r="AG332" s="1">
        <f>SUM(Table15[[#This Row],[Miscellaneous]],Table15[[#This Row],[Personal care and effects]])/2</f>
        <v>120.4</v>
      </c>
    </row>
    <row r="333" spans="1:33" x14ac:dyDescent="0.3">
      <c r="A333" t="s">
        <v>35</v>
      </c>
      <c r="B333">
        <v>2016</v>
      </c>
      <c r="C333" t="s">
        <v>37</v>
      </c>
      <c r="D333">
        <v>129.30000000000001</v>
      </c>
      <c r="E333">
        <v>139.30000000000001</v>
      </c>
      <c r="F333">
        <v>131.6</v>
      </c>
      <c r="G333">
        <v>134.1</v>
      </c>
      <c r="H333">
        <v>116.9</v>
      </c>
      <c r="I333">
        <v>138.1</v>
      </c>
      <c r="J333">
        <v>159.1</v>
      </c>
      <c r="K333">
        <v>175.6</v>
      </c>
      <c r="L333">
        <v>112.9</v>
      </c>
      <c r="M333">
        <v>138.1</v>
      </c>
      <c r="N333">
        <v>125.5</v>
      </c>
      <c r="O333">
        <v>139.5</v>
      </c>
      <c r="P333">
        <v>137.9</v>
      </c>
      <c r="Q333">
        <v>127.3</v>
      </c>
      <c r="R333">
        <v>123.6</v>
      </c>
      <c r="S333">
        <v>127.4</v>
      </c>
      <c r="T333">
        <v>124.8</v>
      </c>
      <c r="U333">
        <v>113.1</v>
      </c>
      <c r="V333">
        <v>122.7</v>
      </c>
      <c r="W333">
        <v>131.69999999999999</v>
      </c>
      <c r="X333">
        <v>121.5</v>
      </c>
      <c r="Y333">
        <v>122.1</v>
      </c>
      <c r="Z333">
        <v>131.1</v>
      </c>
      <c r="AA333" s="1">
        <f>SUM(Table15[[#This Row],[Cereals and products]:[Food and beverages]])/13</f>
        <v>136.76153846153846</v>
      </c>
      <c r="AB333" s="1">
        <f>SUM(Table15[[#This Row],[Fuel and light]])</f>
        <v>123.6</v>
      </c>
      <c r="AC333" s="1">
        <f>SUM(Table15[[#This Row],[Transport and communication]])</f>
        <v>113.1</v>
      </c>
      <c r="AD333" s="1">
        <f>SUM(Table15[[#This Row],[Housing]],Table15[[#This Row],[Household goods and services]])/2</f>
        <v>127.35</v>
      </c>
      <c r="AE333" s="1">
        <f>SUM(Table15[[#This Row],[Health]])</f>
        <v>124.8</v>
      </c>
      <c r="AF333" s="1">
        <f>SUM(Table15[[#This Row],[Recreation and amusement]],Table15[[#This Row],[Education]])/2</f>
        <v>127.19999999999999</v>
      </c>
      <c r="AG333" s="1">
        <f>SUM(Table15[[#This Row],[Miscellaneous]],Table15[[#This Row],[Personal care and effects]])/2</f>
        <v>121.8</v>
      </c>
    </row>
    <row r="334" spans="1:33" x14ac:dyDescent="0.3">
      <c r="A334" t="s">
        <v>33</v>
      </c>
      <c r="B334">
        <v>2016</v>
      </c>
      <c r="C334" t="s">
        <v>37</v>
      </c>
      <c r="D334">
        <v>130.1</v>
      </c>
      <c r="E334">
        <v>138.80000000000001</v>
      </c>
      <c r="F334">
        <v>130.30000000000001</v>
      </c>
      <c r="G334">
        <v>135.30000000000001</v>
      </c>
      <c r="H334">
        <v>119.9</v>
      </c>
      <c r="I334">
        <v>140.19999999999999</v>
      </c>
      <c r="J334">
        <v>156.9</v>
      </c>
      <c r="K334">
        <v>172.2</v>
      </c>
      <c r="L334">
        <v>112.1</v>
      </c>
      <c r="M334">
        <v>134.9</v>
      </c>
      <c r="N334">
        <v>128.1</v>
      </c>
      <c r="O334">
        <v>140.69999999999999</v>
      </c>
      <c r="P334">
        <v>138</v>
      </c>
      <c r="Q334">
        <f>AVERAGE(Q332:Q333)</f>
        <v>127.3</v>
      </c>
      <c r="R334">
        <v>129.1</v>
      </c>
      <c r="S334">
        <v>130.6</v>
      </c>
      <c r="T334">
        <v>127</v>
      </c>
      <c r="U334">
        <v>116</v>
      </c>
      <c r="V334">
        <v>125.5</v>
      </c>
      <c r="W334">
        <v>131.9</v>
      </c>
      <c r="X334">
        <v>122</v>
      </c>
      <c r="Y334">
        <v>124.2</v>
      </c>
      <c r="Z334">
        <v>133.5</v>
      </c>
      <c r="AA334" s="1">
        <f>SUM(Table15[[#This Row],[Cereals and products]:[Food and beverages]])/13</f>
        <v>136.73076923076923</v>
      </c>
      <c r="AB334" s="1">
        <f>SUM(Table15[[#This Row],[Fuel and light]])</f>
        <v>129.1</v>
      </c>
      <c r="AC334" s="1">
        <f>SUM(Table15[[#This Row],[Transport and communication]])</f>
        <v>116</v>
      </c>
      <c r="AD334" s="1">
        <f>SUM(Table15[[#This Row],[Housing]],Table15[[#This Row],[Household goods and services]])/2</f>
        <v>128.94999999999999</v>
      </c>
      <c r="AE334" s="1">
        <f>SUM(Table15[[#This Row],[Health]])</f>
        <v>127</v>
      </c>
      <c r="AF334" s="1">
        <f>SUM(Table15[[#This Row],[Recreation and amusement]],Table15[[#This Row],[Education]])/2</f>
        <v>128.69999999999999</v>
      </c>
      <c r="AG334" s="1">
        <f>SUM(Table15[[#This Row],[Miscellaneous]],Table15[[#This Row],[Personal care and effects]])/2</f>
        <v>123.1</v>
      </c>
    </row>
    <row r="335" spans="1:33" x14ac:dyDescent="0.3">
      <c r="A335" t="s">
        <v>36</v>
      </c>
      <c r="B335">
        <v>2015</v>
      </c>
      <c r="C335" t="s">
        <v>37</v>
      </c>
      <c r="D335">
        <v>123.1</v>
      </c>
      <c r="E335">
        <v>131.69999999999999</v>
      </c>
      <c r="F335">
        <v>118.1</v>
      </c>
      <c r="G335">
        <v>128</v>
      </c>
      <c r="H335">
        <v>106.8</v>
      </c>
      <c r="I335">
        <v>130.1</v>
      </c>
      <c r="J335">
        <v>165.5</v>
      </c>
      <c r="K335">
        <v>156</v>
      </c>
      <c r="L335">
        <v>85.3</v>
      </c>
      <c r="M335">
        <v>132.69999999999999</v>
      </c>
      <c r="N335">
        <v>118.8</v>
      </c>
      <c r="O335">
        <v>131.69999999999999</v>
      </c>
      <c r="P335">
        <v>131.1</v>
      </c>
      <c r="Q335">
        <v>120.9</v>
      </c>
      <c r="R335">
        <v>115.3</v>
      </c>
      <c r="S335">
        <v>120</v>
      </c>
      <c r="T335">
        <v>116.6</v>
      </c>
      <c r="U335">
        <v>109.9</v>
      </c>
      <c r="V335">
        <v>117.2</v>
      </c>
      <c r="W335">
        <v>126.2</v>
      </c>
      <c r="X335">
        <v>112</v>
      </c>
      <c r="Y335">
        <v>116.2</v>
      </c>
      <c r="Z335">
        <v>123.2</v>
      </c>
      <c r="AA335" s="1">
        <f>SUM(Table15[[#This Row],[Cereals and products]:[Food and beverages]])/13</f>
        <v>127.6076923076923</v>
      </c>
      <c r="AB335" s="1">
        <f>SUM(Table15[[#This Row],[Fuel and light]])</f>
        <v>115.3</v>
      </c>
      <c r="AC335" s="1">
        <f>SUM(Table15[[#This Row],[Transport and communication]])</f>
        <v>109.9</v>
      </c>
      <c r="AD335" s="1">
        <f>SUM(Table15[[#This Row],[Housing]],Table15[[#This Row],[Household goods and services]])/2</f>
        <v>120.45</v>
      </c>
      <c r="AE335" s="1">
        <f>SUM(Table15[[#This Row],[Health]])</f>
        <v>116.6</v>
      </c>
      <c r="AF335" s="1">
        <f>SUM(Table15[[#This Row],[Recreation and amusement]],Table15[[#This Row],[Education]])/2</f>
        <v>121.7</v>
      </c>
      <c r="AG335" s="1">
        <f>SUM(Table15[[#This Row],[Miscellaneous]],Table15[[#This Row],[Personal care and effects]])/2</f>
        <v>114.1</v>
      </c>
    </row>
    <row r="336" spans="1:33" x14ac:dyDescent="0.3">
      <c r="A336" t="s">
        <v>35</v>
      </c>
      <c r="B336">
        <v>2015</v>
      </c>
      <c r="C336" t="s">
        <v>37</v>
      </c>
      <c r="D336">
        <v>124.2</v>
      </c>
      <c r="E336">
        <v>131.4</v>
      </c>
      <c r="F336">
        <v>120.1</v>
      </c>
      <c r="G336">
        <v>128.5</v>
      </c>
      <c r="H336">
        <v>111.4</v>
      </c>
      <c r="I336">
        <v>132.30000000000001</v>
      </c>
      <c r="J336">
        <v>157.6</v>
      </c>
      <c r="K336">
        <v>144</v>
      </c>
      <c r="L336">
        <v>90.5</v>
      </c>
      <c r="M336">
        <v>126.8</v>
      </c>
      <c r="N336">
        <v>120.4</v>
      </c>
      <c r="O336">
        <v>132.1</v>
      </c>
      <c r="P336">
        <v>130.30000000000001</v>
      </c>
      <c r="Q336">
        <v>120.9</v>
      </c>
      <c r="R336">
        <v>120.6</v>
      </c>
      <c r="S336">
        <v>122</v>
      </c>
      <c r="T336">
        <v>119.4</v>
      </c>
      <c r="U336">
        <v>111.7</v>
      </c>
      <c r="V336">
        <v>117.8</v>
      </c>
      <c r="W336">
        <v>125.1</v>
      </c>
      <c r="X336">
        <v>112.3</v>
      </c>
      <c r="Y336">
        <v>117.2</v>
      </c>
      <c r="Z336">
        <v>124.8</v>
      </c>
      <c r="AA336" s="1">
        <f>SUM(Table15[[#This Row],[Cereals and products]:[Food and beverages]])/13</f>
        <v>126.89230769230768</v>
      </c>
      <c r="AB336" s="1">
        <f>SUM(Table15[[#This Row],[Fuel and light]])</f>
        <v>120.6</v>
      </c>
      <c r="AC336" s="1">
        <f>SUM(Table15[[#This Row],[Transport and communication]])</f>
        <v>111.7</v>
      </c>
      <c r="AD336" s="1">
        <f>SUM(Table15[[#This Row],[Housing]],Table15[[#This Row],[Household goods and services]])/2</f>
        <v>121.45</v>
      </c>
      <c r="AE336" s="1">
        <f>SUM(Table15[[#This Row],[Health]])</f>
        <v>119.4</v>
      </c>
      <c r="AF336" s="1">
        <f>SUM(Table15[[#This Row],[Recreation and amusement]],Table15[[#This Row],[Education]])/2</f>
        <v>121.44999999999999</v>
      </c>
      <c r="AG336" s="1">
        <f>SUM(Table15[[#This Row],[Miscellaneous]],Table15[[#This Row],[Personal care and effects]])/2</f>
        <v>114.75</v>
      </c>
    </row>
    <row r="337" spans="1:33" x14ac:dyDescent="0.3">
      <c r="A337" t="s">
        <v>33</v>
      </c>
      <c r="B337">
        <v>2015</v>
      </c>
      <c r="C337" t="s">
        <v>37</v>
      </c>
      <c r="D337">
        <v>124.7</v>
      </c>
      <c r="E337">
        <v>131.30000000000001</v>
      </c>
      <c r="F337">
        <v>121.3</v>
      </c>
      <c r="G337">
        <v>128.80000000000001</v>
      </c>
      <c r="H337">
        <v>114</v>
      </c>
      <c r="I337">
        <v>134.19999999999999</v>
      </c>
      <c r="J337">
        <v>153.6</v>
      </c>
      <c r="K337">
        <v>137.9</v>
      </c>
      <c r="L337">
        <v>93.1</v>
      </c>
      <c r="M337">
        <v>123.9</v>
      </c>
      <c r="N337">
        <v>121.5</v>
      </c>
      <c r="O337">
        <v>132.5</v>
      </c>
      <c r="P337">
        <v>129.80000000000001</v>
      </c>
      <c r="Q337">
        <f>AVERAGE(Q335:Q336)</f>
        <v>120.9</v>
      </c>
      <c r="R337">
        <v>123.8</v>
      </c>
      <c r="S337">
        <v>123.7</v>
      </c>
      <c r="T337">
        <v>121.1</v>
      </c>
      <c r="U337">
        <v>113.6</v>
      </c>
      <c r="V337">
        <v>118.5</v>
      </c>
      <c r="W337">
        <v>123.6</v>
      </c>
      <c r="X337">
        <v>112.5</v>
      </c>
      <c r="Y337">
        <v>118.2</v>
      </c>
      <c r="Z337">
        <v>126.1</v>
      </c>
      <c r="AA337" s="1">
        <f>SUM(Table15[[#This Row],[Cereals and products]:[Food and beverages]])/13</f>
        <v>126.66153846153846</v>
      </c>
      <c r="AB337" s="1">
        <f>SUM(Table15[[#This Row],[Fuel and light]])</f>
        <v>123.8</v>
      </c>
      <c r="AC337" s="1">
        <f>SUM(Table15[[#This Row],[Transport and communication]])</f>
        <v>113.6</v>
      </c>
      <c r="AD337" s="1">
        <f>SUM(Table15[[#This Row],[Housing]],Table15[[#This Row],[Household goods and services]])/2</f>
        <v>122.30000000000001</v>
      </c>
      <c r="AE337" s="1">
        <f>SUM(Table15[[#This Row],[Health]])</f>
        <v>121.1</v>
      </c>
      <c r="AF337" s="1">
        <f>SUM(Table15[[#This Row],[Recreation and amusement]],Table15[[#This Row],[Education]])/2</f>
        <v>121.05</v>
      </c>
      <c r="AG337" s="1">
        <f>SUM(Table15[[#This Row],[Miscellaneous]],Table15[[#This Row],[Personal care and effects]])/2</f>
        <v>115.35</v>
      </c>
    </row>
    <row r="338" spans="1:33" x14ac:dyDescent="0.3">
      <c r="A338" t="s">
        <v>33</v>
      </c>
      <c r="B338">
        <v>2014</v>
      </c>
      <c r="C338" t="s">
        <v>37</v>
      </c>
      <c r="D338">
        <v>121.8</v>
      </c>
      <c r="E338">
        <v>122.8</v>
      </c>
      <c r="F338">
        <v>117.8</v>
      </c>
      <c r="G338">
        <v>121.9</v>
      </c>
      <c r="H338">
        <v>110.6</v>
      </c>
      <c r="I338">
        <v>129.69999999999999</v>
      </c>
      <c r="J338">
        <v>161.1</v>
      </c>
      <c r="K338">
        <v>114.1</v>
      </c>
      <c r="L338">
        <v>105.1</v>
      </c>
      <c r="M338">
        <v>114.6</v>
      </c>
      <c r="N338">
        <v>115.8</v>
      </c>
      <c r="O338">
        <v>121.7</v>
      </c>
      <c r="P338">
        <v>125.3</v>
      </c>
      <c r="Q338">
        <f>AVERAGE(Q339:Q340)</f>
        <v>115.5</v>
      </c>
      <c r="R338">
        <v>115.4</v>
      </c>
      <c r="S338">
        <v>115.9</v>
      </c>
      <c r="T338">
        <v>114</v>
      </c>
      <c r="U338">
        <v>113.2</v>
      </c>
      <c r="V338">
        <v>112.2</v>
      </c>
      <c r="W338">
        <v>116.2</v>
      </c>
      <c r="X338">
        <v>109.4</v>
      </c>
      <c r="Y338">
        <v>113.5</v>
      </c>
      <c r="Z338">
        <v>120.7</v>
      </c>
      <c r="AA338" s="1">
        <f>SUM(Table15[[#This Row],[Cereals and products]:[Food and beverages]])/13</f>
        <v>121.71538461538459</v>
      </c>
      <c r="AB338" s="1">
        <f>SUM(Table15[[#This Row],[Fuel and light]])</f>
        <v>115.4</v>
      </c>
      <c r="AC338" s="1">
        <f>SUM(Table15[[#This Row],[Transport and communication]])</f>
        <v>113.2</v>
      </c>
      <c r="AD338" s="1">
        <f>SUM(Table15[[#This Row],[Housing]],Table15[[#This Row],[Household goods and services]])/2</f>
        <v>115.7</v>
      </c>
      <c r="AE338" s="1">
        <f>SUM(Table15[[#This Row],[Health]])</f>
        <v>114</v>
      </c>
      <c r="AF338" s="1">
        <f>SUM(Table15[[#This Row],[Recreation and amusement]],Table15[[#This Row],[Education]])/2</f>
        <v>114.2</v>
      </c>
      <c r="AG338" s="1">
        <f>SUM(Table15[[#This Row],[Miscellaneous]],Table15[[#This Row],[Personal care and effects]])/2</f>
        <v>111.45</v>
      </c>
    </row>
    <row r="339" spans="1:33" x14ac:dyDescent="0.3">
      <c r="A339" t="s">
        <v>35</v>
      </c>
      <c r="B339">
        <v>2014</v>
      </c>
      <c r="C339" t="s">
        <v>37</v>
      </c>
      <c r="D339">
        <v>122.7</v>
      </c>
      <c r="E339">
        <v>124.4</v>
      </c>
      <c r="F339">
        <v>117.3</v>
      </c>
      <c r="G339">
        <v>122</v>
      </c>
      <c r="H339">
        <v>108</v>
      </c>
      <c r="I339">
        <v>131.1</v>
      </c>
      <c r="J339">
        <v>168.2</v>
      </c>
      <c r="K339">
        <v>114.5</v>
      </c>
      <c r="L339">
        <v>104.3</v>
      </c>
      <c r="M339">
        <v>117.1</v>
      </c>
      <c r="N339">
        <v>115.2</v>
      </c>
      <c r="O339">
        <v>123.1</v>
      </c>
      <c r="P339">
        <v>126.6</v>
      </c>
      <c r="Q339">
        <v>115.5</v>
      </c>
      <c r="R339">
        <v>114</v>
      </c>
      <c r="S339">
        <v>115.6</v>
      </c>
      <c r="T339">
        <v>113.3</v>
      </c>
      <c r="U339">
        <v>112.8</v>
      </c>
      <c r="V339">
        <v>112.6</v>
      </c>
      <c r="W339">
        <v>118</v>
      </c>
      <c r="X339">
        <v>109.9</v>
      </c>
      <c r="Y339">
        <v>113.7</v>
      </c>
      <c r="Z339">
        <v>120.3</v>
      </c>
      <c r="AA339" s="1">
        <f>SUM(Table15[[#This Row],[Cereals and products]:[Food and beverages]])/13</f>
        <v>122.65384615384613</v>
      </c>
      <c r="AB339" s="1">
        <f>SUM(Table15[[#This Row],[Fuel and light]])</f>
        <v>114</v>
      </c>
      <c r="AC339" s="1">
        <f>SUM(Table15[[#This Row],[Transport and communication]])</f>
        <v>112.8</v>
      </c>
      <c r="AD339" s="1">
        <f>SUM(Table15[[#This Row],[Housing]],Table15[[#This Row],[Household goods and services]])/2</f>
        <v>115.55</v>
      </c>
      <c r="AE339" s="1">
        <f>SUM(Table15[[#This Row],[Health]])</f>
        <v>113.3</v>
      </c>
      <c r="AF339" s="1">
        <f>SUM(Table15[[#This Row],[Recreation and amusement]],Table15[[#This Row],[Education]])/2</f>
        <v>115.3</v>
      </c>
      <c r="AG339" s="1">
        <f>SUM(Table15[[#This Row],[Miscellaneous]],Table15[[#This Row],[Personal care and effects]])/2</f>
        <v>111.80000000000001</v>
      </c>
    </row>
    <row r="340" spans="1:33" x14ac:dyDescent="0.3">
      <c r="A340" t="s">
        <v>36</v>
      </c>
      <c r="B340">
        <v>2014</v>
      </c>
      <c r="C340" t="s">
        <v>37</v>
      </c>
      <c r="D340">
        <v>124.8</v>
      </c>
      <c r="E340">
        <v>127.3</v>
      </c>
      <c r="F340">
        <v>116.5</v>
      </c>
      <c r="G340">
        <v>122.2</v>
      </c>
      <c r="H340">
        <v>103.6</v>
      </c>
      <c r="I340">
        <v>132.69999999999999</v>
      </c>
      <c r="J340">
        <v>181.9</v>
      </c>
      <c r="K340">
        <v>115.2</v>
      </c>
      <c r="L340">
        <v>102.7</v>
      </c>
      <c r="M340">
        <v>122.1</v>
      </c>
      <c r="N340">
        <v>114.4</v>
      </c>
      <c r="O340">
        <v>124.7</v>
      </c>
      <c r="P340">
        <v>128.9</v>
      </c>
      <c r="Q340">
        <v>115.5</v>
      </c>
      <c r="R340">
        <v>111.8</v>
      </c>
      <c r="S340">
        <v>115.3</v>
      </c>
      <c r="T340">
        <v>112.2</v>
      </c>
      <c r="U340">
        <v>112.5</v>
      </c>
      <c r="V340">
        <v>112.9</v>
      </c>
      <c r="W340">
        <v>119.2</v>
      </c>
      <c r="X340">
        <v>110.5</v>
      </c>
      <c r="Y340">
        <v>113.9</v>
      </c>
      <c r="Z340">
        <v>119.9</v>
      </c>
      <c r="AA340" s="1">
        <f>SUM(Table15[[#This Row],[Cereals and products]:[Food and beverages]])/13</f>
        <v>124.38461538461539</v>
      </c>
      <c r="AB340" s="1">
        <f>SUM(Table15[[#This Row],[Fuel and light]])</f>
        <v>111.8</v>
      </c>
      <c r="AC340" s="1">
        <f>SUM(Table15[[#This Row],[Transport and communication]])</f>
        <v>112.5</v>
      </c>
      <c r="AD340" s="1">
        <f>SUM(Table15[[#This Row],[Housing]],Table15[[#This Row],[Household goods and services]])/2</f>
        <v>115.4</v>
      </c>
      <c r="AE340" s="1">
        <f>SUM(Table15[[#This Row],[Health]])</f>
        <v>112.2</v>
      </c>
      <c r="AF340" s="1">
        <f>SUM(Table15[[#This Row],[Recreation and amusement]],Table15[[#This Row],[Education]])/2</f>
        <v>116.05000000000001</v>
      </c>
      <c r="AG340" s="1">
        <f>SUM(Table15[[#This Row],[Miscellaneous]],Table15[[#This Row],[Personal care and effects]])/2</f>
        <v>112.2</v>
      </c>
    </row>
    <row r="341" spans="1:33" x14ac:dyDescent="0.3">
      <c r="A341" t="s">
        <v>33</v>
      </c>
      <c r="B341">
        <v>2013</v>
      </c>
      <c r="C341" t="s">
        <v>37</v>
      </c>
      <c r="D341">
        <v>114.3</v>
      </c>
      <c r="E341">
        <v>115.4</v>
      </c>
      <c r="F341">
        <v>111.1</v>
      </c>
      <c r="G341">
        <v>110</v>
      </c>
      <c r="H341">
        <v>106.4</v>
      </c>
      <c r="I341">
        <v>110.8</v>
      </c>
      <c r="J341">
        <v>138.9</v>
      </c>
      <c r="K341">
        <v>107.4</v>
      </c>
      <c r="L341">
        <v>104.1</v>
      </c>
      <c r="M341">
        <v>106.9</v>
      </c>
      <c r="N341">
        <v>109.7</v>
      </c>
      <c r="O341">
        <v>112.6</v>
      </c>
      <c r="P341">
        <v>114.9</v>
      </c>
      <c r="Q341">
        <f>AVERAGE(Q342:Q343)</f>
        <v>108.9</v>
      </c>
      <c r="R341">
        <v>109.9</v>
      </c>
      <c r="S341">
        <v>108.7</v>
      </c>
      <c r="T341">
        <v>107.5</v>
      </c>
      <c r="U341">
        <v>107.8</v>
      </c>
      <c r="V341">
        <v>106.8</v>
      </c>
      <c r="W341">
        <v>108.7</v>
      </c>
      <c r="X341">
        <v>105</v>
      </c>
      <c r="Y341">
        <v>107.5</v>
      </c>
      <c r="Z341">
        <v>112.1</v>
      </c>
      <c r="AA341" s="1">
        <f>SUM(Table15[[#This Row],[Cereals and products]:[Food and beverages]])/13</f>
        <v>112.5</v>
      </c>
      <c r="AB341" s="1">
        <f>SUM(Table15[[#This Row],[Fuel and light]])</f>
        <v>109.9</v>
      </c>
      <c r="AC341" s="1">
        <f>SUM(Table15[[#This Row],[Transport and communication]])</f>
        <v>107.8</v>
      </c>
      <c r="AD341" s="1">
        <f>SUM(Table15[[#This Row],[Housing]],Table15[[#This Row],[Household goods and services]])/2</f>
        <v>108.80000000000001</v>
      </c>
      <c r="AE341" s="1">
        <f>SUM(Table15[[#This Row],[Health]])</f>
        <v>107.5</v>
      </c>
      <c r="AF341" s="1">
        <f>SUM(Table15[[#This Row],[Recreation and amusement]],Table15[[#This Row],[Education]])/2</f>
        <v>107.75</v>
      </c>
      <c r="AG341" s="1">
        <f>SUM(Table15[[#This Row],[Miscellaneous]],Table15[[#This Row],[Personal care and effects]])/2</f>
        <v>106.25</v>
      </c>
    </row>
    <row r="342" spans="1:33" x14ac:dyDescent="0.3">
      <c r="A342" t="s">
        <v>35</v>
      </c>
      <c r="B342">
        <v>2013</v>
      </c>
      <c r="C342" t="s">
        <v>37</v>
      </c>
      <c r="D342">
        <v>115.6</v>
      </c>
      <c r="E342">
        <v>117.2</v>
      </c>
      <c r="F342">
        <v>111.7</v>
      </c>
      <c r="G342">
        <v>109.6</v>
      </c>
      <c r="H342">
        <v>104.5</v>
      </c>
      <c r="I342">
        <v>109.8</v>
      </c>
      <c r="J342">
        <v>151.80000000000001</v>
      </c>
      <c r="K342">
        <v>106.5</v>
      </c>
      <c r="L342">
        <v>103.1</v>
      </c>
      <c r="M342">
        <v>107.4</v>
      </c>
      <c r="N342">
        <v>110.2</v>
      </c>
      <c r="O342">
        <v>113.4</v>
      </c>
      <c r="P342">
        <v>116.6</v>
      </c>
      <c r="Q342">
        <v>108.9</v>
      </c>
      <c r="R342">
        <v>109.7</v>
      </c>
      <c r="S342">
        <v>108.7</v>
      </c>
      <c r="T342">
        <v>107.5</v>
      </c>
      <c r="U342">
        <v>108</v>
      </c>
      <c r="V342">
        <v>106.6</v>
      </c>
      <c r="W342">
        <v>109.9</v>
      </c>
      <c r="X342">
        <v>105.4</v>
      </c>
      <c r="Y342">
        <v>107.9</v>
      </c>
      <c r="Z342">
        <v>112.4</v>
      </c>
      <c r="AA342" s="1">
        <f>SUM(Table15[[#This Row],[Cereals and products]:[Food and beverages]])/13</f>
        <v>113.64615384615385</v>
      </c>
      <c r="AB342" s="1">
        <f>SUM(Table15[[#This Row],[Fuel and light]])</f>
        <v>109.7</v>
      </c>
      <c r="AC342" s="1">
        <f>SUM(Table15[[#This Row],[Transport and communication]])</f>
        <v>108</v>
      </c>
      <c r="AD342" s="1">
        <f>SUM(Table15[[#This Row],[Housing]],Table15[[#This Row],[Household goods and services]])/2</f>
        <v>108.80000000000001</v>
      </c>
      <c r="AE342" s="1">
        <f>SUM(Table15[[#This Row],[Health]])</f>
        <v>107.5</v>
      </c>
      <c r="AF342" s="1">
        <f>SUM(Table15[[#This Row],[Recreation and amusement]],Table15[[#This Row],[Education]])/2</f>
        <v>108.25</v>
      </c>
      <c r="AG342" s="1">
        <f>SUM(Table15[[#This Row],[Miscellaneous]],Table15[[#This Row],[Personal care and effects]])/2</f>
        <v>106.65</v>
      </c>
    </row>
    <row r="343" spans="1:33" x14ac:dyDescent="0.3">
      <c r="A343" t="s">
        <v>36</v>
      </c>
      <c r="B343">
        <v>2013</v>
      </c>
      <c r="C343" t="s">
        <v>37</v>
      </c>
      <c r="D343">
        <v>118.3</v>
      </c>
      <c r="E343">
        <v>120.4</v>
      </c>
      <c r="F343">
        <v>112.7</v>
      </c>
      <c r="G343">
        <v>108.9</v>
      </c>
      <c r="H343">
        <v>101.1</v>
      </c>
      <c r="I343">
        <v>108.7</v>
      </c>
      <c r="J343">
        <v>177</v>
      </c>
      <c r="K343">
        <v>104.7</v>
      </c>
      <c r="L343">
        <v>101</v>
      </c>
      <c r="M343">
        <v>108.5</v>
      </c>
      <c r="N343">
        <v>110.9</v>
      </c>
      <c r="O343">
        <v>114.3</v>
      </c>
      <c r="P343">
        <v>119.6</v>
      </c>
      <c r="Q343">
        <v>108.9</v>
      </c>
      <c r="R343">
        <v>109.3</v>
      </c>
      <c r="S343">
        <v>108.7</v>
      </c>
      <c r="T343">
        <v>107.6</v>
      </c>
      <c r="U343">
        <v>108.1</v>
      </c>
      <c r="V343">
        <v>106.5</v>
      </c>
      <c r="W343">
        <v>110.8</v>
      </c>
      <c r="X343">
        <v>106</v>
      </c>
      <c r="Y343">
        <v>108.3</v>
      </c>
      <c r="Z343">
        <v>112.7</v>
      </c>
      <c r="AA343" s="1">
        <f>SUM(Table15[[#This Row],[Cereals and products]:[Food and beverages]])/13</f>
        <v>115.85384615384616</v>
      </c>
      <c r="AB343" s="1">
        <f>SUM(Table15[[#This Row],[Fuel and light]])</f>
        <v>109.3</v>
      </c>
      <c r="AC343" s="1">
        <f>SUM(Table15[[#This Row],[Transport and communication]])</f>
        <v>108.1</v>
      </c>
      <c r="AD343" s="1">
        <f>SUM(Table15[[#This Row],[Housing]],Table15[[#This Row],[Household goods and services]])/2</f>
        <v>108.80000000000001</v>
      </c>
      <c r="AE343" s="1">
        <f>SUM(Table15[[#This Row],[Health]])</f>
        <v>107.6</v>
      </c>
      <c r="AF343" s="1">
        <f>SUM(Table15[[#This Row],[Recreation and amusement]],Table15[[#This Row],[Education]])/2</f>
        <v>108.65</v>
      </c>
      <c r="AG343" s="1">
        <f>SUM(Table15[[#This Row],[Miscellaneous]],Table15[[#This Row],[Personal care and effects]])/2</f>
        <v>107.15</v>
      </c>
    </row>
    <row r="344" spans="1:33" x14ac:dyDescent="0.3">
      <c r="A344" t="s">
        <v>33</v>
      </c>
      <c r="B344">
        <v>2023</v>
      </c>
      <c r="C344" t="s">
        <v>48</v>
      </c>
      <c r="D344">
        <v>173.3</v>
      </c>
      <c r="E344">
        <v>206.9</v>
      </c>
      <c r="F344">
        <v>167.9</v>
      </c>
      <c r="G344">
        <v>178.2</v>
      </c>
      <c r="H344">
        <v>178.5</v>
      </c>
      <c r="I344">
        <v>173.7</v>
      </c>
      <c r="J344">
        <v>142.80000000000001</v>
      </c>
      <c r="K344">
        <v>172.8</v>
      </c>
      <c r="L344">
        <v>120.4</v>
      </c>
      <c r="M344">
        <v>215.5</v>
      </c>
      <c r="N344">
        <v>178.2</v>
      </c>
      <c r="O344">
        <v>190.5</v>
      </c>
      <c r="P344">
        <v>175.5</v>
      </c>
      <c r="Q344">
        <f>AVERAGE(Q345:Q346)</f>
        <v>175.2</v>
      </c>
      <c r="R344">
        <v>181.5</v>
      </c>
      <c r="S344">
        <v>179.1</v>
      </c>
      <c r="T344">
        <v>187.2</v>
      </c>
      <c r="U344">
        <v>169.4</v>
      </c>
      <c r="V344">
        <v>173.2</v>
      </c>
      <c r="W344">
        <v>179.4</v>
      </c>
      <c r="X344">
        <v>183.8</v>
      </c>
      <c r="Y344">
        <v>178.9</v>
      </c>
      <c r="Z344">
        <v>178.8</v>
      </c>
      <c r="AA344" s="1">
        <f>SUM(Table15[[#This Row],[Cereals and products]:[Food and beverages]])/13</f>
        <v>174.93846153846152</v>
      </c>
      <c r="AB344" s="1">
        <f>SUM(Table15[[#This Row],[Fuel and light]])</f>
        <v>181.5</v>
      </c>
      <c r="AC344" s="1">
        <f>SUM(Table15[[#This Row],[Transport and communication]])</f>
        <v>169.4</v>
      </c>
      <c r="AD344" s="1">
        <f>SUM(Table15[[#This Row],[Housing]],Table15[[#This Row],[Household goods and services]])/2</f>
        <v>177.14999999999998</v>
      </c>
      <c r="AE344" s="1">
        <f>SUM(Table15[[#This Row],[Health]])</f>
        <v>187.2</v>
      </c>
      <c r="AF344" s="1">
        <f>SUM(Table15[[#This Row],[Recreation and amusement]],Table15[[#This Row],[Education]])/2</f>
        <v>176.3</v>
      </c>
      <c r="AG344" s="1">
        <f>SUM(Table15[[#This Row],[Miscellaneous]],Table15[[#This Row],[Personal care and effects]])/2</f>
        <v>181.35000000000002</v>
      </c>
    </row>
    <row r="345" spans="1:33" x14ac:dyDescent="0.3">
      <c r="A345" t="s">
        <v>35</v>
      </c>
      <c r="B345">
        <v>2023</v>
      </c>
      <c r="C345" t="s">
        <v>48</v>
      </c>
      <c r="D345">
        <v>173.8</v>
      </c>
      <c r="E345">
        <v>209.3</v>
      </c>
      <c r="F345">
        <v>169.6</v>
      </c>
      <c r="G345">
        <v>178.4</v>
      </c>
      <c r="H345">
        <v>174.9</v>
      </c>
      <c r="I345">
        <v>176.3</v>
      </c>
      <c r="J345">
        <v>155.4</v>
      </c>
      <c r="K345">
        <v>173.4</v>
      </c>
      <c r="L345">
        <v>121.3</v>
      </c>
      <c r="M345">
        <v>212.9</v>
      </c>
      <c r="N345">
        <v>172.9</v>
      </c>
      <c r="O345">
        <v>193.5</v>
      </c>
      <c r="P345">
        <v>177.9</v>
      </c>
      <c r="Q345">
        <v>175.2</v>
      </c>
      <c r="R345">
        <v>181.7</v>
      </c>
      <c r="S345">
        <v>174.6</v>
      </c>
      <c r="T345">
        <v>185</v>
      </c>
      <c r="U345">
        <v>164.5</v>
      </c>
      <c r="V345">
        <v>170.7</v>
      </c>
      <c r="W345">
        <v>176.4</v>
      </c>
      <c r="X345">
        <v>184</v>
      </c>
      <c r="Y345">
        <v>175</v>
      </c>
      <c r="Z345">
        <v>178.1</v>
      </c>
      <c r="AA345" s="1">
        <f>SUM(Table15[[#This Row],[Cereals and products]:[Food and beverages]])/13</f>
        <v>176.12307692307695</v>
      </c>
      <c r="AB345" s="1">
        <f>SUM(Table15[[#This Row],[Fuel and light]])</f>
        <v>181.7</v>
      </c>
      <c r="AC345" s="1">
        <f>SUM(Table15[[#This Row],[Transport and communication]])</f>
        <v>164.5</v>
      </c>
      <c r="AD345" s="1">
        <f>SUM(Table15[[#This Row],[Housing]],Table15[[#This Row],[Household goods and services]])/2</f>
        <v>174.89999999999998</v>
      </c>
      <c r="AE345" s="1">
        <f>SUM(Table15[[#This Row],[Health]])</f>
        <v>185</v>
      </c>
      <c r="AF345" s="1">
        <f>SUM(Table15[[#This Row],[Recreation and amusement]],Table15[[#This Row],[Education]])/2</f>
        <v>173.55</v>
      </c>
      <c r="AG345" s="1">
        <f>SUM(Table15[[#This Row],[Miscellaneous]],Table15[[#This Row],[Personal care and effects]])/2</f>
        <v>179.5</v>
      </c>
    </row>
    <row r="346" spans="1:33" x14ac:dyDescent="0.3">
      <c r="A346" t="s">
        <v>36</v>
      </c>
      <c r="B346">
        <v>2023</v>
      </c>
      <c r="C346" t="s">
        <v>48</v>
      </c>
      <c r="D346">
        <v>174.8</v>
      </c>
      <c r="E346">
        <v>213.7</v>
      </c>
      <c r="F346">
        <v>172.4</v>
      </c>
      <c r="G346">
        <v>178.8</v>
      </c>
      <c r="H346">
        <v>168.7</v>
      </c>
      <c r="I346">
        <v>179.2</v>
      </c>
      <c r="J346">
        <v>179.9</v>
      </c>
      <c r="K346">
        <v>174.7</v>
      </c>
      <c r="L346">
        <v>123.1</v>
      </c>
      <c r="M346">
        <v>207.8</v>
      </c>
      <c r="N346">
        <v>165.5</v>
      </c>
      <c r="O346">
        <v>197</v>
      </c>
      <c r="P346">
        <v>182.1</v>
      </c>
      <c r="Q346">
        <v>175.2</v>
      </c>
      <c r="R346">
        <v>182.1</v>
      </c>
      <c r="S346">
        <v>169.6</v>
      </c>
      <c r="T346">
        <v>181.5</v>
      </c>
      <c r="U346">
        <v>160.1</v>
      </c>
      <c r="V346">
        <v>168.8</v>
      </c>
      <c r="W346">
        <v>174.2</v>
      </c>
      <c r="X346">
        <v>184.4</v>
      </c>
      <c r="Y346">
        <v>170.9</v>
      </c>
      <c r="Z346">
        <v>177.4</v>
      </c>
      <c r="AA346" s="1">
        <f>SUM(Table15[[#This Row],[Cereals and products]:[Food and beverages]])/13</f>
        <v>178.28461538461539</v>
      </c>
      <c r="AB346" s="1">
        <f>SUM(Table15[[#This Row],[Fuel and light]])</f>
        <v>182.1</v>
      </c>
      <c r="AC346" s="1">
        <f>SUM(Table15[[#This Row],[Transport and communication]])</f>
        <v>160.1</v>
      </c>
      <c r="AD346" s="1">
        <f>SUM(Table15[[#This Row],[Housing]],Table15[[#This Row],[Household goods and services]])/2</f>
        <v>172.39999999999998</v>
      </c>
      <c r="AE346" s="1">
        <f>SUM(Table15[[#This Row],[Health]])</f>
        <v>181.5</v>
      </c>
      <c r="AF346" s="1">
        <f>SUM(Table15[[#This Row],[Recreation and amusement]],Table15[[#This Row],[Education]])/2</f>
        <v>171.5</v>
      </c>
      <c r="AG346" s="1">
        <f>SUM(Table15[[#This Row],[Miscellaneous]],Table15[[#This Row],[Personal care and effects]])/2</f>
        <v>177.65</v>
      </c>
    </row>
    <row r="347" spans="1:33" x14ac:dyDescent="0.3">
      <c r="A347" t="s">
        <v>33</v>
      </c>
      <c r="B347">
        <v>2022</v>
      </c>
      <c r="C347" t="s">
        <v>48</v>
      </c>
      <c r="D347">
        <v>151.80000000000001</v>
      </c>
      <c r="E347">
        <v>209.7</v>
      </c>
      <c r="F347">
        <v>164.5</v>
      </c>
      <c r="G347">
        <v>163.80000000000001</v>
      </c>
      <c r="H347">
        <v>207.4</v>
      </c>
      <c r="I347">
        <v>169.7</v>
      </c>
      <c r="J347">
        <v>153.6</v>
      </c>
      <c r="K347">
        <v>165.1</v>
      </c>
      <c r="L347">
        <v>118.2</v>
      </c>
      <c r="M347">
        <v>182.9</v>
      </c>
      <c r="N347">
        <v>172.4</v>
      </c>
      <c r="O347">
        <v>178.9</v>
      </c>
      <c r="P347">
        <v>168.6</v>
      </c>
      <c r="Q347">
        <f>AVERAGE(Q348:Q349)</f>
        <v>167</v>
      </c>
      <c r="R347">
        <v>173.3</v>
      </c>
      <c r="S347">
        <v>167.7</v>
      </c>
      <c r="T347">
        <v>177</v>
      </c>
      <c r="U347">
        <v>166.2</v>
      </c>
      <c r="V347">
        <v>167.2</v>
      </c>
      <c r="W347">
        <v>170.9</v>
      </c>
      <c r="X347">
        <v>169</v>
      </c>
      <c r="Y347">
        <v>170.2</v>
      </c>
      <c r="Z347">
        <v>170.8</v>
      </c>
      <c r="AA347" s="1">
        <f>SUM(Table15[[#This Row],[Cereals and products]:[Food and beverages]])/13</f>
        <v>169.73846153846154</v>
      </c>
      <c r="AB347" s="1">
        <f>SUM(Table15[[#This Row],[Fuel and light]])</f>
        <v>173.3</v>
      </c>
      <c r="AC347" s="1">
        <f>SUM(Table15[[#This Row],[Transport and communication]])</f>
        <v>166.2</v>
      </c>
      <c r="AD347" s="1">
        <f>SUM(Table15[[#This Row],[Housing]],Table15[[#This Row],[Household goods and services]])/2</f>
        <v>167.35</v>
      </c>
      <c r="AE347" s="1">
        <f>SUM(Table15[[#This Row],[Health]])</f>
        <v>177</v>
      </c>
      <c r="AF347" s="1">
        <f>SUM(Table15[[#This Row],[Recreation and amusement]],Table15[[#This Row],[Education]])/2</f>
        <v>169.05</v>
      </c>
      <c r="AG347" s="1">
        <f>SUM(Table15[[#This Row],[Miscellaneous]],Table15[[#This Row],[Personal care and effects]])/2</f>
        <v>169.6</v>
      </c>
    </row>
    <row r="348" spans="1:33" x14ac:dyDescent="0.3">
      <c r="A348" t="s">
        <v>35</v>
      </c>
      <c r="B348">
        <v>2022</v>
      </c>
      <c r="C348" t="s">
        <v>48</v>
      </c>
      <c r="D348">
        <v>152.9</v>
      </c>
      <c r="E348">
        <v>211.8</v>
      </c>
      <c r="F348">
        <v>164.5</v>
      </c>
      <c r="G348">
        <v>163.9</v>
      </c>
      <c r="H348">
        <v>199.5</v>
      </c>
      <c r="I348">
        <v>172.6</v>
      </c>
      <c r="J348">
        <v>166.2</v>
      </c>
      <c r="K348">
        <v>164.7</v>
      </c>
      <c r="L348">
        <v>119</v>
      </c>
      <c r="M348">
        <v>181.3</v>
      </c>
      <c r="N348">
        <v>166.2</v>
      </c>
      <c r="O348">
        <v>180.9</v>
      </c>
      <c r="P348">
        <v>170.8</v>
      </c>
      <c r="Q348">
        <v>167</v>
      </c>
      <c r="R348">
        <v>172.2</v>
      </c>
      <c r="S348">
        <v>164</v>
      </c>
      <c r="T348">
        <v>174</v>
      </c>
      <c r="U348">
        <v>162.6</v>
      </c>
      <c r="V348">
        <v>164.4</v>
      </c>
      <c r="W348">
        <v>166.9</v>
      </c>
      <c r="X348">
        <v>168.8</v>
      </c>
      <c r="Y348">
        <v>166.8</v>
      </c>
      <c r="Z348">
        <v>170.1</v>
      </c>
      <c r="AA348" s="1">
        <f>SUM(Table15[[#This Row],[Cereals and products]:[Food and beverages]])/13</f>
        <v>170.33076923076925</v>
      </c>
      <c r="AB348" s="1">
        <f>SUM(Table15[[#This Row],[Fuel and light]])</f>
        <v>172.2</v>
      </c>
      <c r="AC348" s="1">
        <f>SUM(Table15[[#This Row],[Transport and communication]])</f>
        <v>162.6</v>
      </c>
      <c r="AD348" s="1">
        <f>SUM(Table15[[#This Row],[Housing]],Table15[[#This Row],[Household goods and services]])/2</f>
        <v>165.5</v>
      </c>
      <c r="AE348" s="1">
        <f>SUM(Table15[[#This Row],[Health]])</f>
        <v>174</v>
      </c>
      <c r="AF348" s="1">
        <f>SUM(Table15[[#This Row],[Recreation and amusement]],Table15[[#This Row],[Education]])/2</f>
        <v>165.65</v>
      </c>
      <c r="AG348" s="1">
        <f>SUM(Table15[[#This Row],[Miscellaneous]],Table15[[#This Row],[Personal care and effects]])/2</f>
        <v>167.8</v>
      </c>
    </row>
    <row r="349" spans="1:33" x14ac:dyDescent="0.3">
      <c r="A349" t="s">
        <v>36</v>
      </c>
      <c r="B349">
        <v>2022</v>
      </c>
      <c r="C349" t="s">
        <v>48</v>
      </c>
      <c r="D349">
        <v>155.4</v>
      </c>
      <c r="E349">
        <v>215.8</v>
      </c>
      <c r="F349">
        <v>164.6</v>
      </c>
      <c r="G349">
        <v>164.2</v>
      </c>
      <c r="H349">
        <v>186</v>
      </c>
      <c r="I349">
        <v>175.9</v>
      </c>
      <c r="J349">
        <v>190.7</v>
      </c>
      <c r="K349">
        <v>164</v>
      </c>
      <c r="L349">
        <v>120.5</v>
      </c>
      <c r="M349">
        <v>178</v>
      </c>
      <c r="N349">
        <v>157.5</v>
      </c>
      <c r="O349">
        <v>183.3</v>
      </c>
      <c r="P349">
        <v>174.5</v>
      </c>
      <c r="Q349">
        <v>167</v>
      </c>
      <c r="R349">
        <v>170.5</v>
      </c>
      <c r="S349">
        <v>159.80000000000001</v>
      </c>
      <c r="T349">
        <v>169</v>
      </c>
      <c r="U349">
        <v>159.30000000000001</v>
      </c>
      <c r="V349">
        <v>162.19999999999999</v>
      </c>
      <c r="W349">
        <v>164</v>
      </c>
      <c r="X349">
        <v>168.4</v>
      </c>
      <c r="Y349">
        <v>163.1</v>
      </c>
      <c r="Z349">
        <v>169.2</v>
      </c>
      <c r="AA349" s="1">
        <f>SUM(Table15[[#This Row],[Cereals and products]:[Food and beverages]])/13</f>
        <v>171.56923076923078</v>
      </c>
      <c r="AB349" s="1">
        <f>SUM(Table15[[#This Row],[Fuel and light]])</f>
        <v>170.5</v>
      </c>
      <c r="AC349" s="1">
        <f>SUM(Table15[[#This Row],[Transport and communication]])</f>
        <v>159.30000000000001</v>
      </c>
      <c r="AD349" s="1">
        <f>SUM(Table15[[#This Row],[Housing]],Table15[[#This Row],[Household goods and services]])/2</f>
        <v>163.4</v>
      </c>
      <c r="AE349" s="1">
        <f>SUM(Table15[[#This Row],[Health]])</f>
        <v>169</v>
      </c>
      <c r="AF349" s="1">
        <f>SUM(Table15[[#This Row],[Recreation and amusement]],Table15[[#This Row],[Education]])/2</f>
        <v>163.1</v>
      </c>
      <c r="AG349" s="1">
        <f>SUM(Table15[[#This Row],[Miscellaneous]],Table15[[#This Row],[Personal care and effects]])/2</f>
        <v>165.75</v>
      </c>
    </row>
    <row r="350" spans="1:33" x14ac:dyDescent="0.3">
      <c r="A350" t="s">
        <v>33</v>
      </c>
      <c r="B350">
        <v>2021</v>
      </c>
      <c r="C350" t="s">
        <v>40</v>
      </c>
      <c r="D350">
        <v>146.1</v>
      </c>
      <c r="E350">
        <v>202.5</v>
      </c>
      <c r="F350">
        <v>170.1</v>
      </c>
      <c r="G350">
        <v>158.4</v>
      </c>
      <c r="H350">
        <v>198.8</v>
      </c>
      <c r="I350">
        <v>152.6</v>
      </c>
      <c r="J350">
        <v>170.4</v>
      </c>
      <c r="K350">
        <v>165.2</v>
      </c>
      <c r="L350">
        <v>121.6</v>
      </c>
      <c r="M350">
        <v>170.6</v>
      </c>
      <c r="N350">
        <v>168.8</v>
      </c>
      <c r="O350">
        <v>173.6</v>
      </c>
      <c r="P350">
        <v>165.5</v>
      </c>
      <c r="Q350">
        <v>156.5</v>
      </c>
      <c r="R350">
        <v>165.5</v>
      </c>
      <c r="S350">
        <v>162</v>
      </c>
      <c r="T350">
        <v>172.5</v>
      </c>
      <c r="U350">
        <v>159.5</v>
      </c>
      <c r="V350">
        <v>163.19999999999999</v>
      </c>
      <c r="W350">
        <v>169</v>
      </c>
      <c r="X350">
        <v>161.1</v>
      </c>
      <c r="Y350">
        <v>164.7</v>
      </c>
      <c r="Z350">
        <v>166.3</v>
      </c>
      <c r="AA350" s="1">
        <f>SUM(Table15[[#This Row],[Cereals and products]:[Food and beverages]])/13</f>
        <v>166.47692307692307</v>
      </c>
      <c r="AB350" s="1">
        <f>SUM(Table15[[#This Row],[Fuel and light]])</f>
        <v>165.5</v>
      </c>
      <c r="AC350" s="1">
        <f>SUM(Table15[[#This Row],[Transport and communication]])</f>
        <v>159.5</v>
      </c>
      <c r="AD350" s="1">
        <f>SUM(Table15[[#This Row],[Housing]],Table15[[#This Row],[Household goods and services]])/2</f>
        <v>159.25</v>
      </c>
      <c r="AE350" s="1">
        <f>SUM(Table15[[#This Row],[Health]])</f>
        <v>172.5</v>
      </c>
      <c r="AF350" s="1">
        <f>SUM(Table15[[#This Row],[Recreation and amusement]],Table15[[#This Row],[Education]])/2</f>
        <v>166.1</v>
      </c>
      <c r="AG350" s="1">
        <f>SUM(Table15[[#This Row],[Miscellaneous]],Table15[[#This Row],[Personal care and effects]])/2</f>
        <v>162.89999999999998</v>
      </c>
    </row>
    <row r="351" spans="1:33" x14ac:dyDescent="0.3">
      <c r="A351" t="s">
        <v>35</v>
      </c>
      <c r="B351">
        <v>2021</v>
      </c>
      <c r="C351" t="s">
        <v>40</v>
      </c>
      <c r="D351">
        <v>147.4</v>
      </c>
      <c r="E351">
        <v>204.6</v>
      </c>
      <c r="F351">
        <v>171.2</v>
      </c>
      <c r="G351">
        <v>158.69999999999999</v>
      </c>
      <c r="H351">
        <v>190.6</v>
      </c>
      <c r="I351">
        <v>155.69999999999999</v>
      </c>
      <c r="J351">
        <v>185.3</v>
      </c>
      <c r="K351">
        <v>165.2</v>
      </c>
      <c r="L351">
        <v>121.9</v>
      </c>
      <c r="M351">
        <v>169.3</v>
      </c>
      <c r="N351">
        <v>163.19999999999999</v>
      </c>
      <c r="O351">
        <v>174.7</v>
      </c>
      <c r="P351">
        <v>167.7</v>
      </c>
      <c r="Q351">
        <v>163.6</v>
      </c>
      <c r="R351">
        <v>164.2</v>
      </c>
      <c r="S351">
        <v>158.4</v>
      </c>
      <c r="T351">
        <v>169.1</v>
      </c>
      <c r="U351">
        <v>155.69999999999999</v>
      </c>
      <c r="V351">
        <v>158.6</v>
      </c>
      <c r="W351">
        <v>163.9</v>
      </c>
      <c r="X351">
        <v>160.80000000000001</v>
      </c>
      <c r="Y351">
        <v>161</v>
      </c>
      <c r="Z351">
        <v>165.5</v>
      </c>
      <c r="AA351" s="1">
        <f>SUM(Table15[[#This Row],[Cereals and products]:[Food and beverages]])/13</f>
        <v>167.34615384615384</v>
      </c>
      <c r="AB351" s="1">
        <f>SUM(Table15[[#This Row],[Fuel and light]])</f>
        <v>164.2</v>
      </c>
      <c r="AC351" s="1">
        <f>SUM(Table15[[#This Row],[Transport and communication]])</f>
        <v>155.69999999999999</v>
      </c>
      <c r="AD351" s="1">
        <f>SUM(Table15[[#This Row],[Housing]],Table15[[#This Row],[Household goods and services]])/2</f>
        <v>161</v>
      </c>
      <c r="AE351" s="1">
        <f>SUM(Table15[[#This Row],[Health]])</f>
        <v>169.1</v>
      </c>
      <c r="AF351" s="1">
        <f>SUM(Table15[[#This Row],[Recreation and amusement]],Table15[[#This Row],[Education]])/2</f>
        <v>161.25</v>
      </c>
      <c r="AG351" s="1">
        <f>SUM(Table15[[#This Row],[Miscellaneous]],Table15[[#This Row],[Personal care and effects]])/2</f>
        <v>160.9</v>
      </c>
    </row>
    <row r="352" spans="1:33" x14ac:dyDescent="0.3">
      <c r="A352" t="s">
        <v>36</v>
      </c>
      <c r="B352">
        <v>2021</v>
      </c>
      <c r="C352" t="s">
        <v>40</v>
      </c>
      <c r="D352">
        <v>150.1</v>
      </c>
      <c r="E352">
        <v>208.4</v>
      </c>
      <c r="F352">
        <v>173</v>
      </c>
      <c r="G352">
        <v>159.19999999999999</v>
      </c>
      <c r="H352">
        <v>176.6</v>
      </c>
      <c r="I352">
        <v>159.30000000000001</v>
      </c>
      <c r="J352">
        <v>214.4</v>
      </c>
      <c r="K352">
        <v>165.3</v>
      </c>
      <c r="L352">
        <v>122.5</v>
      </c>
      <c r="M352">
        <v>166.8</v>
      </c>
      <c r="N352">
        <v>155.4</v>
      </c>
      <c r="O352">
        <v>175.9</v>
      </c>
      <c r="P352">
        <v>171.5</v>
      </c>
      <c r="Q352">
        <v>163.6</v>
      </c>
      <c r="R352">
        <v>162.19999999999999</v>
      </c>
      <c r="S352">
        <v>154.30000000000001</v>
      </c>
      <c r="T352">
        <v>163.5</v>
      </c>
      <c r="U352">
        <v>152.19999999999999</v>
      </c>
      <c r="V352">
        <v>155.1</v>
      </c>
      <c r="W352">
        <v>160.30000000000001</v>
      </c>
      <c r="X352">
        <v>160.30000000000001</v>
      </c>
      <c r="Y352">
        <v>157</v>
      </c>
      <c r="Z352">
        <v>164.6</v>
      </c>
      <c r="AA352" s="1">
        <f>SUM(Table15[[#This Row],[Cereals and products]:[Food and beverages]])/13</f>
        <v>169.10769230769236</v>
      </c>
      <c r="AB352" s="1">
        <f>SUM(Table15[[#This Row],[Fuel and light]])</f>
        <v>162.19999999999999</v>
      </c>
      <c r="AC352" s="1">
        <f>SUM(Table15[[#This Row],[Transport and communication]])</f>
        <v>152.19999999999999</v>
      </c>
      <c r="AD352" s="1">
        <f>SUM(Table15[[#This Row],[Housing]],Table15[[#This Row],[Household goods and services]])/2</f>
        <v>158.94999999999999</v>
      </c>
      <c r="AE352" s="1">
        <f>SUM(Table15[[#This Row],[Health]])</f>
        <v>163.5</v>
      </c>
      <c r="AF352" s="1">
        <f>SUM(Table15[[#This Row],[Recreation and amusement]],Table15[[#This Row],[Education]])/2</f>
        <v>157.69999999999999</v>
      </c>
      <c r="AG352" s="1">
        <f>SUM(Table15[[#This Row],[Miscellaneous]],Table15[[#This Row],[Personal care and effects]])/2</f>
        <v>158.65</v>
      </c>
    </row>
    <row r="353" spans="1:33" x14ac:dyDescent="0.3">
      <c r="A353" t="s">
        <v>33</v>
      </c>
      <c r="B353">
        <v>2021</v>
      </c>
      <c r="C353" t="s">
        <v>34</v>
      </c>
      <c r="D353">
        <v>145.4</v>
      </c>
      <c r="E353">
        <v>202.1</v>
      </c>
      <c r="F353">
        <v>172</v>
      </c>
      <c r="G353">
        <v>158</v>
      </c>
      <c r="H353">
        <v>195.5</v>
      </c>
      <c r="I353">
        <v>152.69999999999999</v>
      </c>
      <c r="J353">
        <v>151.4</v>
      </c>
      <c r="K353">
        <v>163.9</v>
      </c>
      <c r="L353">
        <v>119.3</v>
      </c>
      <c r="M353">
        <v>170.1</v>
      </c>
      <c r="N353">
        <v>168.3</v>
      </c>
      <c r="O353">
        <v>172.8</v>
      </c>
      <c r="P353">
        <v>162.1</v>
      </c>
      <c r="Q353">
        <v>156.30000000000001</v>
      </c>
      <c r="R353">
        <v>163.69999999999999</v>
      </c>
      <c r="S353">
        <v>161.30000000000001</v>
      </c>
      <c r="T353">
        <v>171.9</v>
      </c>
      <c r="U353">
        <v>157.80000000000001</v>
      </c>
      <c r="V353">
        <v>162.69999999999999</v>
      </c>
      <c r="W353">
        <v>168.5</v>
      </c>
      <c r="X353">
        <v>160.19999999999999</v>
      </c>
      <c r="Y353">
        <v>163.80000000000001</v>
      </c>
      <c r="Z353">
        <v>164</v>
      </c>
      <c r="AA353" s="1">
        <f>SUM(Table15[[#This Row],[Cereals and products]:[Food and beverages]])/13</f>
        <v>164.12307692307692</v>
      </c>
      <c r="AB353" s="1">
        <f>SUM(Table15[[#This Row],[Fuel and light]])</f>
        <v>163.69999999999999</v>
      </c>
      <c r="AC353" s="1">
        <f>SUM(Table15[[#This Row],[Transport and communication]])</f>
        <v>157.80000000000001</v>
      </c>
      <c r="AD353" s="1">
        <f>SUM(Table15[[#This Row],[Housing]],Table15[[#This Row],[Household goods and services]])/2</f>
        <v>158.80000000000001</v>
      </c>
      <c r="AE353" s="1">
        <f>SUM(Table15[[#This Row],[Health]])</f>
        <v>171.9</v>
      </c>
      <c r="AF353" s="1">
        <f>SUM(Table15[[#This Row],[Recreation and amusement]],Table15[[#This Row],[Education]])/2</f>
        <v>165.6</v>
      </c>
      <c r="AG353" s="1">
        <f>SUM(Table15[[#This Row],[Miscellaneous]],Table15[[#This Row],[Personal care and effects]])/2</f>
        <v>162</v>
      </c>
    </row>
    <row r="354" spans="1:33" x14ac:dyDescent="0.3">
      <c r="A354" t="s">
        <v>35</v>
      </c>
      <c r="B354">
        <v>2021</v>
      </c>
      <c r="C354" t="s">
        <v>34</v>
      </c>
      <c r="D354">
        <v>146.6</v>
      </c>
      <c r="E354">
        <v>204</v>
      </c>
      <c r="F354">
        <v>172.8</v>
      </c>
      <c r="G354">
        <v>158.4</v>
      </c>
      <c r="H354">
        <v>188</v>
      </c>
      <c r="I354">
        <v>156.69999999999999</v>
      </c>
      <c r="J354">
        <v>162.30000000000001</v>
      </c>
      <c r="K354">
        <v>164.1</v>
      </c>
      <c r="L354">
        <v>119.7</v>
      </c>
      <c r="M354">
        <v>168.8</v>
      </c>
      <c r="N354">
        <v>162.69999999999999</v>
      </c>
      <c r="O354">
        <v>173.9</v>
      </c>
      <c r="P354">
        <v>164</v>
      </c>
      <c r="Q354">
        <v>162.1</v>
      </c>
      <c r="R354">
        <v>162.6</v>
      </c>
      <c r="S354">
        <v>157.5</v>
      </c>
      <c r="T354">
        <v>168.4</v>
      </c>
      <c r="U354">
        <v>154</v>
      </c>
      <c r="V354">
        <v>157.69999999999999</v>
      </c>
      <c r="W354">
        <v>163.69999999999999</v>
      </c>
      <c r="X354">
        <v>160</v>
      </c>
      <c r="Y354">
        <v>160</v>
      </c>
      <c r="Z354">
        <v>163.19999999999999</v>
      </c>
      <c r="AA354" s="1">
        <f>SUM(Table15[[#This Row],[Cereals and products]:[Food and beverages]])/13</f>
        <v>164.76923076923077</v>
      </c>
      <c r="AB354" s="1">
        <f>SUM(Table15[[#This Row],[Fuel and light]])</f>
        <v>162.6</v>
      </c>
      <c r="AC354" s="1">
        <f>SUM(Table15[[#This Row],[Transport and communication]])</f>
        <v>154</v>
      </c>
      <c r="AD354" s="1">
        <f>SUM(Table15[[#This Row],[Housing]],Table15[[#This Row],[Household goods and services]])/2</f>
        <v>159.80000000000001</v>
      </c>
      <c r="AE354" s="1">
        <f>SUM(Table15[[#This Row],[Health]])</f>
        <v>168.4</v>
      </c>
      <c r="AF354" s="1">
        <f>SUM(Table15[[#This Row],[Recreation and amusement]],Table15[[#This Row],[Education]])/2</f>
        <v>160.69999999999999</v>
      </c>
      <c r="AG354" s="1">
        <f>SUM(Table15[[#This Row],[Miscellaneous]],Table15[[#This Row],[Personal care and effects]])/2</f>
        <v>160</v>
      </c>
    </row>
    <row r="355" spans="1:33" x14ac:dyDescent="0.3">
      <c r="A355" t="s">
        <v>36</v>
      </c>
      <c r="B355">
        <v>2021</v>
      </c>
      <c r="C355" t="s">
        <v>34</v>
      </c>
      <c r="D355">
        <v>149.30000000000001</v>
      </c>
      <c r="E355">
        <v>207.4</v>
      </c>
      <c r="F355">
        <v>174.1</v>
      </c>
      <c r="G355">
        <v>159.1</v>
      </c>
      <c r="H355">
        <v>175</v>
      </c>
      <c r="I355">
        <v>161.19999999999999</v>
      </c>
      <c r="J355">
        <v>183.5</v>
      </c>
      <c r="K355">
        <v>164.5</v>
      </c>
      <c r="L355">
        <v>120.4</v>
      </c>
      <c r="M355">
        <v>166.2</v>
      </c>
      <c r="N355">
        <v>154.80000000000001</v>
      </c>
      <c r="O355">
        <v>175.1</v>
      </c>
      <c r="P355">
        <v>167.3</v>
      </c>
      <c r="Q355">
        <v>162.1</v>
      </c>
      <c r="R355">
        <v>160.80000000000001</v>
      </c>
      <c r="S355">
        <v>153.30000000000001</v>
      </c>
      <c r="T355">
        <v>162.80000000000001</v>
      </c>
      <c r="U355">
        <v>150.5</v>
      </c>
      <c r="V355">
        <v>153.9</v>
      </c>
      <c r="W355">
        <v>160.30000000000001</v>
      </c>
      <c r="X355">
        <v>159.6</v>
      </c>
      <c r="Y355">
        <v>156</v>
      </c>
      <c r="Z355">
        <v>162.30000000000001</v>
      </c>
      <c r="AA355" s="1">
        <f>SUM(Table15[[#This Row],[Cereals and products]:[Food and beverages]])/13</f>
        <v>165.99230769230769</v>
      </c>
      <c r="AB355" s="1">
        <f>SUM(Table15[[#This Row],[Fuel and light]])</f>
        <v>160.80000000000001</v>
      </c>
      <c r="AC355" s="1">
        <f>SUM(Table15[[#This Row],[Transport and communication]])</f>
        <v>150.5</v>
      </c>
      <c r="AD355" s="1">
        <f>SUM(Table15[[#This Row],[Housing]],Table15[[#This Row],[Household goods and services]])/2</f>
        <v>157.69999999999999</v>
      </c>
      <c r="AE355" s="1">
        <f>SUM(Table15[[#This Row],[Health]])</f>
        <v>162.80000000000001</v>
      </c>
      <c r="AF355" s="1">
        <f>SUM(Table15[[#This Row],[Recreation and amusement]],Table15[[#This Row],[Education]])/2</f>
        <v>157.10000000000002</v>
      </c>
      <c r="AG355" s="1">
        <f>SUM(Table15[[#This Row],[Miscellaneous]],Table15[[#This Row],[Personal care and effects]])/2</f>
        <v>157.80000000000001</v>
      </c>
    </row>
    <row r="356" spans="1:33" x14ac:dyDescent="0.3">
      <c r="A356" t="s">
        <v>36</v>
      </c>
      <c r="B356">
        <v>2018</v>
      </c>
      <c r="C356" t="s">
        <v>48</v>
      </c>
      <c r="D356">
        <v>135</v>
      </c>
      <c r="E356">
        <v>144.30000000000001</v>
      </c>
      <c r="F356">
        <v>130.80000000000001</v>
      </c>
      <c r="G356">
        <v>140.30000000000001</v>
      </c>
      <c r="H356">
        <v>116.6</v>
      </c>
      <c r="I356">
        <v>150.1</v>
      </c>
      <c r="J356">
        <v>127.6</v>
      </c>
      <c r="K356">
        <v>114</v>
      </c>
      <c r="L356">
        <v>110.6</v>
      </c>
      <c r="M356">
        <v>140.19999999999999</v>
      </c>
      <c r="N356">
        <v>126.5</v>
      </c>
      <c r="O356">
        <v>148.30000000000001</v>
      </c>
      <c r="P356">
        <v>135.69999999999999</v>
      </c>
      <c r="Q356">
        <v>142.9</v>
      </c>
      <c r="R356">
        <v>124.6</v>
      </c>
      <c r="S356">
        <v>131.80000000000001</v>
      </c>
      <c r="T356">
        <v>131.30000000000001</v>
      </c>
      <c r="U356">
        <v>118.9</v>
      </c>
      <c r="V356">
        <v>127.6</v>
      </c>
      <c r="W356">
        <v>139.69999999999999</v>
      </c>
      <c r="X356">
        <v>127.6</v>
      </c>
      <c r="Y356">
        <v>128.19999999999999</v>
      </c>
      <c r="Z356">
        <v>134.80000000000001</v>
      </c>
      <c r="AA356" s="1">
        <f>SUM(Table15[[#This Row],[Cereals and products]:[Food and beverages]])/13</f>
        <v>132.30769230769232</v>
      </c>
      <c r="AB356" s="1">
        <f>SUM(Table15[[#This Row],[Fuel and light]])</f>
        <v>124.6</v>
      </c>
      <c r="AC356" s="1">
        <f>SUM(Table15[[#This Row],[Transport and communication]])</f>
        <v>118.9</v>
      </c>
      <c r="AD356" s="1">
        <f>SUM(Table15[[#This Row],[Housing]],Table15[[#This Row],[Household goods and services]])/2</f>
        <v>137.35000000000002</v>
      </c>
      <c r="AE356" s="1">
        <f>SUM(Table15[[#This Row],[Health]])</f>
        <v>131.30000000000001</v>
      </c>
      <c r="AF356" s="1">
        <f>SUM(Table15[[#This Row],[Recreation and amusement]],Table15[[#This Row],[Education]])/2</f>
        <v>133.64999999999998</v>
      </c>
      <c r="AG356" s="1">
        <f>SUM(Table15[[#This Row],[Miscellaneous]],Table15[[#This Row],[Personal care and effects]])/2</f>
        <v>127.89999999999999</v>
      </c>
    </row>
    <row r="357" spans="1:33" x14ac:dyDescent="0.3">
      <c r="A357" t="s">
        <v>35</v>
      </c>
      <c r="B357">
        <v>2018</v>
      </c>
      <c r="C357" t="s">
        <v>48</v>
      </c>
      <c r="D357">
        <v>136.4</v>
      </c>
      <c r="E357">
        <v>144.4</v>
      </c>
      <c r="F357">
        <v>133.9</v>
      </c>
      <c r="G357">
        <v>141.6</v>
      </c>
      <c r="H357">
        <v>121</v>
      </c>
      <c r="I357">
        <v>153.5</v>
      </c>
      <c r="J357">
        <v>132.6</v>
      </c>
      <c r="K357">
        <v>123.5</v>
      </c>
      <c r="L357">
        <v>113.7</v>
      </c>
      <c r="M357">
        <v>138.19999999999999</v>
      </c>
      <c r="N357">
        <v>129.6</v>
      </c>
      <c r="O357">
        <v>151.19999999999999</v>
      </c>
      <c r="P357">
        <v>137.5</v>
      </c>
      <c r="Q357">
        <v>142.9</v>
      </c>
      <c r="R357">
        <v>136.5</v>
      </c>
      <c r="S357">
        <v>136.6</v>
      </c>
      <c r="T357">
        <v>135.19999999999999</v>
      </c>
      <c r="U357">
        <v>121.9</v>
      </c>
      <c r="V357">
        <v>131.30000000000001</v>
      </c>
      <c r="W357">
        <v>141.4</v>
      </c>
      <c r="X357">
        <v>129.19999999999999</v>
      </c>
      <c r="Y357">
        <v>131.30000000000001</v>
      </c>
      <c r="Z357">
        <v>137.1</v>
      </c>
      <c r="AA357" s="1">
        <f>SUM(Table15[[#This Row],[Cereals and products]:[Food and beverages]])/13</f>
        <v>135.16153846153847</v>
      </c>
      <c r="AB357" s="1">
        <f>SUM(Table15[[#This Row],[Fuel and light]])</f>
        <v>136.5</v>
      </c>
      <c r="AC357" s="1">
        <f>SUM(Table15[[#This Row],[Transport and communication]])</f>
        <v>121.9</v>
      </c>
      <c r="AD357" s="1">
        <f>SUM(Table15[[#This Row],[Housing]],Table15[[#This Row],[Household goods and services]])/2</f>
        <v>139.75</v>
      </c>
      <c r="AE357" s="1">
        <f>SUM(Table15[[#This Row],[Health]])</f>
        <v>135.19999999999999</v>
      </c>
      <c r="AF357" s="1">
        <f>SUM(Table15[[#This Row],[Recreation and amusement]],Table15[[#This Row],[Education]])/2</f>
        <v>136.35000000000002</v>
      </c>
      <c r="AG357" s="1">
        <f>SUM(Table15[[#This Row],[Miscellaneous]],Table15[[#This Row],[Personal care and effects]])/2</f>
        <v>130.25</v>
      </c>
    </row>
    <row r="358" spans="1:33" x14ac:dyDescent="0.3">
      <c r="A358" t="s">
        <v>33</v>
      </c>
      <c r="B358">
        <v>2018</v>
      </c>
      <c r="C358" t="s">
        <v>48</v>
      </c>
      <c r="D358">
        <v>137.1</v>
      </c>
      <c r="E358">
        <v>144.5</v>
      </c>
      <c r="F358">
        <v>135.9</v>
      </c>
      <c r="G358">
        <v>142.4</v>
      </c>
      <c r="H358">
        <v>123.5</v>
      </c>
      <c r="I358">
        <v>156.4</v>
      </c>
      <c r="J358">
        <v>135.1</v>
      </c>
      <c r="K358">
        <v>128.4</v>
      </c>
      <c r="L358">
        <v>115.2</v>
      </c>
      <c r="M358">
        <v>137.19999999999999</v>
      </c>
      <c r="N358">
        <v>131.9</v>
      </c>
      <c r="O358">
        <v>153.80000000000001</v>
      </c>
      <c r="P358">
        <v>138.6</v>
      </c>
      <c r="Q358">
        <f>AVERAGE(Q356:Q357)</f>
        <v>142.9</v>
      </c>
      <c r="R358">
        <v>143.80000000000001</v>
      </c>
      <c r="S358">
        <v>140.9</v>
      </c>
      <c r="T358">
        <v>137.6</v>
      </c>
      <c r="U358">
        <v>125.3</v>
      </c>
      <c r="V358">
        <v>136</v>
      </c>
      <c r="W358">
        <v>143.69999999999999</v>
      </c>
      <c r="X358">
        <v>130.4</v>
      </c>
      <c r="Y358">
        <v>134.19999999999999</v>
      </c>
      <c r="Z358">
        <v>139.1</v>
      </c>
      <c r="AA358" s="1">
        <f>SUM(Table15[[#This Row],[Cereals and products]:[Food and beverages]])/13</f>
        <v>136.92307692307693</v>
      </c>
      <c r="AB358" s="1">
        <f>SUM(Table15[[#This Row],[Fuel and light]])</f>
        <v>143.80000000000001</v>
      </c>
      <c r="AC358" s="1">
        <f>SUM(Table15[[#This Row],[Transport and communication]])</f>
        <v>125.3</v>
      </c>
      <c r="AD358" s="1">
        <f>SUM(Table15[[#This Row],[Housing]],Table15[[#This Row],[Household goods and services]])/2</f>
        <v>141.9</v>
      </c>
      <c r="AE358" s="1">
        <f>SUM(Table15[[#This Row],[Health]])</f>
        <v>137.6</v>
      </c>
      <c r="AF358" s="1">
        <f>SUM(Table15[[#This Row],[Recreation and amusement]],Table15[[#This Row],[Education]])/2</f>
        <v>139.85</v>
      </c>
      <c r="AG358" s="1">
        <f>SUM(Table15[[#This Row],[Miscellaneous]],Table15[[#This Row],[Personal care and effects]])/2</f>
        <v>132.30000000000001</v>
      </c>
    </row>
    <row r="359" spans="1:33" x14ac:dyDescent="0.3">
      <c r="A359" t="s">
        <v>36</v>
      </c>
      <c r="B359">
        <v>2017</v>
      </c>
      <c r="C359" t="s">
        <v>48</v>
      </c>
      <c r="D359">
        <v>132.69999999999999</v>
      </c>
      <c r="E359">
        <v>140.6</v>
      </c>
      <c r="F359">
        <v>124.5</v>
      </c>
      <c r="G359">
        <v>136.30000000000001</v>
      </c>
      <c r="H359">
        <v>113.5</v>
      </c>
      <c r="I359">
        <v>137.69999999999999</v>
      </c>
      <c r="J359">
        <v>127.1</v>
      </c>
      <c r="K359">
        <v>133.80000000000001</v>
      </c>
      <c r="L359">
        <v>120.8</v>
      </c>
      <c r="M359">
        <v>141.30000000000001</v>
      </c>
      <c r="N359">
        <v>123.8</v>
      </c>
      <c r="O359">
        <v>142.6</v>
      </c>
      <c r="P359">
        <v>133.4</v>
      </c>
      <c r="Q359">
        <v>131.69999999999999</v>
      </c>
      <c r="R359">
        <v>121.4</v>
      </c>
      <c r="S359">
        <v>126</v>
      </c>
      <c r="T359">
        <v>123.4</v>
      </c>
      <c r="U359">
        <v>114.3</v>
      </c>
      <c r="V359">
        <v>122.6</v>
      </c>
      <c r="W359">
        <v>133.6</v>
      </c>
      <c r="X359">
        <v>122.2</v>
      </c>
      <c r="Y359">
        <v>122.5</v>
      </c>
      <c r="Z359">
        <v>129.1</v>
      </c>
      <c r="AA359" s="1">
        <f>SUM(Table15[[#This Row],[Cereals and products]:[Food and beverages]])/13</f>
        <v>131.3923076923077</v>
      </c>
      <c r="AB359" s="1">
        <f>SUM(Table15[[#This Row],[Fuel and light]])</f>
        <v>121.4</v>
      </c>
      <c r="AC359" s="1">
        <f>SUM(Table15[[#This Row],[Transport and communication]])</f>
        <v>114.3</v>
      </c>
      <c r="AD359" s="1">
        <f>SUM(Table15[[#This Row],[Housing]],Table15[[#This Row],[Household goods and services]])/2</f>
        <v>128.85</v>
      </c>
      <c r="AE359" s="1">
        <f>SUM(Table15[[#This Row],[Health]])</f>
        <v>123.4</v>
      </c>
      <c r="AF359" s="1">
        <f>SUM(Table15[[#This Row],[Recreation and amusement]],Table15[[#This Row],[Education]])/2</f>
        <v>128.1</v>
      </c>
      <c r="AG359" s="1">
        <f>SUM(Table15[[#This Row],[Miscellaneous]],Table15[[#This Row],[Personal care and effects]])/2</f>
        <v>122.35</v>
      </c>
    </row>
    <row r="360" spans="1:33" x14ac:dyDescent="0.3">
      <c r="A360" t="s">
        <v>35</v>
      </c>
      <c r="B360">
        <v>2017</v>
      </c>
      <c r="C360" t="s">
        <v>48</v>
      </c>
      <c r="D360">
        <v>133</v>
      </c>
      <c r="E360">
        <v>139.4</v>
      </c>
      <c r="F360">
        <v>126.1</v>
      </c>
      <c r="G360">
        <v>137.19999999999999</v>
      </c>
      <c r="H360">
        <v>118.4</v>
      </c>
      <c r="I360">
        <v>139.9</v>
      </c>
      <c r="J360">
        <v>123.4</v>
      </c>
      <c r="K360">
        <v>140.9</v>
      </c>
      <c r="L360">
        <v>118.5</v>
      </c>
      <c r="M360">
        <v>136.5</v>
      </c>
      <c r="N360">
        <v>127.4</v>
      </c>
      <c r="O360">
        <v>144.19999999999999</v>
      </c>
      <c r="P360">
        <v>133.5</v>
      </c>
      <c r="Q360">
        <v>131.69999999999999</v>
      </c>
      <c r="R360">
        <v>129.80000000000001</v>
      </c>
      <c r="S360">
        <v>130.4</v>
      </c>
      <c r="T360">
        <v>128.1</v>
      </c>
      <c r="U360">
        <v>116.6</v>
      </c>
      <c r="V360">
        <v>125.1</v>
      </c>
      <c r="W360">
        <v>134.5</v>
      </c>
      <c r="X360">
        <v>123.1</v>
      </c>
      <c r="Y360">
        <v>125.1</v>
      </c>
      <c r="Z360">
        <v>131.1</v>
      </c>
      <c r="AA360" s="1">
        <f>SUM(Table15[[#This Row],[Cereals and products]:[Food and beverages]])/13</f>
        <v>132.1846153846154</v>
      </c>
      <c r="AB360" s="1">
        <f>SUM(Table15[[#This Row],[Fuel and light]])</f>
        <v>129.80000000000001</v>
      </c>
      <c r="AC360" s="1">
        <f>SUM(Table15[[#This Row],[Transport and communication]])</f>
        <v>116.6</v>
      </c>
      <c r="AD360" s="1">
        <f>SUM(Table15[[#This Row],[Housing]],Table15[[#This Row],[Household goods and services]])/2</f>
        <v>131.05000000000001</v>
      </c>
      <c r="AE360" s="1">
        <f>SUM(Table15[[#This Row],[Health]])</f>
        <v>128.1</v>
      </c>
      <c r="AF360" s="1">
        <f>SUM(Table15[[#This Row],[Recreation and amusement]],Table15[[#This Row],[Education]])/2</f>
        <v>129.80000000000001</v>
      </c>
      <c r="AG360" s="1">
        <f>SUM(Table15[[#This Row],[Miscellaneous]],Table15[[#This Row],[Personal care and effects]])/2</f>
        <v>124.1</v>
      </c>
    </row>
    <row r="361" spans="1:33" x14ac:dyDescent="0.3">
      <c r="A361" t="s">
        <v>33</v>
      </c>
      <c r="B361">
        <v>2017</v>
      </c>
      <c r="C361" t="s">
        <v>48</v>
      </c>
      <c r="D361">
        <v>133.19999999999999</v>
      </c>
      <c r="E361">
        <v>138.69999999999999</v>
      </c>
      <c r="F361">
        <v>127.1</v>
      </c>
      <c r="G361">
        <v>137.69999999999999</v>
      </c>
      <c r="H361">
        <v>121.3</v>
      </c>
      <c r="I361">
        <v>141.80000000000001</v>
      </c>
      <c r="J361">
        <v>121.5</v>
      </c>
      <c r="K361">
        <v>144.5</v>
      </c>
      <c r="L361">
        <v>117.4</v>
      </c>
      <c r="M361">
        <v>134.1</v>
      </c>
      <c r="N361">
        <v>130</v>
      </c>
      <c r="O361">
        <v>145.5</v>
      </c>
      <c r="P361">
        <v>133.5</v>
      </c>
      <c r="Q361">
        <f>AVERAGE(Q359:Q360)</f>
        <v>131.69999999999999</v>
      </c>
      <c r="R361">
        <v>135</v>
      </c>
      <c r="S361">
        <v>134.30000000000001</v>
      </c>
      <c r="T361">
        <v>131</v>
      </c>
      <c r="U361">
        <v>119.2</v>
      </c>
      <c r="V361">
        <v>128.30000000000001</v>
      </c>
      <c r="W361">
        <v>135.69999999999999</v>
      </c>
      <c r="X361">
        <v>123.7</v>
      </c>
      <c r="Y361">
        <v>127.5</v>
      </c>
      <c r="Z361">
        <v>132.9</v>
      </c>
      <c r="AA361" s="1">
        <f>SUM(Table15[[#This Row],[Cereals and products]:[Food and beverages]])/13</f>
        <v>132.7923076923077</v>
      </c>
      <c r="AB361" s="1">
        <f>SUM(Table15[[#This Row],[Fuel and light]])</f>
        <v>135</v>
      </c>
      <c r="AC361" s="1">
        <f>SUM(Table15[[#This Row],[Transport and communication]])</f>
        <v>119.2</v>
      </c>
      <c r="AD361" s="1">
        <f>SUM(Table15[[#This Row],[Housing]],Table15[[#This Row],[Household goods and services]])/2</f>
        <v>133</v>
      </c>
      <c r="AE361" s="1">
        <f>SUM(Table15[[#This Row],[Health]])</f>
        <v>131</v>
      </c>
      <c r="AF361" s="1">
        <f>SUM(Table15[[#This Row],[Recreation and amusement]],Table15[[#This Row],[Education]])/2</f>
        <v>132</v>
      </c>
      <c r="AG361" s="1">
        <f>SUM(Table15[[#This Row],[Miscellaneous]],Table15[[#This Row],[Personal care and effects]])/2</f>
        <v>125.6</v>
      </c>
    </row>
    <row r="362" spans="1:33" x14ac:dyDescent="0.3">
      <c r="A362" t="s">
        <v>36</v>
      </c>
      <c r="B362">
        <v>2016</v>
      </c>
      <c r="C362" t="s">
        <v>48</v>
      </c>
      <c r="D362">
        <v>124.9</v>
      </c>
      <c r="E362">
        <v>139.30000000000001</v>
      </c>
      <c r="F362">
        <v>119.9</v>
      </c>
      <c r="G362">
        <v>130.19999999999999</v>
      </c>
      <c r="H362">
        <v>108.9</v>
      </c>
      <c r="I362">
        <v>131.1</v>
      </c>
      <c r="J362">
        <v>136.80000000000001</v>
      </c>
      <c r="K362">
        <v>176.9</v>
      </c>
      <c r="L362">
        <v>109.1</v>
      </c>
      <c r="M362">
        <v>140.4</v>
      </c>
      <c r="N362">
        <v>121.1</v>
      </c>
      <c r="O362">
        <v>135.9</v>
      </c>
      <c r="P362">
        <v>131.80000000000001</v>
      </c>
      <c r="Q362">
        <v>125.6</v>
      </c>
      <c r="R362">
        <v>114.6</v>
      </c>
      <c r="S362">
        <v>122.8</v>
      </c>
      <c r="T362">
        <v>120</v>
      </c>
      <c r="U362">
        <v>110</v>
      </c>
      <c r="V362">
        <v>119.5</v>
      </c>
      <c r="W362">
        <v>127.6</v>
      </c>
      <c r="X362">
        <v>117.6</v>
      </c>
      <c r="Y362">
        <v>118.2</v>
      </c>
      <c r="Z362">
        <v>125.3</v>
      </c>
      <c r="AA362" s="1">
        <f>SUM(Table15[[#This Row],[Cereals and products]:[Food and beverages]])/13</f>
        <v>131.25384615384615</v>
      </c>
      <c r="AB362" s="1">
        <f>SUM(Table15[[#This Row],[Fuel and light]])</f>
        <v>114.6</v>
      </c>
      <c r="AC362" s="1">
        <f>SUM(Table15[[#This Row],[Transport and communication]])</f>
        <v>110</v>
      </c>
      <c r="AD362" s="1">
        <f>SUM(Table15[[#This Row],[Housing]],Table15[[#This Row],[Household goods and services]])/2</f>
        <v>124.19999999999999</v>
      </c>
      <c r="AE362" s="1">
        <f>SUM(Table15[[#This Row],[Health]])</f>
        <v>120</v>
      </c>
      <c r="AF362" s="1">
        <f>SUM(Table15[[#This Row],[Recreation and amusement]],Table15[[#This Row],[Education]])/2</f>
        <v>123.55</v>
      </c>
      <c r="AG362" s="1">
        <f>SUM(Table15[[#This Row],[Miscellaneous]],Table15[[#This Row],[Personal care and effects]])/2</f>
        <v>117.9</v>
      </c>
    </row>
    <row r="363" spans="1:33" x14ac:dyDescent="0.3">
      <c r="A363" t="s">
        <v>35</v>
      </c>
      <c r="B363">
        <v>2016</v>
      </c>
      <c r="C363" t="s">
        <v>48</v>
      </c>
      <c r="D363">
        <v>126.6</v>
      </c>
      <c r="E363">
        <v>136.80000000000001</v>
      </c>
      <c r="F363">
        <v>122</v>
      </c>
      <c r="G363">
        <v>130.9</v>
      </c>
      <c r="H363">
        <v>114.8</v>
      </c>
      <c r="I363">
        <v>134.80000000000001</v>
      </c>
      <c r="J363">
        <v>135</v>
      </c>
      <c r="K363">
        <v>167.5</v>
      </c>
      <c r="L363">
        <v>106.4</v>
      </c>
      <c r="M363">
        <v>134.4</v>
      </c>
      <c r="N363">
        <v>123.6</v>
      </c>
      <c r="O363">
        <v>136.69999999999999</v>
      </c>
      <c r="P363">
        <v>131.80000000000001</v>
      </c>
      <c r="Q363">
        <v>125.6</v>
      </c>
      <c r="R363">
        <v>122.3</v>
      </c>
      <c r="S363">
        <v>125.5</v>
      </c>
      <c r="T363">
        <v>123.2</v>
      </c>
      <c r="U363">
        <v>112.1</v>
      </c>
      <c r="V363">
        <v>121.1</v>
      </c>
      <c r="W363">
        <v>127.7</v>
      </c>
      <c r="X363">
        <v>118.1</v>
      </c>
      <c r="Y363">
        <v>120</v>
      </c>
      <c r="Z363">
        <v>127.3</v>
      </c>
      <c r="AA363" s="1">
        <f>SUM(Table15[[#This Row],[Cereals and products]:[Food and beverages]])/13</f>
        <v>130.86923076923077</v>
      </c>
      <c r="AB363" s="1">
        <f>SUM(Table15[[#This Row],[Fuel and light]])</f>
        <v>122.3</v>
      </c>
      <c r="AC363" s="1">
        <f>SUM(Table15[[#This Row],[Transport and communication]])</f>
        <v>112.1</v>
      </c>
      <c r="AD363" s="1">
        <f>SUM(Table15[[#This Row],[Housing]],Table15[[#This Row],[Household goods and services]])/2</f>
        <v>125.55</v>
      </c>
      <c r="AE363" s="1">
        <f>SUM(Table15[[#This Row],[Health]])</f>
        <v>123.2</v>
      </c>
      <c r="AF363" s="1">
        <f>SUM(Table15[[#This Row],[Recreation and amusement]],Table15[[#This Row],[Education]])/2</f>
        <v>124.4</v>
      </c>
      <c r="AG363" s="1">
        <f>SUM(Table15[[#This Row],[Miscellaneous]],Table15[[#This Row],[Personal care and effects]])/2</f>
        <v>119.05</v>
      </c>
    </row>
    <row r="364" spans="1:33" x14ac:dyDescent="0.3">
      <c r="A364" t="s">
        <v>33</v>
      </c>
      <c r="B364">
        <v>2016</v>
      </c>
      <c r="C364" t="s">
        <v>48</v>
      </c>
      <c r="D364">
        <v>127.4</v>
      </c>
      <c r="E364">
        <v>135.4</v>
      </c>
      <c r="F364">
        <v>123.4</v>
      </c>
      <c r="G364">
        <v>131.30000000000001</v>
      </c>
      <c r="H364">
        <v>118.2</v>
      </c>
      <c r="I364">
        <v>138.1</v>
      </c>
      <c r="J364">
        <v>134.1</v>
      </c>
      <c r="K364">
        <v>162.69999999999999</v>
      </c>
      <c r="L364">
        <v>105</v>
      </c>
      <c r="M364">
        <v>131.4</v>
      </c>
      <c r="N364">
        <v>125.4</v>
      </c>
      <c r="O364">
        <v>137.4</v>
      </c>
      <c r="P364">
        <v>131.80000000000001</v>
      </c>
      <c r="Q364">
        <f>AVERAGE(Q362:Q363)</f>
        <v>125.6</v>
      </c>
      <c r="R364">
        <v>127</v>
      </c>
      <c r="S364">
        <v>128</v>
      </c>
      <c r="T364">
        <v>125.2</v>
      </c>
      <c r="U364">
        <v>114.4</v>
      </c>
      <c r="V364">
        <v>123.2</v>
      </c>
      <c r="W364">
        <v>127.9</v>
      </c>
      <c r="X364">
        <v>118.4</v>
      </c>
      <c r="Y364">
        <v>121.7</v>
      </c>
      <c r="Z364">
        <v>129</v>
      </c>
      <c r="AA364" s="1">
        <f>SUM(Table15[[#This Row],[Cereals and products]:[Food and beverages]])/13</f>
        <v>130.89230769230772</v>
      </c>
      <c r="AB364" s="1">
        <f>SUM(Table15[[#This Row],[Fuel and light]])</f>
        <v>127</v>
      </c>
      <c r="AC364" s="1">
        <f>SUM(Table15[[#This Row],[Transport and communication]])</f>
        <v>114.4</v>
      </c>
      <c r="AD364" s="1">
        <f>SUM(Table15[[#This Row],[Housing]],Table15[[#This Row],[Household goods and services]])/2</f>
        <v>126.8</v>
      </c>
      <c r="AE364" s="1">
        <f>SUM(Table15[[#This Row],[Health]])</f>
        <v>125.2</v>
      </c>
      <c r="AF364" s="1">
        <f>SUM(Table15[[#This Row],[Recreation and amusement]],Table15[[#This Row],[Education]])/2</f>
        <v>125.55000000000001</v>
      </c>
      <c r="AG364" s="1">
        <f>SUM(Table15[[#This Row],[Miscellaneous]],Table15[[#This Row],[Personal care and effects]])/2</f>
        <v>120.05000000000001</v>
      </c>
    </row>
    <row r="365" spans="1:33" x14ac:dyDescent="0.3">
      <c r="A365" t="s">
        <v>33</v>
      </c>
      <c r="B365">
        <v>2015</v>
      </c>
      <c r="C365" t="s">
        <v>48</v>
      </c>
      <c r="D365">
        <v>123.3</v>
      </c>
      <c r="E365">
        <v>125.5</v>
      </c>
      <c r="F365">
        <v>117.2</v>
      </c>
      <c r="G365">
        <v>126.8</v>
      </c>
      <c r="H365">
        <v>111.9</v>
      </c>
      <c r="I365">
        <v>134.19999999999999</v>
      </c>
      <c r="J365">
        <v>127.5</v>
      </c>
      <c r="K365">
        <v>121.5</v>
      </c>
      <c r="L365">
        <v>97.8</v>
      </c>
      <c r="M365">
        <v>119.8</v>
      </c>
      <c r="N365">
        <v>119.4</v>
      </c>
      <c r="O365">
        <v>128.69999999999999</v>
      </c>
      <c r="P365">
        <v>123.6</v>
      </c>
      <c r="Q365">
        <f>AVERAGE(Q366:Q367)</f>
        <v>119.2</v>
      </c>
      <c r="R365">
        <v>121.2</v>
      </c>
      <c r="S365">
        <v>120.9</v>
      </c>
      <c r="T365">
        <v>118.6</v>
      </c>
      <c r="U365">
        <v>111.9</v>
      </c>
      <c r="V365">
        <v>116.2</v>
      </c>
      <c r="W365">
        <v>119.9</v>
      </c>
      <c r="X365">
        <v>111.6</v>
      </c>
      <c r="Y365">
        <v>116</v>
      </c>
      <c r="Z365">
        <v>121.5</v>
      </c>
      <c r="AA365" s="1">
        <f>SUM(Table15[[#This Row],[Cereals and products]:[Food and beverages]])/13</f>
        <v>121.32307692307693</v>
      </c>
      <c r="AB365" s="1">
        <f>SUM(Table15[[#This Row],[Fuel and light]])</f>
        <v>121.2</v>
      </c>
      <c r="AC365" s="1">
        <f>SUM(Table15[[#This Row],[Transport and communication]])</f>
        <v>111.9</v>
      </c>
      <c r="AD365" s="1">
        <f>SUM(Table15[[#This Row],[Housing]],Table15[[#This Row],[Household goods and services]])/2</f>
        <v>120.05000000000001</v>
      </c>
      <c r="AE365" s="1">
        <f>SUM(Table15[[#This Row],[Health]])</f>
        <v>118.6</v>
      </c>
      <c r="AF365" s="1">
        <f>SUM(Table15[[#This Row],[Recreation and amusement]],Table15[[#This Row],[Education]])/2</f>
        <v>118.05000000000001</v>
      </c>
      <c r="AG365" s="1">
        <f>SUM(Table15[[#This Row],[Miscellaneous]],Table15[[#This Row],[Personal care and effects]])/2</f>
        <v>113.8</v>
      </c>
    </row>
    <row r="366" spans="1:33" x14ac:dyDescent="0.3">
      <c r="A366" t="s">
        <v>35</v>
      </c>
      <c r="B366">
        <v>2015</v>
      </c>
      <c r="C366" t="s">
        <v>48</v>
      </c>
      <c r="D366">
        <v>123.5</v>
      </c>
      <c r="E366">
        <v>126.4</v>
      </c>
      <c r="F366">
        <v>114.4</v>
      </c>
      <c r="G366">
        <v>126.6</v>
      </c>
      <c r="H366">
        <v>109.2</v>
      </c>
      <c r="I366">
        <v>132.5</v>
      </c>
      <c r="J366">
        <v>128.6</v>
      </c>
      <c r="K366">
        <v>124.8</v>
      </c>
      <c r="L366">
        <v>95.7</v>
      </c>
      <c r="M366">
        <v>122.4</v>
      </c>
      <c r="N366">
        <v>118.5</v>
      </c>
      <c r="O366">
        <v>129.1</v>
      </c>
      <c r="P366">
        <v>124</v>
      </c>
      <c r="Q366">
        <v>119.2</v>
      </c>
      <c r="R366">
        <v>118.7</v>
      </c>
      <c r="S366">
        <v>119.7</v>
      </c>
      <c r="T366">
        <v>117.1</v>
      </c>
      <c r="U366">
        <v>110.1</v>
      </c>
      <c r="V366">
        <v>115.9</v>
      </c>
      <c r="W366">
        <v>121</v>
      </c>
      <c r="X366">
        <v>111.7</v>
      </c>
      <c r="Y366">
        <v>115.1</v>
      </c>
      <c r="Z366">
        <v>120.7</v>
      </c>
      <c r="AA366" s="1">
        <f>SUM(Table15[[#This Row],[Cereals and products]:[Food and beverages]])/13</f>
        <v>121.20769230769231</v>
      </c>
      <c r="AB366" s="1">
        <f>SUM(Table15[[#This Row],[Fuel and light]])</f>
        <v>118.7</v>
      </c>
      <c r="AC366" s="1">
        <f>SUM(Table15[[#This Row],[Transport and communication]])</f>
        <v>110.1</v>
      </c>
      <c r="AD366" s="1">
        <f>SUM(Table15[[#This Row],[Housing]],Table15[[#This Row],[Household goods and services]])/2</f>
        <v>119.45</v>
      </c>
      <c r="AE366" s="1">
        <f>SUM(Table15[[#This Row],[Health]])</f>
        <v>117.1</v>
      </c>
      <c r="AF366" s="1">
        <f>SUM(Table15[[#This Row],[Recreation and amusement]],Table15[[#This Row],[Education]])/2</f>
        <v>118.45</v>
      </c>
      <c r="AG366" s="1">
        <f>SUM(Table15[[#This Row],[Miscellaneous]],Table15[[#This Row],[Personal care and effects]])/2</f>
        <v>113.4</v>
      </c>
    </row>
    <row r="367" spans="1:33" x14ac:dyDescent="0.3">
      <c r="A367" t="s">
        <v>36</v>
      </c>
      <c r="B367">
        <v>2015</v>
      </c>
      <c r="C367" t="s">
        <v>48</v>
      </c>
      <c r="D367">
        <v>123.8</v>
      </c>
      <c r="E367">
        <v>128.19999999999999</v>
      </c>
      <c r="F367">
        <v>110</v>
      </c>
      <c r="G367">
        <v>126.3</v>
      </c>
      <c r="H367">
        <v>104.5</v>
      </c>
      <c r="I367">
        <v>130.6</v>
      </c>
      <c r="J367">
        <v>130.80000000000001</v>
      </c>
      <c r="K367">
        <v>131.30000000000001</v>
      </c>
      <c r="L367">
        <v>91.6</v>
      </c>
      <c r="M367">
        <v>127.7</v>
      </c>
      <c r="N367">
        <v>117.2</v>
      </c>
      <c r="O367">
        <v>129.5</v>
      </c>
      <c r="P367">
        <v>124.6</v>
      </c>
      <c r="Q367">
        <v>119.2</v>
      </c>
      <c r="R367">
        <v>114.7</v>
      </c>
      <c r="S367">
        <v>118.4</v>
      </c>
      <c r="T367">
        <v>114.6</v>
      </c>
      <c r="U367">
        <v>108.4</v>
      </c>
      <c r="V367">
        <v>115.6</v>
      </c>
      <c r="W367">
        <v>121.7</v>
      </c>
      <c r="X367">
        <v>111.8</v>
      </c>
      <c r="Y367">
        <v>114.2</v>
      </c>
      <c r="Z367">
        <v>119.7</v>
      </c>
      <c r="AA367" s="1">
        <f>SUM(Table15[[#This Row],[Cereals and products]:[Food and beverages]])/13</f>
        <v>121.23846153846154</v>
      </c>
      <c r="AB367" s="1">
        <f>SUM(Table15[[#This Row],[Fuel and light]])</f>
        <v>114.7</v>
      </c>
      <c r="AC367" s="1">
        <f>SUM(Table15[[#This Row],[Transport and communication]])</f>
        <v>108.4</v>
      </c>
      <c r="AD367" s="1">
        <f>SUM(Table15[[#This Row],[Housing]],Table15[[#This Row],[Household goods and services]])/2</f>
        <v>118.80000000000001</v>
      </c>
      <c r="AE367" s="1">
        <f>SUM(Table15[[#This Row],[Health]])</f>
        <v>114.6</v>
      </c>
      <c r="AF367" s="1">
        <f>SUM(Table15[[#This Row],[Recreation and amusement]],Table15[[#This Row],[Education]])/2</f>
        <v>118.65</v>
      </c>
      <c r="AG367" s="1">
        <f>SUM(Table15[[#This Row],[Miscellaneous]],Table15[[#This Row],[Personal care and effects]])/2</f>
        <v>113</v>
      </c>
    </row>
    <row r="368" spans="1:33" x14ac:dyDescent="0.3">
      <c r="A368" t="s">
        <v>33</v>
      </c>
      <c r="B368">
        <v>2014</v>
      </c>
      <c r="C368" t="s">
        <v>48</v>
      </c>
      <c r="D368">
        <v>120.2</v>
      </c>
      <c r="E368">
        <v>118.9</v>
      </c>
      <c r="F368">
        <v>118.1</v>
      </c>
      <c r="G368">
        <v>117</v>
      </c>
      <c r="H368">
        <v>109.7</v>
      </c>
      <c r="I368">
        <v>125.5</v>
      </c>
      <c r="J368">
        <v>120.5</v>
      </c>
      <c r="K368">
        <v>111</v>
      </c>
      <c r="L368">
        <v>102.6</v>
      </c>
      <c r="M368">
        <v>111.2</v>
      </c>
      <c r="N368">
        <v>113.5</v>
      </c>
      <c r="O368">
        <v>118.7</v>
      </c>
      <c r="P368">
        <v>117.2</v>
      </c>
      <c r="Q368">
        <f>AVERAGE(Q369:Q370)</f>
        <v>113.9</v>
      </c>
      <c r="R368">
        <v>113.4</v>
      </c>
      <c r="S368">
        <v>113.7</v>
      </c>
      <c r="T368">
        <v>111.8</v>
      </c>
      <c r="U368">
        <v>111.2</v>
      </c>
      <c r="V368">
        <v>110.5</v>
      </c>
      <c r="W368">
        <v>113</v>
      </c>
      <c r="X368">
        <v>108.9</v>
      </c>
      <c r="Y368">
        <v>111.5</v>
      </c>
      <c r="Z368">
        <v>115.4</v>
      </c>
      <c r="AA368" s="1">
        <f>SUM(Table15[[#This Row],[Cereals and products]:[Food and beverages]])/13</f>
        <v>115.70000000000002</v>
      </c>
      <c r="AB368" s="1">
        <f>SUM(Table15[[#This Row],[Fuel and light]])</f>
        <v>113.4</v>
      </c>
      <c r="AC368" s="1">
        <f>SUM(Table15[[#This Row],[Transport and communication]])</f>
        <v>111.2</v>
      </c>
      <c r="AD368" s="1">
        <f>SUM(Table15[[#This Row],[Housing]],Table15[[#This Row],[Household goods and services]])/2</f>
        <v>113.80000000000001</v>
      </c>
      <c r="AE368" s="1">
        <f>SUM(Table15[[#This Row],[Health]])</f>
        <v>111.8</v>
      </c>
      <c r="AF368" s="1">
        <f>SUM(Table15[[#This Row],[Recreation and amusement]],Table15[[#This Row],[Education]])/2</f>
        <v>111.75</v>
      </c>
      <c r="AG368" s="1">
        <f>SUM(Table15[[#This Row],[Miscellaneous]],Table15[[#This Row],[Personal care and effects]])/2</f>
        <v>110.2</v>
      </c>
    </row>
    <row r="369" spans="1:33" x14ac:dyDescent="0.3">
      <c r="A369" t="s">
        <v>35</v>
      </c>
      <c r="B369">
        <v>2014</v>
      </c>
      <c r="C369" t="s">
        <v>48</v>
      </c>
      <c r="D369">
        <v>120.9</v>
      </c>
      <c r="E369">
        <v>119.9</v>
      </c>
      <c r="F369">
        <v>116.2</v>
      </c>
      <c r="G369">
        <v>117</v>
      </c>
      <c r="H369">
        <v>107.3</v>
      </c>
      <c r="I369">
        <v>126.1</v>
      </c>
      <c r="J369">
        <v>120.7</v>
      </c>
      <c r="K369">
        <v>111</v>
      </c>
      <c r="L369">
        <v>101.8</v>
      </c>
      <c r="M369">
        <v>112.6</v>
      </c>
      <c r="N369">
        <v>113.2</v>
      </c>
      <c r="O369">
        <v>119.8</v>
      </c>
      <c r="P369">
        <v>117.6</v>
      </c>
      <c r="Q369">
        <v>113.9</v>
      </c>
      <c r="R369">
        <v>112.5</v>
      </c>
      <c r="S369">
        <v>113.6</v>
      </c>
      <c r="T369">
        <v>111.5</v>
      </c>
      <c r="U369">
        <v>111.2</v>
      </c>
      <c r="V369">
        <v>110.9</v>
      </c>
      <c r="W369">
        <v>112.7</v>
      </c>
      <c r="X369">
        <v>109</v>
      </c>
      <c r="Y369">
        <v>111.5</v>
      </c>
      <c r="Z369">
        <v>115.1</v>
      </c>
      <c r="AA369" s="1">
        <f>SUM(Table15[[#This Row],[Cereals and products]:[Food and beverages]])/13</f>
        <v>115.69999999999999</v>
      </c>
      <c r="AB369" s="1">
        <f>SUM(Table15[[#This Row],[Fuel and light]])</f>
        <v>112.5</v>
      </c>
      <c r="AC369" s="1">
        <f>SUM(Table15[[#This Row],[Transport and communication]])</f>
        <v>111.2</v>
      </c>
      <c r="AD369" s="1">
        <f>SUM(Table15[[#This Row],[Housing]],Table15[[#This Row],[Household goods and services]])/2</f>
        <v>113.75</v>
      </c>
      <c r="AE369" s="1">
        <f>SUM(Table15[[#This Row],[Health]])</f>
        <v>111.5</v>
      </c>
      <c r="AF369" s="1">
        <f>SUM(Table15[[#This Row],[Recreation and amusement]],Table15[[#This Row],[Education]])/2</f>
        <v>111.80000000000001</v>
      </c>
      <c r="AG369" s="1">
        <f>SUM(Table15[[#This Row],[Miscellaneous]],Table15[[#This Row],[Personal care and effects]])/2</f>
        <v>110.25</v>
      </c>
    </row>
    <row r="370" spans="1:33" x14ac:dyDescent="0.3">
      <c r="A370" t="s">
        <v>36</v>
      </c>
      <c r="B370">
        <v>2014</v>
      </c>
      <c r="C370" t="s">
        <v>48</v>
      </c>
      <c r="D370">
        <v>122.5</v>
      </c>
      <c r="E370">
        <v>121.7</v>
      </c>
      <c r="F370">
        <v>113.3</v>
      </c>
      <c r="G370">
        <v>117</v>
      </c>
      <c r="H370">
        <v>103.1</v>
      </c>
      <c r="I370">
        <v>126.7</v>
      </c>
      <c r="J370">
        <v>121.2</v>
      </c>
      <c r="K370">
        <v>111</v>
      </c>
      <c r="L370">
        <v>100.3</v>
      </c>
      <c r="M370">
        <v>115.3</v>
      </c>
      <c r="N370">
        <v>112.7</v>
      </c>
      <c r="O370">
        <v>121</v>
      </c>
      <c r="P370">
        <v>118.2</v>
      </c>
      <c r="Q370">
        <v>113.9</v>
      </c>
      <c r="R370">
        <v>110.9</v>
      </c>
      <c r="S370">
        <v>113.4</v>
      </c>
      <c r="T370">
        <v>111</v>
      </c>
      <c r="U370">
        <v>111.2</v>
      </c>
      <c r="V370">
        <v>111.2</v>
      </c>
      <c r="W370">
        <v>112.5</v>
      </c>
      <c r="X370">
        <v>109.1</v>
      </c>
      <c r="Y370">
        <v>111.4</v>
      </c>
      <c r="Z370">
        <v>114.7</v>
      </c>
      <c r="AA370" s="1">
        <f>SUM(Table15[[#This Row],[Cereals and products]:[Food and beverages]])/13</f>
        <v>115.69230769230771</v>
      </c>
      <c r="AB370" s="1">
        <f>SUM(Table15[[#This Row],[Fuel and light]])</f>
        <v>110.9</v>
      </c>
      <c r="AC370" s="1">
        <f>SUM(Table15[[#This Row],[Transport and communication]])</f>
        <v>111.2</v>
      </c>
      <c r="AD370" s="1">
        <f>SUM(Table15[[#This Row],[Housing]],Table15[[#This Row],[Household goods and services]])/2</f>
        <v>113.65</v>
      </c>
      <c r="AE370" s="1">
        <f>SUM(Table15[[#This Row],[Health]])</f>
        <v>111</v>
      </c>
      <c r="AF370" s="1">
        <f>SUM(Table15[[#This Row],[Recreation and amusement]],Table15[[#This Row],[Education]])/2</f>
        <v>111.85</v>
      </c>
      <c r="AG370" s="1">
        <f>SUM(Table15[[#This Row],[Miscellaneous]],Table15[[#This Row],[Personal care and effects]])/2</f>
        <v>110.25</v>
      </c>
    </row>
    <row r="371" spans="1:33" x14ac:dyDescent="0.3">
      <c r="A371" t="s">
        <v>33</v>
      </c>
      <c r="B371">
        <v>2013</v>
      </c>
      <c r="C371" t="s">
        <v>48</v>
      </c>
      <c r="D371">
        <v>110.2</v>
      </c>
      <c r="E371">
        <v>109.5</v>
      </c>
      <c r="F371">
        <v>106.9</v>
      </c>
      <c r="G371">
        <v>106.3</v>
      </c>
      <c r="H371">
        <v>105.7</v>
      </c>
      <c r="I371">
        <v>108.3</v>
      </c>
      <c r="J371">
        <v>103.4</v>
      </c>
      <c r="K371">
        <v>105.7</v>
      </c>
      <c r="L371">
        <v>104.2</v>
      </c>
      <c r="M371">
        <v>103.2</v>
      </c>
      <c r="N371">
        <v>106.5</v>
      </c>
      <c r="O371">
        <v>108.8</v>
      </c>
      <c r="P371">
        <v>107.1</v>
      </c>
      <c r="Q371">
        <f>AVERAGE(Q372:Q373)</f>
        <v>100.5</v>
      </c>
      <c r="R371">
        <v>106.5</v>
      </c>
      <c r="S371">
        <v>106.1</v>
      </c>
      <c r="T371">
        <v>105.1</v>
      </c>
      <c r="U371">
        <v>104.4</v>
      </c>
      <c r="V371">
        <v>104.5</v>
      </c>
      <c r="W371">
        <v>104.8</v>
      </c>
      <c r="X371">
        <v>102.7</v>
      </c>
      <c r="Y371">
        <v>104.6</v>
      </c>
      <c r="Z371">
        <v>106.4</v>
      </c>
      <c r="AA371" s="1">
        <f>SUM(Table15[[#This Row],[Cereals and products]:[Food and beverages]])/13</f>
        <v>106.6</v>
      </c>
      <c r="AB371" s="1">
        <f>SUM(Table15[[#This Row],[Fuel and light]])</f>
        <v>106.5</v>
      </c>
      <c r="AC371" s="1">
        <f>SUM(Table15[[#This Row],[Transport and communication]])</f>
        <v>104.4</v>
      </c>
      <c r="AD371" s="1">
        <f>SUM(Table15[[#This Row],[Housing]],Table15[[#This Row],[Household goods and services]])/2</f>
        <v>103.3</v>
      </c>
      <c r="AE371" s="1">
        <f>SUM(Table15[[#This Row],[Health]])</f>
        <v>105.1</v>
      </c>
      <c r="AF371" s="1">
        <f>SUM(Table15[[#This Row],[Recreation and amusement]],Table15[[#This Row],[Education]])/2</f>
        <v>104.65</v>
      </c>
      <c r="AG371" s="1">
        <f>SUM(Table15[[#This Row],[Miscellaneous]],Table15[[#This Row],[Personal care and effects]])/2</f>
        <v>103.65</v>
      </c>
    </row>
    <row r="372" spans="1:33" x14ac:dyDescent="0.3">
      <c r="A372" t="s">
        <v>35</v>
      </c>
      <c r="B372">
        <v>2013</v>
      </c>
      <c r="C372" t="s">
        <v>48</v>
      </c>
      <c r="D372">
        <v>111.6</v>
      </c>
      <c r="E372">
        <v>110.9</v>
      </c>
      <c r="F372">
        <v>106.6</v>
      </c>
      <c r="G372">
        <v>105.7</v>
      </c>
      <c r="H372">
        <v>104.4</v>
      </c>
      <c r="I372">
        <v>108.9</v>
      </c>
      <c r="J372">
        <v>105.5</v>
      </c>
      <c r="K372">
        <v>105.3</v>
      </c>
      <c r="L372">
        <v>103.5</v>
      </c>
      <c r="M372">
        <v>103.3</v>
      </c>
      <c r="N372">
        <v>107.2</v>
      </c>
      <c r="O372">
        <v>109.6</v>
      </c>
      <c r="P372">
        <v>107.7</v>
      </c>
      <c r="Q372">
        <v>100.5</v>
      </c>
      <c r="R372">
        <v>106.5</v>
      </c>
      <c r="S372">
        <v>106.3</v>
      </c>
      <c r="T372">
        <v>105.3</v>
      </c>
      <c r="U372">
        <v>104.7</v>
      </c>
      <c r="V372">
        <v>104.2</v>
      </c>
      <c r="W372">
        <v>105</v>
      </c>
      <c r="X372">
        <v>102.9</v>
      </c>
      <c r="Y372">
        <v>104.8</v>
      </c>
      <c r="Z372">
        <v>106.1</v>
      </c>
      <c r="AA372" s="1">
        <f>SUM(Table15[[#This Row],[Cereals and products]:[Food and beverages]])/13</f>
        <v>106.93846153846154</v>
      </c>
      <c r="AB372" s="1">
        <f>SUM(Table15[[#This Row],[Fuel and light]])</f>
        <v>106.5</v>
      </c>
      <c r="AC372" s="1">
        <f>SUM(Table15[[#This Row],[Transport and communication]])</f>
        <v>104.7</v>
      </c>
      <c r="AD372" s="1">
        <f>SUM(Table15[[#This Row],[Housing]],Table15[[#This Row],[Household goods and services]])/2</f>
        <v>103.4</v>
      </c>
      <c r="AE372" s="1">
        <f>SUM(Table15[[#This Row],[Health]])</f>
        <v>105.3</v>
      </c>
      <c r="AF372" s="1">
        <f>SUM(Table15[[#This Row],[Recreation and amusement]],Table15[[#This Row],[Education]])/2</f>
        <v>104.6</v>
      </c>
      <c r="AG372" s="1">
        <f>SUM(Table15[[#This Row],[Miscellaneous]],Table15[[#This Row],[Personal care and effects]])/2</f>
        <v>103.85</v>
      </c>
    </row>
    <row r="373" spans="1:33" x14ac:dyDescent="0.3">
      <c r="A373" t="s">
        <v>36</v>
      </c>
      <c r="B373">
        <v>2013</v>
      </c>
      <c r="C373" t="s">
        <v>48</v>
      </c>
      <c r="D373">
        <v>114.6</v>
      </c>
      <c r="E373">
        <v>113.4</v>
      </c>
      <c r="F373">
        <v>106</v>
      </c>
      <c r="G373">
        <v>104.7</v>
      </c>
      <c r="H373">
        <v>102.1</v>
      </c>
      <c r="I373">
        <v>109.5</v>
      </c>
      <c r="J373">
        <v>109.7</v>
      </c>
      <c r="K373">
        <v>104.6</v>
      </c>
      <c r="L373">
        <v>102</v>
      </c>
      <c r="M373">
        <v>103.5</v>
      </c>
      <c r="N373">
        <v>108.2</v>
      </c>
      <c r="O373">
        <v>110.6</v>
      </c>
      <c r="P373">
        <v>108.8</v>
      </c>
      <c r="Q373">
        <v>100.5</v>
      </c>
      <c r="R373">
        <v>106.4</v>
      </c>
      <c r="S373">
        <v>106.5</v>
      </c>
      <c r="T373">
        <v>105.7</v>
      </c>
      <c r="U373">
        <v>105</v>
      </c>
      <c r="V373">
        <v>104</v>
      </c>
      <c r="W373">
        <v>105.2</v>
      </c>
      <c r="X373">
        <v>103.2</v>
      </c>
      <c r="Y373">
        <v>105.1</v>
      </c>
      <c r="Z373">
        <v>105.7</v>
      </c>
      <c r="AA373" s="1">
        <f>SUM(Table15[[#This Row],[Cereals and products]:[Food and beverages]])/13</f>
        <v>107.5153846153846</v>
      </c>
      <c r="AB373" s="1">
        <f>SUM(Table15[[#This Row],[Fuel and light]])</f>
        <v>106.4</v>
      </c>
      <c r="AC373" s="1">
        <f>SUM(Table15[[#This Row],[Transport and communication]])</f>
        <v>105</v>
      </c>
      <c r="AD373" s="1">
        <f>SUM(Table15[[#This Row],[Housing]],Table15[[#This Row],[Household goods and services]])/2</f>
        <v>103.5</v>
      </c>
      <c r="AE373" s="1">
        <f>SUM(Table15[[#This Row],[Health]])</f>
        <v>105.7</v>
      </c>
      <c r="AF373" s="1">
        <f>SUM(Table15[[#This Row],[Recreation and amusement]],Table15[[#This Row],[Education]])/2</f>
        <v>104.6</v>
      </c>
      <c r="AG373" s="1">
        <f>SUM(Table15[[#This Row],[Miscellaneous]],Table15[[#This Row],[Personal care and effects]])/2</f>
        <v>104.15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377A-26C7-47D6-B9B0-841D705B65F9}">
  <dimension ref="A1:C26"/>
  <sheetViews>
    <sheetView workbookViewId="0">
      <selection activeCell="D2" sqref="D2"/>
    </sheetView>
  </sheetViews>
  <sheetFormatPr defaultRowHeight="14.4" x14ac:dyDescent="0.3"/>
  <cols>
    <col min="1" max="1" width="16.5546875" customWidth="1"/>
    <col min="2" max="2" width="18.21875" customWidth="1"/>
    <col min="3" max="3" width="21.6640625" customWidth="1"/>
  </cols>
  <sheetData>
    <row r="1" spans="1:3" x14ac:dyDescent="0.3">
      <c r="A1" s="73" t="s">
        <v>95</v>
      </c>
      <c r="B1" s="73"/>
    </row>
    <row r="2" spans="1:3" x14ac:dyDescent="0.3">
      <c r="A2" s="57" t="s">
        <v>96</v>
      </c>
      <c r="B2" s="57" t="s">
        <v>97</v>
      </c>
      <c r="C2" s="16" t="s">
        <v>98</v>
      </c>
    </row>
    <row r="3" spans="1:3" x14ac:dyDescent="0.3">
      <c r="A3" s="58">
        <v>44287</v>
      </c>
      <c r="B3" s="59">
        <v>74207.645156289771</v>
      </c>
    </row>
    <row r="4" spans="1:3" x14ac:dyDescent="0.3">
      <c r="A4" s="58">
        <v>44317</v>
      </c>
      <c r="B4" s="59">
        <v>70046.397374263441</v>
      </c>
      <c r="C4">
        <f>((B4-B3)/B3*100)</f>
        <v>-5.6075728764364747</v>
      </c>
    </row>
    <row r="5" spans="1:3" x14ac:dyDescent="0.3">
      <c r="A5" s="58">
        <v>44348</v>
      </c>
      <c r="B5" s="59">
        <v>71679.348913787879</v>
      </c>
      <c r="C5">
        <f t="shared" ref="C5:C26" si="0">((B5-B4)/B4*100)</f>
        <v>2.3312427201636776</v>
      </c>
    </row>
    <row r="6" spans="1:3" x14ac:dyDescent="0.3">
      <c r="A6" s="58">
        <v>44378</v>
      </c>
      <c r="B6" s="59">
        <v>72860.439470110607</v>
      </c>
      <c r="C6">
        <f t="shared" si="0"/>
        <v>1.6477417474080034</v>
      </c>
    </row>
    <row r="7" spans="1:3" x14ac:dyDescent="0.3">
      <c r="A7" s="58">
        <v>44409</v>
      </c>
      <c r="B7" s="59">
        <v>80983.015512993996</v>
      </c>
      <c r="C7">
        <f t="shared" si="0"/>
        <v>11.148129357928863</v>
      </c>
    </row>
    <row r="8" spans="1:3" x14ac:dyDescent="0.3">
      <c r="A8" s="58">
        <v>44440</v>
      </c>
      <c r="B8" s="59">
        <v>83035.173906576631</v>
      </c>
      <c r="C8">
        <f t="shared" si="0"/>
        <v>2.5340602354494433</v>
      </c>
    </row>
    <row r="9" spans="1:3" x14ac:dyDescent="0.3">
      <c r="A9" s="58">
        <v>44470</v>
      </c>
      <c r="B9" s="59">
        <v>91471.513995553876</v>
      </c>
      <c r="C9">
        <f t="shared" si="0"/>
        <v>10.159959559389883</v>
      </c>
    </row>
    <row r="10" spans="1:3" x14ac:dyDescent="0.3">
      <c r="A10" s="58">
        <v>44501</v>
      </c>
      <c r="B10" s="59">
        <v>95105.451863192153</v>
      </c>
      <c r="C10">
        <f t="shared" si="0"/>
        <v>3.9727536026296777</v>
      </c>
    </row>
    <row r="11" spans="1:3" x14ac:dyDescent="0.3">
      <c r="A11" s="58">
        <v>44531</v>
      </c>
      <c r="B11" s="59">
        <v>100380.52800837092</v>
      </c>
      <c r="C11">
        <f t="shared" si="0"/>
        <v>5.546554946993882</v>
      </c>
    </row>
    <row r="12" spans="1:3" x14ac:dyDescent="0.3">
      <c r="A12" s="58">
        <v>44562</v>
      </c>
      <c r="B12" s="59">
        <v>101828.28887769801</v>
      </c>
      <c r="C12">
        <f t="shared" si="0"/>
        <v>1.4422726180583121</v>
      </c>
    </row>
    <row r="13" spans="1:3" x14ac:dyDescent="0.3">
      <c r="A13" s="58">
        <v>44593</v>
      </c>
      <c r="B13" s="59">
        <v>102317.68803371425</v>
      </c>
      <c r="C13">
        <f t="shared" si="0"/>
        <v>0.48061217703858083</v>
      </c>
    </row>
    <row r="14" spans="1:3" x14ac:dyDescent="0.3">
      <c r="A14" s="58">
        <v>44621</v>
      </c>
      <c r="B14" s="59">
        <v>134181.47733497745</v>
      </c>
      <c r="C14">
        <f t="shared" si="0"/>
        <v>31.142014556431242</v>
      </c>
    </row>
    <row r="15" spans="1:3" x14ac:dyDescent="0.3">
      <c r="A15" s="58">
        <v>44652</v>
      </c>
      <c r="B15" s="59">
        <v>151257.77739211501</v>
      </c>
      <c r="C15">
        <f t="shared" si="0"/>
        <v>12.726272207085199</v>
      </c>
    </row>
    <row r="16" spans="1:3" x14ac:dyDescent="0.3">
      <c r="A16" s="58">
        <v>44682</v>
      </c>
      <c r="B16" s="59">
        <v>137781.52369026651</v>
      </c>
      <c r="C16">
        <f t="shared" si="0"/>
        <v>-8.9094616714571746</v>
      </c>
    </row>
    <row r="17" spans="1:3" x14ac:dyDescent="0.3">
      <c r="A17" s="58">
        <v>44713</v>
      </c>
      <c r="B17" s="59">
        <v>140361.99809642398</v>
      </c>
      <c r="C17">
        <f t="shared" si="0"/>
        <v>1.8728740523717775</v>
      </c>
    </row>
    <row r="18" spans="1:3" x14ac:dyDescent="0.3">
      <c r="A18" s="58">
        <v>44743</v>
      </c>
      <c r="B18" s="59">
        <v>148619.35499624049</v>
      </c>
      <c r="C18">
        <f t="shared" si="0"/>
        <v>5.8829006510323305</v>
      </c>
    </row>
    <row r="19" spans="1:3" x14ac:dyDescent="0.3">
      <c r="A19" s="58">
        <v>44774</v>
      </c>
      <c r="B19" s="59">
        <v>120976.19320076992</v>
      </c>
      <c r="C19">
        <f t="shared" si="0"/>
        <v>-18.599974273989979</v>
      </c>
    </row>
    <row r="20" spans="1:3" x14ac:dyDescent="0.3">
      <c r="A20" s="58">
        <v>44805</v>
      </c>
      <c r="B20" s="59">
        <v>110015.88104199871</v>
      </c>
      <c r="C20">
        <f t="shared" si="0"/>
        <v>-9.059891759514759</v>
      </c>
    </row>
    <row r="21" spans="1:3" x14ac:dyDescent="0.3">
      <c r="A21" s="58">
        <v>44835</v>
      </c>
      <c r="B21" s="59">
        <v>116548.19734168371</v>
      </c>
      <c r="C21">
        <f t="shared" si="0"/>
        <v>5.9376121318260218</v>
      </c>
    </row>
    <row r="22" spans="1:3" x14ac:dyDescent="0.3">
      <c r="A22" s="58">
        <v>44866</v>
      </c>
      <c r="B22" s="59">
        <v>118277.27620134089</v>
      </c>
      <c r="C22">
        <f t="shared" si="0"/>
        <v>1.4835740913161009</v>
      </c>
    </row>
    <row r="23" spans="1:3" x14ac:dyDescent="0.3">
      <c r="A23" s="58">
        <v>44896</v>
      </c>
      <c r="B23" s="59">
        <v>112095.477543425</v>
      </c>
      <c r="C23">
        <f t="shared" si="0"/>
        <v>-5.2265311279173732</v>
      </c>
    </row>
    <row r="24" spans="1:3" x14ac:dyDescent="0.3">
      <c r="A24" s="58">
        <v>44927</v>
      </c>
      <c r="B24" s="59">
        <v>108892.9652336391</v>
      </c>
      <c r="C24">
        <f t="shared" si="0"/>
        <v>-2.8569505032397693</v>
      </c>
    </row>
    <row r="25" spans="1:3" x14ac:dyDescent="0.3">
      <c r="A25" s="58">
        <v>44958</v>
      </c>
      <c r="B25" s="59">
        <v>103743.50619254357</v>
      </c>
      <c r="C25">
        <f t="shared" si="0"/>
        <v>-4.7289180068215853</v>
      </c>
    </row>
    <row r="26" spans="1:3" x14ac:dyDescent="0.3">
      <c r="A26" s="58">
        <v>44986</v>
      </c>
      <c r="B26" s="59">
        <v>107655.66151560735</v>
      </c>
      <c r="C26">
        <f t="shared" si="0"/>
        <v>3.7709881482152574</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D317B-0CB3-4D64-AD97-18EC64A20EC4}">
  <dimension ref="A1:Q373"/>
  <sheetViews>
    <sheetView workbookViewId="0">
      <selection activeCell="P9" sqref="P9"/>
    </sheetView>
  </sheetViews>
  <sheetFormatPr defaultRowHeight="14.4" x14ac:dyDescent="0.3"/>
  <cols>
    <col min="1" max="1" width="11" customWidth="1"/>
    <col min="2" max="2" width="13.109375" customWidth="1"/>
    <col min="3" max="3" width="16.21875" customWidth="1"/>
    <col min="4" max="5" width="12.88671875" customWidth="1"/>
    <col min="6" max="6" width="21.6640625" customWidth="1"/>
    <col min="7" max="7" width="15.5546875" customWidth="1"/>
    <col min="8" max="8" width="18.21875" bestFit="1" customWidth="1"/>
    <col min="9" max="9" width="21" customWidth="1"/>
    <col min="10" max="10" width="26.44140625" customWidth="1"/>
    <col min="11" max="11" width="22.77734375" customWidth="1"/>
    <col min="12" max="12" width="24" customWidth="1"/>
    <col min="13" max="13" width="37.109375" customWidth="1"/>
    <col min="14" max="14" width="27.21875" customWidth="1"/>
    <col min="15" max="15" width="27.33203125" customWidth="1"/>
    <col min="16" max="16" width="64.44140625" customWidth="1"/>
    <col min="17" max="17" width="61.88671875" customWidth="1"/>
  </cols>
  <sheetData>
    <row r="1" spans="1:17" ht="21" x14ac:dyDescent="0.4">
      <c r="A1" s="60" t="s">
        <v>26</v>
      </c>
      <c r="B1" s="60" t="s">
        <v>27</v>
      </c>
      <c r="C1" s="60" t="s">
        <v>28</v>
      </c>
      <c r="D1" s="60" t="s">
        <v>29</v>
      </c>
      <c r="E1" s="60" t="s">
        <v>30</v>
      </c>
      <c r="F1" s="60" t="s">
        <v>31</v>
      </c>
      <c r="G1" s="61" t="s">
        <v>32</v>
      </c>
      <c r="H1" s="65" t="s">
        <v>87</v>
      </c>
      <c r="I1" s="65" t="s">
        <v>103</v>
      </c>
      <c r="J1" s="65" t="s">
        <v>99</v>
      </c>
      <c r="K1" s="65" t="s">
        <v>100</v>
      </c>
      <c r="L1" s="65" t="s">
        <v>88</v>
      </c>
      <c r="M1" s="65" t="s">
        <v>101</v>
      </c>
      <c r="N1" s="65" t="s">
        <v>102</v>
      </c>
      <c r="O1" s="55" t="s">
        <v>109</v>
      </c>
      <c r="P1" s="67" t="s">
        <v>108</v>
      </c>
    </row>
    <row r="2" spans="1:17" x14ac:dyDescent="0.3">
      <c r="A2" s="37">
        <f>SUM(Table15[[#This Row],[Cereals and products]:[Food and beverages]])/13</f>
        <v>174.44615384615386</v>
      </c>
      <c r="B2" s="37">
        <f>SUM(Table15[[#This Row],[Fuel and light]])</f>
        <v>179.7</v>
      </c>
      <c r="C2" s="37">
        <f>SUM(Table15[[#This Row],[Transport and communication]])</f>
        <v>166.9</v>
      </c>
      <c r="D2" s="37">
        <f>SUM(Table15[[#This Row],[Housing]],Table15[[#This Row],[Household goods and services]])/2</f>
        <v>167.85</v>
      </c>
      <c r="E2" s="37">
        <f>SUM(Table15[[#This Row],[Health]])</f>
        <v>180.2</v>
      </c>
      <c r="F2" s="37">
        <f>SUM(Table15[[#This Row],[Recreation and amusement]],Table15[[#This Row],[Education]])/2</f>
        <v>173.1</v>
      </c>
      <c r="G2" s="62">
        <f>SUM(Table15[[#This Row],[Miscellaneous]],Table15[[#This Row],[Personal care and effects]])/2</f>
        <v>171.95</v>
      </c>
      <c r="H2" s="64"/>
      <c r="I2" s="64"/>
      <c r="J2" s="64"/>
      <c r="K2" s="64"/>
      <c r="L2" s="64"/>
      <c r="M2" s="64"/>
      <c r="N2" s="64"/>
      <c r="O2" s="43"/>
      <c r="P2" s="16" t="s">
        <v>104</v>
      </c>
    </row>
    <row r="3" spans="1:17" x14ac:dyDescent="0.3">
      <c r="A3" s="38">
        <f>SUM(Table15[[#This Row],[Cereals and products]:[Food and beverages]])/13</f>
        <v>175.45384615384617</v>
      </c>
      <c r="B3" s="38">
        <f>SUM(Table15[[#This Row],[Fuel and light]])</f>
        <v>179.5</v>
      </c>
      <c r="C3" s="38">
        <f>SUM(Table15[[#This Row],[Transport and communication]])</f>
        <v>162.30000000000001</v>
      </c>
      <c r="D3" s="38">
        <f>SUM(Table15[[#This Row],[Housing]],Table15[[#This Row],[Household goods and services]])/2</f>
        <v>169.5</v>
      </c>
      <c r="E3" s="38">
        <f>SUM(Table15[[#This Row],[Health]])</f>
        <v>177.8</v>
      </c>
      <c r="F3" s="38">
        <f>SUM(Table15[[#This Row],[Recreation and amusement]],Table15[[#This Row],[Education]])/2</f>
        <v>170.35</v>
      </c>
      <c r="G3" s="63">
        <f>SUM(Table15[[#This Row],[Miscellaneous]],Table15[[#This Row],[Personal care and effects]])/2</f>
        <v>170.3</v>
      </c>
      <c r="H3" s="64">
        <f>((A3-A2)/A2* 100)</f>
        <v>0.57765235029544149</v>
      </c>
      <c r="I3" s="64">
        <f>((B3-B2)/B2 *100)</f>
        <v>-0.11129660545352733</v>
      </c>
      <c r="J3" s="64">
        <f>((C3-C2)/C2 * 100)</f>
        <v>-2.7561414020371444</v>
      </c>
      <c r="K3" s="64">
        <f>((D3-D2)/D2 * 100)</f>
        <v>0.98302055406613387</v>
      </c>
      <c r="L3" s="64">
        <f>((E3-E2)/E2 * 100)</f>
        <v>-1.3318534961154147</v>
      </c>
      <c r="M3" s="64">
        <f>((F3-F2)/F2 * 100)</f>
        <v>-1.5886770652801849</v>
      </c>
      <c r="N3" s="64">
        <f>((G3-G2)/G2 *100)</f>
        <v>-0.95958127362604095</v>
      </c>
      <c r="O3" s="55" t="s">
        <v>26</v>
      </c>
      <c r="P3" s="66">
        <f>CORREL(Problem_Statement5!C:C,'Problem_Satement_Solution 5'!H:H)</f>
        <v>7.7110075468486954E-3</v>
      </c>
    </row>
    <row r="4" spans="1:17" x14ac:dyDescent="0.3">
      <c r="A4" s="37">
        <f>SUM(Table15[[#This Row],[Cereals and products]:[Food and beverages]])/13</f>
        <v>177.41538461538462</v>
      </c>
      <c r="B4" s="37">
        <f>SUM(Table15[[#This Row],[Fuel and light]])</f>
        <v>179.2</v>
      </c>
      <c r="C4" s="37">
        <f>SUM(Table15[[#This Row],[Transport and communication]])</f>
        <v>158.19999999999999</v>
      </c>
      <c r="D4" s="37">
        <f>SUM(Table15[[#This Row],[Housing]],Table15[[#This Row],[Household goods and services]])/2</f>
        <v>167.25</v>
      </c>
      <c r="E4" s="37">
        <f>SUM(Table15[[#This Row],[Health]])</f>
        <v>173.8</v>
      </c>
      <c r="F4" s="37">
        <f>SUM(Table15[[#This Row],[Recreation and amusement]],Table15[[#This Row],[Education]])/2</f>
        <v>168.35000000000002</v>
      </c>
      <c r="G4" s="62">
        <f>SUM(Table15[[#This Row],[Miscellaneous]],Table15[[#This Row],[Personal care and effects]])/2</f>
        <v>168.6</v>
      </c>
      <c r="H4" s="64">
        <f t="shared" ref="H4:H67" si="0">((A4-A3)/A3* 100)</f>
        <v>1.117979744837559</v>
      </c>
      <c r="I4" s="64">
        <f t="shared" ref="I4:I67" si="1">((B4-B3)/B3 *100)</f>
        <v>-0.16713091922006204</v>
      </c>
      <c r="J4" s="64">
        <f t="shared" ref="J4:J67" si="2">((C4-C3)/C3 * 100)</f>
        <v>-2.5261860751694529</v>
      </c>
      <c r="K4" s="64">
        <f t="shared" ref="K4:K67" si="3">((D4-D3)/D3 * 100)</f>
        <v>-1.3274336283185841</v>
      </c>
      <c r="L4" s="64">
        <f t="shared" ref="L4:L67" si="4">((E4-E3)/E3 * 100)</f>
        <v>-2.2497187851518561</v>
      </c>
      <c r="M4" s="64">
        <f t="shared" ref="M4:M67" si="5">((F4-F3)/F3 * 100)</f>
        <v>-1.1740534194305674</v>
      </c>
      <c r="N4" s="64">
        <f t="shared" ref="N4:N67" si="6">((G4-G3)/G3 *100)</f>
        <v>-0.99823840281856535</v>
      </c>
      <c r="O4" s="55" t="s">
        <v>105</v>
      </c>
      <c r="P4" s="66">
        <f>CORREL(Problem_Statement5!C:C,'Problem_Satement_Solution 5'!I:I)</f>
        <v>0.11143566380653425</v>
      </c>
    </row>
    <row r="5" spans="1:17" x14ac:dyDescent="0.3">
      <c r="A5" s="38">
        <f>SUM(Table15[[#This Row],[Cereals and products]:[Food and beverages]])/13</f>
        <v>141.11538461538464</v>
      </c>
      <c r="B5" s="38">
        <f>SUM(Table15[[#This Row],[Fuel and light]])</f>
        <v>146.4</v>
      </c>
      <c r="C5" s="38">
        <f>SUM(Table15[[#This Row],[Transport and communication]])</f>
        <v>131.4</v>
      </c>
      <c r="D5" s="38">
        <f>SUM(Table15[[#This Row],[Housing]],Table15[[#This Row],[Household goods and services]])/2</f>
        <v>150.89999999999998</v>
      </c>
      <c r="E5" s="38">
        <f>SUM(Table15[[#This Row],[Health]])</f>
        <v>152.69999999999999</v>
      </c>
      <c r="F5" s="38">
        <f>SUM(Table15[[#This Row],[Recreation and amusement]],Table15[[#This Row],[Education]])/2</f>
        <v>153.85</v>
      </c>
      <c r="G5" s="63">
        <f>SUM(Table15[[#This Row],[Miscellaneous]],Table15[[#This Row],[Personal care and effects]])/2</f>
        <v>141.85000000000002</v>
      </c>
      <c r="H5" s="64">
        <f t="shared" si="0"/>
        <v>-20.460457856399572</v>
      </c>
      <c r="I5" s="64">
        <f t="shared" si="1"/>
        <v>-18.30357142857142</v>
      </c>
      <c r="J5" s="64">
        <f t="shared" si="2"/>
        <v>-16.940581542351442</v>
      </c>
      <c r="K5" s="64">
        <f t="shared" si="3"/>
        <v>-9.7757847533632418</v>
      </c>
      <c r="L5" s="64">
        <f t="shared" si="4"/>
        <v>-12.140391254315318</v>
      </c>
      <c r="M5" s="64">
        <f t="shared" si="5"/>
        <v>-8.6130086130086276</v>
      </c>
      <c r="N5" s="64">
        <f t="shared" si="6"/>
        <v>-15.86595492289441</v>
      </c>
      <c r="O5" s="55" t="s">
        <v>28</v>
      </c>
      <c r="P5" s="66">
        <f>CORREL(Problem_Statement5!C:C,'Problem_Satement_Solution 5'!J:J)</f>
        <v>9.6581758818910693E-2</v>
      </c>
    </row>
    <row r="6" spans="1:17" x14ac:dyDescent="0.3">
      <c r="A6" s="37">
        <f>SUM(Table15[[#This Row],[Cereals and products]:[Food and beverages]])/13</f>
        <v>142.03846153846155</v>
      </c>
      <c r="B6" s="37">
        <f>SUM(Table15[[#This Row],[Fuel and light]])</f>
        <v>138.5</v>
      </c>
      <c r="C6" s="37">
        <f>SUM(Table15[[#This Row],[Transport and communication]])</f>
        <v>125.8</v>
      </c>
      <c r="D6" s="37">
        <f>SUM(Table15[[#This Row],[Housing]],Table15[[#This Row],[Household goods and services]])/2</f>
        <v>148.05000000000001</v>
      </c>
      <c r="E6" s="37">
        <f>SUM(Table15[[#This Row],[Health]])</f>
        <v>148.5</v>
      </c>
      <c r="F6" s="37">
        <f>SUM(Table15[[#This Row],[Recreation and amusement]],Table15[[#This Row],[Education]])/2</f>
        <v>147.9</v>
      </c>
      <c r="G6" s="62">
        <f>SUM(Table15[[#This Row],[Miscellaneous]],Table15[[#This Row],[Personal care and effects]])/2</f>
        <v>139.30000000000001</v>
      </c>
      <c r="H6" s="64">
        <f t="shared" si="0"/>
        <v>0.6541291905151142</v>
      </c>
      <c r="I6" s="64">
        <f t="shared" si="1"/>
        <v>-5.3961748633879818</v>
      </c>
      <c r="J6" s="64">
        <f t="shared" si="2"/>
        <v>-4.2617960426179664</v>
      </c>
      <c r="K6" s="64">
        <f t="shared" si="3"/>
        <v>-1.8886679920476914</v>
      </c>
      <c r="L6" s="64">
        <f t="shared" si="4"/>
        <v>-2.7504911591355525</v>
      </c>
      <c r="M6" s="64">
        <f t="shared" si="5"/>
        <v>-3.8674033149171199</v>
      </c>
      <c r="N6" s="64">
        <f t="shared" si="6"/>
        <v>-1.7976735988720558</v>
      </c>
      <c r="O6" s="68" t="s">
        <v>106</v>
      </c>
      <c r="P6" s="69">
        <f>CORREL('Problem_Satement_Solution 5'!C:C,'Problem_Satement_Solution 5'!K:K)</f>
        <v>0.36952126685817521</v>
      </c>
      <c r="Q6" s="70" t="s">
        <v>107</v>
      </c>
    </row>
    <row r="7" spans="1:17" x14ac:dyDescent="0.3">
      <c r="A7" s="38">
        <f>SUM(Table15[[#This Row],[Cereals and products]:[Food and beverages]])/13</f>
        <v>143.77692307692308</v>
      </c>
      <c r="B7" s="38">
        <f>SUM(Table15[[#This Row],[Fuel and light]])</f>
        <v>125.5</v>
      </c>
      <c r="C7" s="38">
        <f>SUM(Table15[[#This Row],[Transport and communication]])</f>
        <v>120.8</v>
      </c>
      <c r="D7" s="38">
        <f>SUM(Table15[[#This Row],[Housing]],Table15[[#This Row],[Household goods and services]])/2</f>
        <v>144.85</v>
      </c>
      <c r="E7" s="38">
        <f>SUM(Table15[[#This Row],[Health]])</f>
        <v>141.5</v>
      </c>
      <c r="F7" s="38">
        <f>SUM(Table15[[#This Row],[Recreation and amusement]],Table15[[#This Row],[Education]])/2</f>
        <v>143.44999999999999</v>
      </c>
      <c r="G7" s="63">
        <f>SUM(Table15[[#This Row],[Miscellaneous]],Table15[[#This Row],[Personal care and effects]])/2</f>
        <v>136.55000000000001</v>
      </c>
      <c r="H7" s="64">
        <f t="shared" si="0"/>
        <v>1.2239371784457063</v>
      </c>
      <c r="I7" s="64">
        <f t="shared" si="1"/>
        <v>-9.3862815884476536</v>
      </c>
      <c r="J7" s="64">
        <f t="shared" si="2"/>
        <v>-3.9745627980922098</v>
      </c>
      <c r="K7" s="64">
        <f t="shared" si="3"/>
        <v>-2.1614319486660025</v>
      </c>
      <c r="L7" s="64">
        <f t="shared" si="4"/>
        <v>-4.7138047138047137</v>
      </c>
      <c r="M7" s="64">
        <f t="shared" si="5"/>
        <v>-3.0087897227856772</v>
      </c>
      <c r="N7" s="64">
        <f t="shared" si="6"/>
        <v>-1.9741564967695617</v>
      </c>
      <c r="O7" s="55" t="s">
        <v>30</v>
      </c>
      <c r="P7" s="66">
        <f>CORREL(Problem_Statement5!C:C,'Problem_Satement_Solution 5'!L:L)</f>
        <v>2.9973080352089832E-2</v>
      </c>
    </row>
    <row r="8" spans="1:17" x14ac:dyDescent="0.3">
      <c r="A8" s="37">
        <f>SUM(Table15[[#This Row],[Cereals and products]:[Food and beverages]])/13</f>
        <v>149.30769230769226</v>
      </c>
      <c r="B8" s="37">
        <f>SUM(Table15[[#This Row],[Fuel and light]])</f>
        <v>149.9</v>
      </c>
      <c r="C8" s="37">
        <f>SUM(Table15[[#This Row],[Transport and communication]])</f>
        <v>135</v>
      </c>
      <c r="D8" s="37">
        <f>SUM(Table15[[#This Row],[Housing]],Table15[[#This Row],[Household goods and services]])/2</f>
        <v>152</v>
      </c>
      <c r="E8" s="37">
        <f>SUM(Table15[[#This Row],[Health]])</f>
        <v>154.80000000000001</v>
      </c>
      <c r="F8" s="37">
        <f>SUM(Table15[[#This Row],[Recreation and amusement]],Table15[[#This Row],[Education]])/2</f>
        <v>155.30000000000001</v>
      </c>
      <c r="G8" s="62">
        <f>SUM(Table15[[#This Row],[Miscellaneous]],Table15[[#This Row],[Personal care and effects]])/2</f>
        <v>143.85</v>
      </c>
      <c r="H8" s="64">
        <f t="shared" si="0"/>
        <v>3.8467711732919243</v>
      </c>
      <c r="I8" s="64">
        <f t="shared" si="1"/>
        <v>19.442231075697215</v>
      </c>
      <c r="J8" s="64">
        <f t="shared" si="2"/>
        <v>11.754966887417222</v>
      </c>
      <c r="K8" s="64">
        <f t="shared" si="3"/>
        <v>4.9361408353469143</v>
      </c>
      <c r="L8" s="64">
        <f t="shared" si="4"/>
        <v>9.3992932862190894</v>
      </c>
      <c r="M8" s="64">
        <f t="shared" si="5"/>
        <v>8.2607180202161192</v>
      </c>
      <c r="N8" s="64">
        <f t="shared" si="6"/>
        <v>5.3460270963017082</v>
      </c>
      <c r="O8" s="55" t="s">
        <v>31</v>
      </c>
      <c r="P8" s="66">
        <f>CORREL('Problem_Satement_Solution 5'!C:C,'Problem_Satement_Solution 5'!M:M)</f>
        <v>0.39722012181588812</v>
      </c>
    </row>
    <row r="9" spans="1:17" x14ac:dyDescent="0.3">
      <c r="A9" s="38">
        <f>SUM(Table15[[#This Row],[Cereals and products]:[Food and beverages]])/13</f>
        <v>149.70000000000002</v>
      </c>
      <c r="B9" s="38">
        <f>SUM(Table15[[#This Row],[Fuel and light]])</f>
        <v>143.69999999999999</v>
      </c>
      <c r="C9" s="38">
        <f>SUM(Table15[[#This Row],[Transport and communication]])</f>
        <v>129.80000000000001</v>
      </c>
      <c r="D9" s="38">
        <f>SUM(Table15[[#This Row],[Housing]],Table15[[#This Row],[Household goods and services]])/2</f>
        <v>149.30000000000001</v>
      </c>
      <c r="E9" s="38">
        <f>SUM(Table15[[#This Row],[Health]])</f>
        <v>150.4</v>
      </c>
      <c r="F9" s="38">
        <f>SUM(Table15[[#This Row],[Recreation and amusement]],Table15[[#This Row],[Education]])/2</f>
        <v>149</v>
      </c>
      <c r="G9" s="63">
        <f>SUM(Table15[[#This Row],[Miscellaneous]],Table15[[#This Row],[Personal care and effects]])/2</f>
        <v>141.44999999999999</v>
      </c>
      <c r="H9" s="64">
        <f t="shared" si="0"/>
        <v>0.26275115919633135</v>
      </c>
      <c r="I9" s="64">
        <f t="shared" si="1"/>
        <v>-4.1360907271514451</v>
      </c>
      <c r="J9" s="64">
        <f t="shared" si="2"/>
        <v>-3.8518518518518432</v>
      </c>
      <c r="K9" s="64">
        <f t="shared" si="3"/>
        <v>-1.776315789473677</v>
      </c>
      <c r="L9" s="64">
        <f t="shared" si="4"/>
        <v>-2.8423772609819156</v>
      </c>
      <c r="M9" s="64">
        <f t="shared" si="5"/>
        <v>-4.0566645202833298</v>
      </c>
      <c r="N9" s="64">
        <f t="shared" si="6"/>
        <v>-1.6684045881126213</v>
      </c>
      <c r="O9" s="55" t="s">
        <v>32</v>
      </c>
      <c r="P9" s="66">
        <f>CORREL('Problem_Satement_Solution 5'!C:C,'Problem_Satement_Solution 5'!N:N)</f>
        <v>0.37540658976796581</v>
      </c>
    </row>
    <row r="10" spans="1:17" x14ac:dyDescent="0.3">
      <c r="A10" s="37">
        <f>SUM(Table15[[#This Row],[Cereals and products]:[Food and beverages]])/13</f>
        <v>150.51538461538462</v>
      </c>
      <c r="B10" s="37">
        <f>SUM(Table15[[#This Row],[Fuel and light]])</f>
        <v>133.6</v>
      </c>
      <c r="C10" s="37">
        <f>SUM(Table15[[#This Row],[Transport and communication]])</f>
        <v>125.2</v>
      </c>
      <c r="D10" s="37">
        <f>SUM(Table15[[#This Row],[Housing]],Table15[[#This Row],[Household goods and services]])/2</f>
        <v>146.30000000000001</v>
      </c>
      <c r="E10" s="37">
        <f>SUM(Table15[[#This Row],[Health]])</f>
        <v>143.19999999999999</v>
      </c>
      <c r="F10" s="37">
        <f>SUM(Table15[[#This Row],[Recreation and amusement]],Table15[[#This Row],[Education]])/2</f>
        <v>144.35000000000002</v>
      </c>
      <c r="G10" s="62">
        <f>SUM(Table15[[#This Row],[Miscellaneous]],Table15[[#This Row],[Personal care and effects]])/2</f>
        <v>138.94999999999999</v>
      </c>
      <c r="H10" s="64">
        <f t="shared" si="0"/>
        <v>0.54467910179332113</v>
      </c>
      <c r="I10" s="64">
        <f t="shared" si="1"/>
        <v>-7.0285316631871915</v>
      </c>
      <c r="J10" s="64">
        <f t="shared" si="2"/>
        <v>-3.5439137134052454</v>
      </c>
      <c r="K10" s="64">
        <f t="shared" si="3"/>
        <v>-2.0093770931011385</v>
      </c>
      <c r="L10" s="64">
        <f t="shared" si="4"/>
        <v>-4.7872340425532025</v>
      </c>
      <c r="M10" s="64">
        <f t="shared" si="5"/>
        <v>-3.1208053691275017</v>
      </c>
      <c r="N10" s="64">
        <f t="shared" si="6"/>
        <v>-1.7674089784376106</v>
      </c>
    </row>
    <row r="11" spans="1:17" x14ac:dyDescent="0.3">
      <c r="A11" s="38">
        <f>SUM(Table15[[#This Row],[Cereals and products]:[Food and beverages]])/13</f>
        <v>135.3692307692308</v>
      </c>
      <c r="B11" s="38">
        <f>SUM(Table15[[#This Row],[Fuel and light]])</f>
        <v>145.30000000000001</v>
      </c>
      <c r="C11" s="38">
        <f>SUM(Table15[[#This Row],[Transport and communication]])</f>
        <v>129.19999999999999</v>
      </c>
      <c r="D11" s="38">
        <f>SUM(Table15[[#This Row],[Housing]],Table15[[#This Row],[Household goods and services]])/2</f>
        <v>149.30000000000001</v>
      </c>
      <c r="E11" s="38">
        <f>SUM(Table15[[#This Row],[Health]])</f>
        <v>149.9</v>
      </c>
      <c r="F11" s="38">
        <f>SUM(Table15[[#This Row],[Recreation and amusement]],Table15[[#This Row],[Education]])/2</f>
        <v>149.44999999999999</v>
      </c>
      <c r="G11" s="63">
        <f>SUM(Table15[[#This Row],[Miscellaneous]],Table15[[#This Row],[Personal care and effects]])/2</f>
        <v>138.55000000000001</v>
      </c>
      <c r="H11" s="64">
        <f t="shared" si="0"/>
        <v>-10.062860939336622</v>
      </c>
      <c r="I11" s="64">
        <f t="shared" si="1"/>
        <v>8.757485029940133</v>
      </c>
      <c r="J11" s="64">
        <f t="shared" si="2"/>
        <v>3.1948881789137267</v>
      </c>
      <c r="K11" s="64">
        <f t="shared" si="3"/>
        <v>2.0505809979494187</v>
      </c>
      <c r="L11" s="64">
        <f t="shared" si="4"/>
        <v>4.6787709497206826</v>
      </c>
      <c r="M11" s="64">
        <f t="shared" si="5"/>
        <v>3.5330793210945379</v>
      </c>
      <c r="N11" s="64">
        <f t="shared" si="6"/>
        <v>-0.28787333573226148</v>
      </c>
    </row>
    <row r="12" spans="1:17" x14ac:dyDescent="0.3">
      <c r="A12" s="37">
        <f>SUM(Table15[[#This Row],[Cereals and products]:[Food and beverages]])/13</f>
        <v>135.16153846153844</v>
      </c>
      <c r="B12" s="37">
        <f>SUM(Table15[[#This Row],[Fuel and light]])</f>
        <v>138.4</v>
      </c>
      <c r="C12" s="37">
        <f>SUM(Table15[[#This Row],[Transport and communication]])</f>
        <v>123.9</v>
      </c>
      <c r="D12" s="37">
        <f>SUM(Table15[[#This Row],[Housing]],Table15[[#This Row],[Household goods and services]])/2</f>
        <v>146.1</v>
      </c>
      <c r="E12" s="37">
        <f>SUM(Table15[[#This Row],[Health]])</f>
        <v>145.6</v>
      </c>
      <c r="F12" s="37">
        <f>SUM(Table15[[#This Row],[Recreation and amusement]],Table15[[#This Row],[Education]])/2</f>
        <v>143.69999999999999</v>
      </c>
      <c r="G12" s="62">
        <f>SUM(Table15[[#This Row],[Miscellaneous]],Table15[[#This Row],[Personal care and effects]])/2</f>
        <v>135.75</v>
      </c>
      <c r="H12" s="64">
        <f t="shared" si="0"/>
        <v>-0.1534265257415964</v>
      </c>
      <c r="I12" s="64">
        <f t="shared" si="1"/>
        <v>-4.7487955953200309</v>
      </c>
      <c r="J12" s="64">
        <f t="shared" si="2"/>
        <v>-4.1021671826625257</v>
      </c>
      <c r="K12" s="64">
        <f t="shared" si="3"/>
        <v>-2.1433355659745592</v>
      </c>
      <c r="L12" s="64">
        <f t="shared" si="4"/>
        <v>-2.8685790527018087</v>
      </c>
      <c r="M12" s="64">
        <f t="shared" si="5"/>
        <v>-3.8474406155904988</v>
      </c>
      <c r="N12" s="64">
        <f t="shared" si="6"/>
        <v>-2.0209310718152373</v>
      </c>
    </row>
    <row r="13" spans="1:17" x14ac:dyDescent="0.3">
      <c r="A13" s="38">
        <f>SUM(Table15[[#This Row],[Cereals and products]:[Food and beverages]])/13</f>
        <v>134.95384615384617</v>
      </c>
      <c r="B13" s="38">
        <f>SUM(Table15[[#This Row],[Fuel and light]])</f>
        <v>127.1</v>
      </c>
      <c r="C13" s="38">
        <f>SUM(Table15[[#This Row],[Transport and communication]])</f>
        <v>119.2</v>
      </c>
      <c r="D13" s="38">
        <f>SUM(Table15[[#This Row],[Housing]],Table15[[#This Row],[Household goods and services]])/2</f>
        <v>142.55000000000001</v>
      </c>
      <c r="E13" s="38">
        <f>SUM(Table15[[#This Row],[Health]])</f>
        <v>138.5</v>
      </c>
      <c r="F13" s="38">
        <f>SUM(Table15[[#This Row],[Recreation and amusement]],Table15[[#This Row],[Education]])/2</f>
        <v>139.39999999999998</v>
      </c>
      <c r="G13" s="63">
        <f>SUM(Table15[[#This Row],[Miscellaneous]],Table15[[#This Row],[Personal care and effects]])/2</f>
        <v>132.69999999999999</v>
      </c>
      <c r="H13" s="64">
        <f t="shared" si="0"/>
        <v>-0.15366228444593397</v>
      </c>
      <c r="I13" s="64">
        <f t="shared" si="1"/>
        <v>-8.1647398843930716</v>
      </c>
      <c r="J13" s="64">
        <f t="shared" si="2"/>
        <v>-3.7933817594834567</v>
      </c>
      <c r="K13" s="64">
        <f t="shared" si="3"/>
        <v>-2.4298425735797284</v>
      </c>
      <c r="L13" s="64">
        <f t="shared" si="4"/>
        <v>-4.8763736263736233</v>
      </c>
      <c r="M13" s="64">
        <f t="shared" si="5"/>
        <v>-2.9923451635351506</v>
      </c>
      <c r="N13" s="64">
        <f t="shared" si="6"/>
        <v>-2.2467771639042442</v>
      </c>
    </row>
    <row r="14" spans="1:17" x14ac:dyDescent="0.3">
      <c r="A14" s="37">
        <f>SUM(Table15[[#This Row],[Cereals and products]:[Food and beverages]])/13</f>
        <v>134.49230769230769</v>
      </c>
      <c r="B14" s="37">
        <f>SUM(Table15[[#This Row],[Fuel and light]])</f>
        <v>131.19999999999999</v>
      </c>
      <c r="C14" s="37">
        <f>SUM(Table15[[#This Row],[Transport and communication]])</f>
        <v>122.5</v>
      </c>
      <c r="D14" s="37">
        <f>SUM(Table15[[#This Row],[Housing]],Table15[[#This Row],[Household goods and services]])/2</f>
        <v>140.10000000000002</v>
      </c>
      <c r="E14" s="37">
        <f>SUM(Table15[[#This Row],[Health]])</f>
        <v>135.69999999999999</v>
      </c>
      <c r="F14" s="37">
        <f>SUM(Table15[[#This Row],[Recreation and amusement]],Table15[[#This Row],[Education]])/2</f>
        <v>137.69999999999999</v>
      </c>
      <c r="G14" s="62">
        <f>SUM(Table15[[#This Row],[Miscellaneous]],Table15[[#This Row],[Personal care and effects]])/2</f>
        <v>130.60000000000002</v>
      </c>
      <c r="H14" s="64">
        <f t="shared" si="0"/>
        <v>-0.34199726402190234</v>
      </c>
      <c r="I14" s="64">
        <f t="shared" si="1"/>
        <v>3.225806451612899</v>
      </c>
      <c r="J14" s="64">
        <f t="shared" si="2"/>
        <v>2.7684563758389236</v>
      </c>
      <c r="K14" s="64">
        <f t="shared" si="3"/>
        <v>-1.7186951946685292</v>
      </c>
      <c r="L14" s="64">
        <f t="shared" si="4"/>
        <v>-2.0216606498195029</v>
      </c>
      <c r="M14" s="64">
        <f t="shared" si="5"/>
        <v>-1.2195121951219432</v>
      </c>
      <c r="N14" s="64">
        <f t="shared" si="6"/>
        <v>-1.5825169555387837</v>
      </c>
    </row>
    <row r="15" spans="1:17" x14ac:dyDescent="0.3">
      <c r="A15" s="38">
        <f>SUM(Table15[[#This Row],[Cereals and products]:[Food and beverages]])/13</f>
        <v>136.88461538461539</v>
      </c>
      <c r="B15" s="38">
        <f>SUM(Table15[[#This Row],[Fuel and light]])</f>
        <v>142.30000000000001</v>
      </c>
      <c r="C15" s="38">
        <f>SUM(Table15[[#This Row],[Transport and communication]])</f>
        <v>126</v>
      </c>
      <c r="D15" s="38">
        <f>SUM(Table15[[#This Row],[Housing]],Table15[[#This Row],[Household goods and services]])/2</f>
        <v>142.5</v>
      </c>
      <c r="E15" s="38">
        <f>SUM(Table15[[#This Row],[Health]])</f>
        <v>138.4</v>
      </c>
      <c r="F15" s="38">
        <f>SUM(Table15[[#This Row],[Recreation and amusement]],Table15[[#This Row],[Education]])/2</f>
        <v>140.35</v>
      </c>
      <c r="G15" s="63">
        <f>SUM(Table15[[#This Row],[Miscellaneous]],Table15[[#This Row],[Personal care and effects]])/2</f>
        <v>132.80000000000001</v>
      </c>
      <c r="H15" s="64">
        <f t="shared" si="0"/>
        <v>1.7787691603752032</v>
      </c>
      <c r="I15" s="64">
        <f t="shared" si="1"/>
        <v>8.4603658536585549</v>
      </c>
      <c r="J15" s="64">
        <f t="shared" si="2"/>
        <v>2.8571428571428572</v>
      </c>
      <c r="K15" s="64">
        <f t="shared" si="3"/>
        <v>1.7130620985010541</v>
      </c>
      <c r="L15" s="64">
        <f t="shared" si="4"/>
        <v>1.989683124539438</v>
      </c>
      <c r="M15" s="64">
        <f t="shared" si="5"/>
        <v>1.9244734931009484</v>
      </c>
      <c r="N15" s="64">
        <f t="shared" si="6"/>
        <v>1.6845329249617063</v>
      </c>
    </row>
    <row r="16" spans="1:17" x14ac:dyDescent="0.3">
      <c r="A16" s="37">
        <f>SUM(Table15[[#This Row],[Cereals and products]:[Food and beverages]])/13</f>
        <v>138.44615384615386</v>
      </c>
      <c r="B16" s="37">
        <f>SUM(Table15[[#This Row],[Fuel and light]])</f>
        <v>149</v>
      </c>
      <c r="C16" s="37">
        <f>SUM(Table15[[#This Row],[Transport and communication]])</f>
        <v>129.9</v>
      </c>
      <c r="D16" s="37">
        <f>SUM(Table15[[#This Row],[Housing]],Table15[[#This Row],[Household goods and services]])/2</f>
        <v>144.65</v>
      </c>
      <c r="E16" s="37">
        <f>SUM(Table15[[#This Row],[Health]])</f>
        <v>140</v>
      </c>
      <c r="F16" s="37">
        <f>SUM(Table15[[#This Row],[Recreation and amusement]],Table15[[#This Row],[Education]])/2</f>
        <v>143.80000000000001</v>
      </c>
      <c r="G16" s="62">
        <f>SUM(Table15[[#This Row],[Miscellaneous]],Table15[[#This Row],[Personal care and effects]])/2</f>
        <v>134.69999999999999</v>
      </c>
      <c r="H16" s="64">
        <f t="shared" si="0"/>
        <v>1.1407698791795551</v>
      </c>
      <c r="I16" s="64">
        <f t="shared" si="1"/>
        <v>4.7083626141953534</v>
      </c>
      <c r="J16" s="64">
        <f t="shared" si="2"/>
        <v>3.0952380952380998</v>
      </c>
      <c r="K16" s="64">
        <f t="shared" si="3"/>
        <v>1.5087719298245654</v>
      </c>
      <c r="L16" s="64">
        <f t="shared" si="4"/>
        <v>1.1560693641618456</v>
      </c>
      <c r="M16" s="64">
        <f t="shared" si="5"/>
        <v>2.4581403633772836</v>
      </c>
      <c r="N16" s="64">
        <f t="shared" si="6"/>
        <v>1.4307228915662478</v>
      </c>
    </row>
    <row r="17" spans="1:14" x14ac:dyDescent="0.3">
      <c r="A17" s="38">
        <f>SUM(Table15[[#This Row],[Cereals and products]:[Food and beverages]])/13</f>
        <v>134.59230769230768</v>
      </c>
      <c r="B17" s="38">
        <f>SUM(Table15[[#This Row],[Fuel and light]])</f>
        <v>120.6</v>
      </c>
      <c r="C17" s="38">
        <f>SUM(Table15[[#This Row],[Transport and communication]])</f>
        <v>115.7</v>
      </c>
      <c r="D17" s="38">
        <f>SUM(Table15[[#This Row],[Housing]],Table15[[#This Row],[Household goods and services]])/2</f>
        <v>131.89999999999998</v>
      </c>
      <c r="E17" s="38">
        <f>SUM(Table15[[#This Row],[Health]])</f>
        <v>126.1</v>
      </c>
      <c r="F17" s="38">
        <f>SUM(Table15[[#This Row],[Recreation and amusement]],Table15[[#This Row],[Education]])/2</f>
        <v>130.19999999999999</v>
      </c>
      <c r="G17" s="63">
        <f>SUM(Table15[[#This Row],[Miscellaneous]],Table15[[#This Row],[Personal care and effects]])/2</f>
        <v>124.45</v>
      </c>
      <c r="H17" s="64">
        <f t="shared" si="0"/>
        <v>-2.7836426269585677</v>
      </c>
      <c r="I17" s="64">
        <f t="shared" si="1"/>
        <v>-19.060402684563762</v>
      </c>
      <c r="J17" s="64">
        <f t="shared" si="2"/>
        <v>-10.931485758275599</v>
      </c>
      <c r="K17" s="64">
        <f t="shared" si="3"/>
        <v>-8.814379536813016</v>
      </c>
      <c r="L17" s="64">
        <f t="shared" si="4"/>
        <v>-9.9285714285714324</v>
      </c>
      <c r="M17" s="64">
        <f t="shared" si="5"/>
        <v>-9.4575799721836038</v>
      </c>
      <c r="N17" s="64">
        <f t="shared" si="6"/>
        <v>-7.6095025983667313</v>
      </c>
    </row>
    <row r="18" spans="1:14" x14ac:dyDescent="0.3">
      <c r="A18" s="37">
        <f>SUM(Table15[[#This Row],[Cereals and products]:[Food and beverages]])/13</f>
        <v>136.15384615384613</v>
      </c>
      <c r="B18" s="37">
        <f>SUM(Table15[[#This Row],[Fuel and light]])</f>
        <v>131</v>
      </c>
      <c r="C18" s="37">
        <f>SUM(Table15[[#This Row],[Transport and communication]])</f>
        <v>118.3</v>
      </c>
      <c r="D18" s="37">
        <f>SUM(Table15[[#This Row],[Housing]],Table15[[#This Row],[Household goods and services]])/2</f>
        <v>134.5</v>
      </c>
      <c r="E18" s="37">
        <f>SUM(Table15[[#This Row],[Health]])</f>
        <v>130.6</v>
      </c>
      <c r="F18" s="37">
        <f>SUM(Table15[[#This Row],[Recreation and amusement]],Table15[[#This Row],[Education]])/2</f>
        <v>132.65</v>
      </c>
      <c r="G18" s="62">
        <f>SUM(Table15[[#This Row],[Miscellaneous]],Table15[[#This Row],[Personal care and effects]])/2</f>
        <v>126.6</v>
      </c>
      <c r="H18" s="64">
        <f t="shared" si="0"/>
        <v>1.1601988912384873</v>
      </c>
      <c r="I18" s="64">
        <f t="shared" si="1"/>
        <v>8.6235489220563899</v>
      </c>
      <c r="J18" s="64">
        <f t="shared" si="2"/>
        <v>2.2471910112359503</v>
      </c>
      <c r="K18" s="64">
        <f t="shared" si="3"/>
        <v>1.9711902956785619</v>
      </c>
      <c r="L18" s="64">
        <f t="shared" si="4"/>
        <v>3.5685963521015074</v>
      </c>
      <c r="M18" s="64">
        <f t="shared" si="5"/>
        <v>1.8817204301075401</v>
      </c>
      <c r="N18" s="64">
        <f t="shared" si="6"/>
        <v>1.7276014463639948</v>
      </c>
    </row>
    <row r="19" spans="1:14" x14ac:dyDescent="0.3">
      <c r="A19" s="38">
        <f>SUM(Table15[[#This Row],[Cereals and products]:[Food and beverages]])/13</f>
        <v>137.25384615384615</v>
      </c>
      <c r="B19" s="38">
        <f>SUM(Table15[[#This Row],[Fuel and light]])</f>
        <v>137.4</v>
      </c>
      <c r="C19" s="38">
        <f>SUM(Table15[[#This Row],[Transport and communication]])</f>
        <v>121.2</v>
      </c>
      <c r="D19" s="38">
        <f>SUM(Table15[[#This Row],[Housing]],Table15[[#This Row],[Household goods and services]])/2</f>
        <v>136.80000000000001</v>
      </c>
      <c r="E19" s="38">
        <f>SUM(Table15[[#This Row],[Health]])</f>
        <v>133.4</v>
      </c>
      <c r="F19" s="38">
        <f>SUM(Table15[[#This Row],[Recreation and amusement]],Table15[[#This Row],[Education]])/2</f>
        <v>135.94999999999999</v>
      </c>
      <c r="G19" s="63">
        <f>SUM(Table15[[#This Row],[Miscellaneous]],Table15[[#This Row],[Personal care and effects]])/2</f>
        <v>128.5</v>
      </c>
      <c r="H19" s="64">
        <f t="shared" si="0"/>
        <v>0.80790960451979088</v>
      </c>
      <c r="I19" s="64">
        <f t="shared" si="1"/>
        <v>4.8854961832061106</v>
      </c>
      <c r="J19" s="64">
        <f t="shared" si="2"/>
        <v>2.4513947590870719</v>
      </c>
      <c r="K19" s="64">
        <f t="shared" si="3"/>
        <v>1.710037174721198</v>
      </c>
      <c r="L19" s="64">
        <f t="shared" si="4"/>
        <v>2.1439509954058278</v>
      </c>
      <c r="M19" s="64">
        <f t="shared" si="5"/>
        <v>2.4877497173011553</v>
      </c>
      <c r="N19" s="64">
        <f t="shared" si="6"/>
        <v>1.5007898894154863</v>
      </c>
    </row>
    <row r="20" spans="1:14" x14ac:dyDescent="0.3">
      <c r="A20" s="37">
        <f>SUM(Table15[[#This Row],[Cereals and products]:[Food and beverages]])/13</f>
        <v>135.10769230769228</v>
      </c>
      <c r="B20" s="37">
        <f>SUM(Table15[[#This Row],[Fuel and light]])</f>
        <v>114.8</v>
      </c>
      <c r="C20" s="37">
        <f>SUM(Table15[[#This Row],[Transport and communication]])</f>
        <v>111.8</v>
      </c>
      <c r="D20" s="37">
        <f>SUM(Table15[[#This Row],[Housing]],Table15[[#This Row],[Household goods and services]])/2</f>
        <v>126.1</v>
      </c>
      <c r="E20" s="37">
        <f>SUM(Table15[[#This Row],[Health]])</f>
        <v>121.4</v>
      </c>
      <c r="F20" s="37">
        <f>SUM(Table15[[#This Row],[Recreation and amusement]],Table15[[#This Row],[Education]])/2</f>
        <v>126.19999999999999</v>
      </c>
      <c r="G20" s="62">
        <f>SUM(Table15[[#This Row],[Miscellaneous]],Table15[[#This Row],[Personal care and effects]])/2</f>
        <v>120.85</v>
      </c>
      <c r="H20" s="64">
        <f t="shared" si="0"/>
        <v>-1.5636384016141025</v>
      </c>
      <c r="I20" s="64">
        <f t="shared" si="1"/>
        <v>-16.448326055312961</v>
      </c>
      <c r="J20" s="64">
        <f t="shared" si="2"/>
        <v>-7.7557755775577606</v>
      </c>
      <c r="K20" s="64">
        <f t="shared" si="3"/>
        <v>-7.8216374269005957</v>
      </c>
      <c r="L20" s="64">
        <f t="shared" si="4"/>
        <v>-8.995502248875562</v>
      </c>
      <c r="M20" s="64">
        <f t="shared" si="5"/>
        <v>-7.1717543214417079</v>
      </c>
      <c r="N20" s="64">
        <f t="shared" si="6"/>
        <v>-5.9533073929961136</v>
      </c>
    </row>
    <row r="21" spans="1:14" x14ac:dyDescent="0.3">
      <c r="A21" s="38">
        <f>SUM(Table15[[#This Row],[Cereals and products]:[Food and beverages]])/13</f>
        <v>135.66923076923075</v>
      </c>
      <c r="B21" s="38">
        <f>SUM(Table15[[#This Row],[Fuel and light]])</f>
        <v>124.1</v>
      </c>
      <c r="C21" s="38">
        <f>SUM(Table15[[#This Row],[Transport and communication]])</f>
        <v>114.3</v>
      </c>
      <c r="D21" s="38">
        <f>SUM(Table15[[#This Row],[Housing]],Table15[[#This Row],[Household goods and services]])/2</f>
        <v>127.9</v>
      </c>
      <c r="E21" s="38">
        <f>SUM(Table15[[#This Row],[Health]])</f>
        <v>125.4</v>
      </c>
      <c r="F21" s="38">
        <f>SUM(Table15[[#This Row],[Recreation and amusement]],Table15[[#This Row],[Education]])/2</f>
        <v>127.35000000000001</v>
      </c>
      <c r="G21" s="63">
        <f>SUM(Table15[[#This Row],[Miscellaneous]],Table15[[#This Row],[Personal care and effects]])/2</f>
        <v>122.44999999999999</v>
      </c>
      <c r="H21" s="64">
        <f t="shared" si="0"/>
        <v>0.41562286495104667</v>
      </c>
      <c r="I21" s="64">
        <f t="shared" si="1"/>
        <v>8.1010452961672446</v>
      </c>
      <c r="J21" s="64">
        <f t="shared" si="2"/>
        <v>2.2361359570661898</v>
      </c>
      <c r="K21" s="64">
        <f t="shared" si="3"/>
        <v>1.4274385408406118</v>
      </c>
      <c r="L21" s="64">
        <f t="shared" si="4"/>
        <v>3.2948929159802307</v>
      </c>
      <c r="M21" s="64">
        <f t="shared" si="5"/>
        <v>0.91125198098258331</v>
      </c>
      <c r="N21" s="64">
        <f t="shared" si="6"/>
        <v>1.3239553165080633</v>
      </c>
    </row>
    <row r="22" spans="1:14" x14ac:dyDescent="0.3">
      <c r="A22" s="37">
        <f>SUM(Table15[[#This Row],[Cereals and products]:[Food and beverages]])/13</f>
        <v>136.2076923076923</v>
      </c>
      <c r="B22" s="37">
        <f>SUM(Table15[[#This Row],[Fuel and light]])</f>
        <v>129.69999999999999</v>
      </c>
      <c r="C22" s="37">
        <f>SUM(Table15[[#This Row],[Transport and communication]])</f>
        <v>117</v>
      </c>
      <c r="D22" s="37">
        <f>SUM(Table15[[#This Row],[Housing]],Table15[[#This Row],[Household goods and services]])/2</f>
        <v>129.5</v>
      </c>
      <c r="E22" s="37">
        <f>SUM(Table15[[#This Row],[Health]])</f>
        <v>127.8</v>
      </c>
      <c r="F22" s="37">
        <f>SUM(Table15[[#This Row],[Recreation and amusement]],Table15[[#This Row],[Education]])/2</f>
        <v>128.94999999999999</v>
      </c>
      <c r="G22" s="62">
        <f>SUM(Table15[[#This Row],[Miscellaneous]],Table15[[#This Row],[Personal care and effects]])/2</f>
        <v>123.85</v>
      </c>
      <c r="H22" s="64">
        <f t="shared" si="0"/>
        <v>0.39689289561717495</v>
      </c>
      <c r="I22" s="64">
        <f t="shared" si="1"/>
        <v>4.5124899274778363</v>
      </c>
      <c r="J22" s="64">
        <f t="shared" si="2"/>
        <v>2.3622047244094513</v>
      </c>
      <c r="K22" s="64">
        <f t="shared" si="3"/>
        <v>1.2509773260359611</v>
      </c>
      <c r="L22" s="64">
        <f t="shared" si="4"/>
        <v>1.9138755980861173</v>
      </c>
      <c r="M22" s="64">
        <f t="shared" si="5"/>
        <v>1.2563800549666115</v>
      </c>
      <c r="N22" s="64">
        <f t="shared" si="6"/>
        <v>1.1433238056349577</v>
      </c>
    </row>
    <row r="23" spans="1:14" x14ac:dyDescent="0.3">
      <c r="A23" s="38">
        <f>SUM(Table15[[#This Row],[Cereals and products]:[Food and beverages]])/13</f>
        <v>128.06153846153845</v>
      </c>
      <c r="B23" s="38">
        <f>SUM(Table15[[#This Row],[Fuel and light]])</f>
        <v>115.1</v>
      </c>
      <c r="C23" s="38">
        <f>SUM(Table15[[#This Row],[Transport and communication]])</f>
        <v>109.1</v>
      </c>
      <c r="D23" s="38">
        <f>SUM(Table15[[#This Row],[Housing]],Table15[[#This Row],[Household goods and services]])/2</f>
        <v>121</v>
      </c>
      <c r="E23" s="38">
        <f>SUM(Table15[[#This Row],[Health]])</f>
        <v>117.1</v>
      </c>
      <c r="F23" s="38">
        <f>SUM(Table15[[#This Row],[Recreation and amusement]],Table15[[#This Row],[Education]])/2</f>
        <v>121.9</v>
      </c>
      <c r="G23" s="63">
        <f>SUM(Table15[[#This Row],[Miscellaneous]],Table15[[#This Row],[Personal care and effects]])/2</f>
        <v>114.55000000000001</v>
      </c>
      <c r="H23" s="64">
        <f t="shared" si="0"/>
        <v>-5.9806856045631713</v>
      </c>
      <c r="I23" s="64">
        <f t="shared" si="1"/>
        <v>-11.256746337702387</v>
      </c>
      <c r="J23" s="64">
        <f t="shared" si="2"/>
        <v>-6.7521367521367575</v>
      </c>
      <c r="K23" s="64">
        <f t="shared" si="3"/>
        <v>-6.563706563706563</v>
      </c>
      <c r="L23" s="64">
        <f t="shared" si="4"/>
        <v>-8.3724569640062629</v>
      </c>
      <c r="M23" s="64">
        <f t="shared" si="5"/>
        <v>-5.4672353625436081</v>
      </c>
      <c r="N23" s="64">
        <f t="shared" si="6"/>
        <v>-7.5090835688332529</v>
      </c>
    </row>
    <row r="24" spans="1:14" x14ac:dyDescent="0.3">
      <c r="A24" s="37">
        <f>SUM(Table15[[#This Row],[Cereals and products]:[Food and beverages]])/13</f>
        <v>127.56153846153848</v>
      </c>
      <c r="B24" s="37">
        <f>SUM(Table15[[#This Row],[Fuel and light]])</f>
        <v>120.4</v>
      </c>
      <c r="C24" s="37">
        <f>SUM(Table15[[#This Row],[Transport and communication]])</f>
        <v>111.3</v>
      </c>
      <c r="D24" s="37">
        <f>SUM(Table15[[#This Row],[Housing]],Table15[[#This Row],[Household goods and services]])/2</f>
        <v>122.1</v>
      </c>
      <c r="E24" s="37">
        <f>SUM(Table15[[#This Row],[Health]])</f>
        <v>119.8</v>
      </c>
      <c r="F24" s="37">
        <f>SUM(Table15[[#This Row],[Recreation and amusement]],Table15[[#This Row],[Education]])/2</f>
        <v>122</v>
      </c>
      <c r="G24" s="62">
        <f>SUM(Table15[[#This Row],[Miscellaneous]],Table15[[#This Row],[Personal care and effects]])/2</f>
        <v>115.45</v>
      </c>
      <c r="H24" s="64">
        <f t="shared" si="0"/>
        <v>-0.39043728976451414</v>
      </c>
      <c r="I24" s="64">
        <f t="shared" si="1"/>
        <v>4.6046915725456223</v>
      </c>
      <c r="J24" s="64">
        <f t="shared" si="2"/>
        <v>2.0164986251145764</v>
      </c>
      <c r="K24" s="64">
        <f t="shared" si="3"/>
        <v>0.9090909090909044</v>
      </c>
      <c r="L24" s="64">
        <f t="shared" si="4"/>
        <v>2.305721605465417</v>
      </c>
      <c r="M24" s="64">
        <f t="shared" si="5"/>
        <v>8.2034454470873097E-2</v>
      </c>
      <c r="N24" s="64">
        <f t="shared" si="6"/>
        <v>0.78568310781317452</v>
      </c>
    </row>
    <row r="25" spans="1:14" x14ac:dyDescent="0.3">
      <c r="A25" s="38">
        <f>SUM(Table15[[#This Row],[Cereals and products]:[Food and beverages]])/13</f>
        <v>127.50769230769232</v>
      </c>
      <c r="B25" s="38">
        <f>SUM(Table15[[#This Row],[Fuel and light]])</f>
        <v>123.7</v>
      </c>
      <c r="C25" s="38">
        <f>SUM(Table15[[#This Row],[Transport and communication]])</f>
        <v>113.8</v>
      </c>
      <c r="D25" s="38">
        <f>SUM(Table15[[#This Row],[Housing]],Table15[[#This Row],[Household goods and services]])/2</f>
        <v>123.05</v>
      </c>
      <c r="E25" s="38">
        <f>SUM(Table15[[#This Row],[Health]])</f>
        <v>121.4</v>
      </c>
      <c r="F25" s="38">
        <f>SUM(Table15[[#This Row],[Recreation and amusement]],Table15[[#This Row],[Education]])/2</f>
        <v>122.05</v>
      </c>
      <c r="G25" s="63">
        <f>SUM(Table15[[#This Row],[Miscellaneous]],Table15[[#This Row],[Personal care and effects]])/2</f>
        <v>116.25</v>
      </c>
      <c r="H25" s="64">
        <f t="shared" si="0"/>
        <v>-4.2211903756857891E-2</v>
      </c>
      <c r="I25" s="64">
        <f t="shared" si="1"/>
        <v>2.7408637873754129</v>
      </c>
      <c r="J25" s="64">
        <f t="shared" si="2"/>
        <v>2.2461814914645104</v>
      </c>
      <c r="K25" s="64">
        <f t="shared" si="3"/>
        <v>0.77805077805078038</v>
      </c>
      <c r="L25" s="64">
        <f t="shared" si="4"/>
        <v>1.3355592654424111</v>
      </c>
      <c r="M25" s="64">
        <f t="shared" si="5"/>
        <v>4.0983606557374722E-2</v>
      </c>
      <c r="N25" s="64">
        <f t="shared" si="6"/>
        <v>0.69294066695538947</v>
      </c>
    </row>
    <row r="26" spans="1:14" x14ac:dyDescent="0.3">
      <c r="A26" s="37">
        <f>SUM(Table15[[#This Row],[Cereals and products]:[Food and beverages]])/13</f>
        <v>121.78461538461539</v>
      </c>
      <c r="B26" s="37">
        <f>SUM(Table15[[#This Row],[Fuel and light]])</f>
        <v>115.8</v>
      </c>
      <c r="C26" s="37">
        <f>SUM(Table15[[#This Row],[Transport and communication]])</f>
        <v>112.8</v>
      </c>
      <c r="D26" s="37">
        <f>SUM(Table15[[#This Row],[Housing]],Table15[[#This Row],[Household goods and services]])/2</f>
        <v>113.2</v>
      </c>
      <c r="E26" s="37">
        <f>SUM(Table15[[#This Row],[Health]])</f>
        <v>114.5</v>
      </c>
      <c r="F26" s="37">
        <f>SUM(Table15[[#This Row],[Recreation and amusement]],Table15[[#This Row],[Education]])/2</f>
        <v>114.6</v>
      </c>
      <c r="G26" s="62">
        <f>SUM(Table15[[#This Row],[Miscellaneous]],Table15[[#This Row],[Personal care and effects]])/2</f>
        <v>111.4</v>
      </c>
      <c r="H26" s="64">
        <f t="shared" si="0"/>
        <v>-4.4884169884169944</v>
      </c>
      <c r="I26" s="64">
        <f t="shared" si="1"/>
        <v>-6.3864187550525502</v>
      </c>
      <c r="J26" s="64">
        <f t="shared" si="2"/>
        <v>-0.87873462214411258</v>
      </c>
      <c r="K26" s="64">
        <f t="shared" si="3"/>
        <v>-8.0048760666395733</v>
      </c>
      <c r="L26" s="64">
        <f t="shared" si="4"/>
        <v>-5.6836902800659024</v>
      </c>
      <c r="M26" s="64">
        <f t="shared" si="5"/>
        <v>-6.1040557148709569</v>
      </c>
      <c r="N26" s="64">
        <f t="shared" si="6"/>
        <v>-4.1720430107526827</v>
      </c>
    </row>
    <row r="27" spans="1:14" x14ac:dyDescent="0.3">
      <c r="A27" s="38">
        <f>SUM(Table15[[#This Row],[Cereals and products]:[Food and beverages]])/13</f>
        <v>122.00769230769228</v>
      </c>
      <c r="B27" s="38">
        <f>SUM(Table15[[#This Row],[Fuel and light]])</f>
        <v>114.3</v>
      </c>
      <c r="C27" s="38">
        <f>SUM(Table15[[#This Row],[Transport and communication]])</f>
        <v>112</v>
      </c>
      <c r="D27" s="38">
        <f>SUM(Table15[[#This Row],[Housing]],Table15[[#This Row],[Household goods and services]])/2</f>
        <v>116.1</v>
      </c>
      <c r="E27" s="38">
        <f>SUM(Table15[[#This Row],[Health]])</f>
        <v>113.7</v>
      </c>
      <c r="F27" s="38">
        <f>SUM(Table15[[#This Row],[Recreation and amusement]],Table15[[#This Row],[Education]])/2</f>
        <v>115.85</v>
      </c>
      <c r="G27" s="63">
        <f>SUM(Table15[[#This Row],[Miscellaneous]],Table15[[#This Row],[Personal care and effects]])/2</f>
        <v>111.6</v>
      </c>
      <c r="H27" s="64">
        <f t="shared" si="0"/>
        <v>0.18317331985848603</v>
      </c>
      <c r="I27" s="64">
        <f t="shared" si="1"/>
        <v>-1.295336787564767</v>
      </c>
      <c r="J27" s="64">
        <f t="shared" si="2"/>
        <v>-0.70921985815602584</v>
      </c>
      <c r="K27" s="64">
        <f t="shared" si="3"/>
        <v>2.5618374558303811</v>
      </c>
      <c r="L27" s="64">
        <f t="shared" si="4"/>
        <v>-0.69868995633187525</v>
      </c>
      <c r="M27" s="64">
        <f t="shared" si="5"/>
        <v>1.0907504363001745</v>
      </c>
      <c r="N27" s="64">
        <f t="shared" si="6"/>
        <v>0.17953321364451402</v>
      </c>
    </row>
    <row r="28" spans="1:14" x14ac:dyDescent="0.3">
      <c r="A28" s="37">
        <f>SUM(Table15[[#This Row],[Cereals and products]:[Food and beverages]])/13</f>
        <v>122.59230769230771</v>
      </c>
      <c r="B28" s="37">
        <f>SUM(Table15[[#This Row],[Fuel and light]])</f>
        <v>111.8</v>
      </c>
      <c r="C28" s="37">
        <f>SUM(Table15[[#This Row],[Transport and communication]])</f>
        <v>111.2</v>
      </c>
      <c r="D28" s="37">
        <f>SUM(Table15[[#This Row],[Housing]],Table15[[#This Row],[Household goods and services]])/2</f>
        <v>115.8</v>
      </c>
      <c r="E28" s="37">
        <f>SUM(Table15[[#This Row],[Health]])</f>
        <v>112.3</v>
      </c>
      <c r="F28" s="37">
        <f>SUM(Table15[[#This Row],[Recreation and amusement]],Table15[[#This Row],[Education]])/2</f>
        <v>116.7</v>
      </c>
      <c r="G28" s="62">
        <f>SUM(Table15[[#This Row],[Miscellaneous]],Table15[[#This Row],[Personal care and effects]])/2</f>
        <v>111.8</v>
      </c>
      <c r="H28" s="64">
        <f t="shared" si="0"/>
        <v>0.47916272618376027</v>
      </c>
      <c r="I28" s="64">
        <f t="shared" si="1"/>
        <v>-2.1872265966754156</v>
      </c>
      <c r="J28" s="64">
        <f t="shared" si="2"/>
        <v>-0.71428571428571175</v>
      </c>
      <c r="K28" s="64">
        <f t="shared" si="3"/>
        <v>-0.25839793281653506</v>
      </c>
      <c r="L28" s="64">
        <f t="shared" si="4"/>
        <v>-1.2313104661389673</v>
      </c>
      <c r="M28" s="64">
        <f t="shared" si="5"/>
        <v>0.73370738023306736</v>
      </c>
      <c r="N28" s="64">
        <f t="shared" si="6"/>
        <v>0.17921146953405273</v>
      </c>
    </row>
    <row r="29" spans="1:14" x14ac:dyDescent="0.3">
      <c r="A29" s="38">
        <f>SUM(Table15[[#This Row],[Cereals and products]:[Food and beverages]])/13</f>
        <v>114.50000000000001</v>
      </c>
      <c r="B29" s="38">
        <f>SUM(Table15[[#This Row],[Fuel and light]])</f>
        <v>111.1</v>
      </c>
      <c r="C29" s="38">
        <f>SUM(Table15[[#This Row],[Transport and communication]])</f>
        <v>109.3</v>
      </c>
      <c r="D29" s="38">
        <f>SUM(Table15[[#This Row],[Housing]],Table15[[#This Row],[Household goods and services]])/2</f>
        <v>109.65</v>
      </c>
      <c r="E29" s="38">
        <f>SUM(Table15[[#This Row],[Health]])</f>
        <v>108.3</v>
      </c>
      <c r="F29" s="38">
        <f>SUM(Table15[[#This Row],[Recreation and amusement]],Table15[[#This Row],[Education]])/2</f>
        <v>108.75</v>
      </c>
      <c r="G29" s="63">
        <f>SUM(Table15[[#This Row],[Miscellaneous]],Table15[[#This Row],[Personal care and effects]])/2</f>
        <v>107.7</v>
      </c>
      <c r="H29" s="64">
        <f t="shared" si="0"/>
        <v>-6.6009914036518831</v>
      </c>
      <c r="I29" s="64">
        <f t="shared" si="1"/>
        <v>-0.62611806797853564</v>
      </c>
      <c r="J29" s="64">
        <f t="shared" si="2"/>
        <v>-1.7086330935251848</v>
      </c>
      <c r="K29" s="64">
        <f t="shared" si="3"/>
        <v>-5.3108808290155363</v>
      </c>
      <c r="L29" s="64">
        <f t="shared" si="4"/>
        <v>-3.5618878005342829</v>
      </c>
      <c r="M29" s="64">
        <f t="shared" si="5"/>
        <v>-6.8123393316195395</v>
      </c>
      <c r="N29" s="64">
        <f t="shared" si="6"/>
        <v>-3.6672629695885459</v>
      </c>
    </row>
    <row r="30" spans="1:14" x14ac:dyDescent="0.3">
      <c r="A30" s="37">
        <f>SUM(Table15[[#This Row],[Cereals and products]:[Food and beverages]])/13</f>
        <v>114.74615384615383</v>
      </c>
      <c r="B30" s="37">
        <f>SUM(Table15[[#This Row],[Fuel and light]])</f>
        <v>110.5</v>
      </c>
      <c r="C30" s="37">
        <f>SUM(Table15[[#This Row],[Transport and communication]])</f>
        <v>109.9</v>
      </c>
      <c r="D30" s="37">
        <f>SUM(Table15[[#This Row],[Housing]],Table15[[#This Row],[Household goods and services]])/2</f>
        <v>109.65</v>
      </c>
      <c r="E30" s="37">
        <f>SUM(Table15[[#This Row],[Health]])</f>
        <v>108.1</v>
      </c>
      <c r="F30" s="37">
        <f>SUM(Table15[[#This Row],[Recreation and amusement]],Table15[[#This Row],[Education]])/2</f>
        <v>109.05</v>
      </c>
      <c r="G30" s="62">
        <f>SUM(Table15[[#This Row],[Miscellaneous]],Table15[[#This Row],[Personal care and effects]])/2</f>
        <v>107.9</v>
      </c>
      <c r="H30" s="64">
        <f t="shared" si="0"/>
        <v>0.21498152502516754</v>
      </c>
      <c r="I30" s="64">
        <f t="shared" si="1"/>
        <v>-0.54005400540053494</v>
      </c>
      <c r="J30" s="64">
        <f t="shared" si="2"/>
        <v>0.54894784995426216</v>
      </c>
      <c r="K30" s="64">
        <f t="shared" si="3"/>
        <v>0</v>
      </c>
      <c r="L30" s="64">
        <f t="shared" si="4"/>
        <v>-0.1846722068328743</v>
      </c>
      <c r="M30" s="64">
        <f t="shared" si="5"/>
        <v>0.27586206896551463</v>
      </c>
      <c r="N30" s="64">
        <f t="shared" si="6"/>
        <v>0.18570102135562008</v>
      </c>
    </row>
    <row r="31" spans="1:14" x14ac:dyDescent="0.3">
      <c r="A31" s="38">
        <f>SUM(Table15[[#This Row],[Cereals and products]:[Food and beverages]])/13</f>
        <v>115.41538461538462</v>
      </c>
      <c r="B31" s="38">
        <f>SUM(Table15[[#This Row],[Fuel and light]])</f>
        <v>109.5</v>
      </c>
      <c r="C31" s="38">
        <f>SUM(Table15[[#This Row],[Transport and communication]])</f>
        <v>110.4</v>
      </c>
      <c r="D31" s="38">
        <f>SUM(Table15[[#This Row],[Housing]],Table15[[#This Row],[Household goods and services]])/2</f>
        <v>109.65</v>
      </c>
      <c r="E31" s="38">
        <f>SUM(Table15[[#This Row],[Health]])</f>
        <v>107.9</v>
      </c>
      <c r="F31" s="38">
        <f>SUM(Table15[[#This Row],[Recreation and amusement]],Table15[[#This Row],[Education]])/2</f>
        <v>109.30000000000001</v>
      </c>
      <c r="G31" s="63">
        <f>SUM(Table15[[#This Row],[Miscellaneous]],Table15[[#This Row],[Personal care and effects]])/2</f>
        <v>108.15</v>
      </c>
      <c r="H31" s="64">
        <f t="shared" si="0"/>
        <v>0.58322719045386584</v>
      </c>
      <c r="I31" s="64">
        <f t="shared" si="1"/>
        <v>-0.90497737556561098</v>
      </c>
      <c r="J31" s="64">
        <f t="shared" si="2"/>
        <v>0.45495905368516831</v>
      </c>
      <c r="K31" s="64">
        <f t="shared" si="3"/>
        <v>0</v>
      </c>
      <c r="L31" s="64">
        <f t="shared" si="4"/>
        <v>-0.18501387604069255</v>
      </c>
      <c r="M31" s="64">
        <f t="shared" si="5"/>
        <v>0.22925263640533169</v>
      </c>
      <c r="N31" s="64">
        <f t="shared" si="6"/>
        <v>0.23169601482854493</v>
      </c>
    </row>
    <row r="32" spans="1:14" x14ac:dyDescent="0.3">
      <c r="A32" s="37">
        <f>SUM(Table15[[#This Row],[Cereals and products]:[Food and beverages]])/13</f>
        <v>175.73076923076923</v>
      </c>
      <c r="B32" s="37">
        <f>SUM(Table15[[#This Row],[Fuel and light]])</f>
        <v>180.8</v>
      </c>
      <c r="C32" s="37">
        <f>SUM(Table15[[#This Row],[Transport and communication]])</f>
        <v>167.4</v>
      </c>
      <c r="D32" s="37">
        <f>SUM(Table15[[#This Row],[Housing]],Table15[[#This Row],[Household goods and services]])/2</f>
        <v>169</v>
      </c>
      <c r="E32" s="37">
        <f>SUM(Table15[[#This Row],[Health]])</f>
        <v>181.2</v>
      </c>
      <c r="F32" s="37">
        <f>SUM(Table15[[#This Row],[Recreation and amusement]],Table15[[#This Row],[Education]])/2</f>
        <v>173.55</v>
      </c>
      <c r="G32" s="62">
        <f>SUM(Table15[[#This Row],[Miscellaneous]],Table15[[#This Row],[Personal care and effects]])/2</f>
        <v>172.95</v>
      </c>
      <c r="H32" s="64">
        <f t="shared" si="0"/>
        <v>52.259397494001583</v>
      </c>
      <c r="I32" s="64">
        <f t="shared" si="1"/>
        <v>65.114155251141554</v>
      </c>
      <c r="J32" s="64">
        <f t="shared" si="2"/>
        <v>51.630434782608688</v>
      </c>
      <c r="K32" s="64">
        <f t="shared" si="3"/>
        <v>54.126766985864109</v>
      </c>
      <c r="L32" s="64">
        <f t="shared" si="4"/>
        <v>67.933271547729362</v>
      </c>
      <c r="M32" s="64">
        <f t="shared" si="5"/>
        <v>58.78316559926806</v>
      </c>
      <c r="N32" s="64">
        <f t="shared" si="6"/>
        <v>59.916782246879322</v>
      </c>
    </row>
    <row r="33" spans="1:14" x14ac:dyDescent="0.3">
      <c r="A33" s="38">
        <f>SUM(Table15[[#This Row],[Cereals and products]:[Food and beverages]])/13</f>
        <v>176.71538461538464</v>
      </c>
      <c r="B33" s="38">
        <f>SUM(Table15[[#This Row],[Fuel and light]])</f>
        <v>180.5</v>
      </c>
      <c r="C33" s="38">
        <f>SUM(Table15[[#This Row],[Transport and communication]])</f>
        <v>162.9</v>
      </c>
      <c r="D33" s="38">
        <f>SUM(Table15[[#This Row],[Housing]],Table15[[#This Row],[Household goods and services]])/2</f>
        <v>170.8</v>
      </c>
      <c r="E33" s="38">
        <f>SUM(Table15[[#This Row],[Health]])</f>
        <v>178.7</v>
      </c>
      <c r="F33" s="38">
        <f>SUM(Table15[[#This Row],[Recreation and amusement]],Table15[[#This Row],[Education]])/2</f>
        <v>170.8</v>
      </c>
      <c r="G33" s="63">
        <f>SUM(Table15[[#This Row],[Miscellaneous]],Table15[[#This Row],[Personal care and effects]])/2</f>
        <v>171.3</v>
      </c>
      <c r="H33" s="64">
        <f t="shared" si="0"/>
        <v>0.56029765813089616</v>
      </c>
      <c r="I33" s="64">
        <f t="shared" si="1"/>
        <v>-0.16592920353982929</v>
      </c>
      <c r="J33" s="64">
        <f t="shared" si="2"/>
        <v>-2.6881720430107525</v>
      </c>
      <c r="K33" s="64">
        <f t="shared" si="3"/>
        <v>1.0650887573964565</v>
      </c>
      <c r="L33" s="64">
        <f t="shared" si="4"/>
        <v>-1.3796909492273732</v>
      </c>
      <c r="M33" s="64">
        <f t="shared" si="5"/>
        <v>-1.5845577643330451</v>
      </c>
      <c r="N33" s="64">
        <f t="shared" si="6"/>
        <v>-0.95403295750215511</v>
      </c>
    </row>
    <row r="34" spans="1:14" x14ac:dyDescent="0.3">
      <c r="A34" s="37">
        <f>SUM(Table15[[#This Row],[Cereals and products]:[Food and beverages]])/13</f>
        <v>178.63846153846154</v>
      </c>
      <c r="B34" s="37">
        <f>SUM(Table15[[#This Row],[Fuel and light]])</f>
        <v>180</v>
      </c>
      <c r="C34" s="37">
        <f>SUM(Table15[[#This Row],[Transport and communication]])</f>
        <v>158.80000000000001</v>
      </c>
      <c r="D34" s="37">
        <f>SUM(Table15[[#This Row],[Housing]],Table15[[#This Row],[Household goods and services]])/2</f>
        <v>168.6</v>
      </c>
      <c r="E34" s="37">
        <f>SUM(Table15[[#This Row],[Health]])</f>
        <v>174.7</v>
      </c>
      <c r="F34" s="37">
        <f>SUM(Table15[[#This Row],[Recreation and amusement]],Table15[[#This Row],[Education]])/2</f>
        <v>168.75</v>
      </c>
      <c r="G34" s="62">
        <f>SUM(Table15[[#This Row],[Miscellaneous]],Table15[[#This Row],[Personal care and effects]])/2</f>
        <v>169.55</v>
      </c>
      <c r="H34" s="64">
        <f t="shared" si="0"/>
        <v>1.0882340138423268</v>
      </c>
      <c r="I34" s="64">
        <f t="shared" si="1"/>
        <v>-0.2770083102493075</v>
      </c>
      <c r="J34" s="64">
        <f t="shared" si="2"/>
        <v>-2.5168815224063805</v>
      </c>
      <c r="K34" s="64">
        <f t="shared" si="3"/>
        <v>-1.2880562060890028</v>
      </c>
      <c r="L34" s="64">
        <f t="shared" si="4"/>
        <v>-2.2383883603805264</v>
      </c>
      <c r="M34" s="64">
        <f t="shared" si="5"/>
        <v>-1.2002341920374773</v>
      </c>
      <c r="N34" s="64">
        <f t="shared" si="6"/>
        <v>-1.0215995329830707</v>
      </c>
    </row>
    <row r="35" spans="1:14" x14ac:dyDescent="0.3">
      <c r="A35" s="38">
        <f>SUM(Table15[[#This Row],[Cereals and products]:[Food and beverages]])/13</f>
        <v>135.35384615384618</v>
      </c>
      <c r="B35" s="38">
        <f>SUM(Table15[[#This Row],[Fuel and light]])</f>
        <v>146.19999999999999</v>
      </c>
      <c r="C35" s="38">
        <f>SUM(Table15[[#This Row],[Transport and communication]])</f>
        <v>128.6</v>
      </c>
      <c r="D35" s="38">
        <f>SUM(Table15[[#This Row],[Housing]],Table15[[#This Row],[Household goods and services]])/2</f>
        <v>148.89999999999998</v>
      </c>
      <c r="E35" s="38">
        <f>SUM(Table15[[#This Row],[Health]])</f>
        <v>149.6</v>
      </c>
      <c r="F35" s="38">
        <f>SUM(Table15[[#This Row],[Recreation and amusement]],Table15[[#This Row],[Education]])/2</f>
        <v>149.05000000000001</v>
      </c>
      <c r="G35" s="63">
        <f>SUM(Table15[[#This Row],[Miscellaneous]],Table15[[#This Row],[Personal care and effects]])/2</f>
        <v>137.6</v>
      </c>
      <c r="H35" s="64">
        <f t="shared" si="0"/>
        <v>-24.230288937691068</v>
      </c>
      <c r="I35" s="64">
        <f t="shared" si="1"/>
        <v>-18.777777777777786</v>
      </c>
      <c r="J35" s="64">
        <f t="shared" si="2"/>
        <v>-19.017632241813612</v>
      </c>
      <c r="K35" s="64">
        <f t="shared" si="3"/>
        <v>-11.684460260972727</v>
      </c>
      <c r="L35" s="64">
        <f t="shared" si="4"/>
        <v>-14.367487120778474</v>
      </c>
      <c r="M35" s="64">
        <f t="shared" si="5"/>
        <v>-11.674074074074067</v>
      </c>
      <c r="N35" s="64">
        <f t="shared" si="6"/>
        <v>-18.843998820406966</v>
      </c>
    </row>
    <row r="36" spans="1:14" x14ac:dyDescent="0.3">
      <c r="A36" s="37">
        <f>SUM(Table15[[#This Row],[Cereals and products]:[Food and beverages]])/13</f>
        <v>134.87692307692308</v>
      </c>
      <c r="B36" s="37">
        <f>SUM(Table15[[#This Row],[Fuel and light]])</f>
        <v>139.5</v>
      </c>
      <c r="C36" s="37">
        <f>SUM(Table15[[#This Row],[Transport and communication]])</f>
        <v>123.3</v>
      </c>
      <c r="D36" s="37">
        <f>SUM(Table15[[#This Row],[Housing]],Table15[[#This Row],[Household goods and services]])/2</f>
        <v>145.64999999999998</v>
      </c>
      <c r="E36" s="37">
        <f>SUM(Table15[[#This Row],[Health]])</f>
        <v>145.1</v>
      </c>
      <c r="F36" s="37">
        <f>SUM(Table15[[#This Row],[Recreation and amusement]],Table15[[#This Row],[Education]])/2</f>
        <v>143.44999999999999</v>
      </c>
      <c r="G36" s="62">
        <f>SUM(Table15[[#This Row],[Miscellaneous]],Table15[[#This Row],[Personal care and effects]])/2</f>
        <v>134.85000000000002</v>
      </c>
      <c r="H36" s="64">
        <f t="shared" si="0"/>
        <v>-0.35235280745625713</v>
      </c>
      <c r="I36" s="64">
        <f t="shared" si="1"/>
        <v>-4.5827633378932893</v>
      </c>
      <c r="J36" s="64">
        <f t="shared" si="2"/>
        <v>-4.1213063763608071</v>
      </c>
      <c r="K36" s="64">
        <f t="shared" si="3"/>
        <v>-2.1826729348556082</v>
      </c>
      <c r="L36" s="64">
        <f t="shared" si="4"/>
        <v>-3.0080213903743318</v>
      </c>
      <c r="M36" s="64">
        <f t="shared" si="5"/>
        <v>-3.7571284803757279</v>
      </c>
      <c r="N36" s="64">
        <f t="shared" si="6"/>
        <v>-1.9985465116278862</v>
      </c>
    </row>
    <row r="37" spans="1:14" x14ac:dyDescent="0.3">
      <c r="A37" s="38">
        <f>SUM(Table15[[#This Row],[Cereals and products]:[Food and beverages]])/13</f>
        <v>134.17692307692309</v>
      </c>
      <c r="B37" s="38">
        <f>SUM(Table15[[#This Row],[Fuel and light]])</f>
        <v>128.6</v>
      </c>
      <c r="C37" s="38">
        <f>SUM(Table15[[#This Row],[Transport and communication]])</f>
        <v>118.6</v>
      </c>
      <c r="D37" s="38">
        <f>SUM(Table15[[#This Row],[Housing]],Table15[[#This Row],[Household goods and services]])/2</f>
        <v>142</v>
      </c>
      <c r="E37" s="38">
        <f>SUM(Table15[[#This Row],[Health]])</f>
        <v>137.80000000000001</v>
      </c>
      <c r="F37" s="38">
        <f>SUM(Table15[[#This Row],[Recreation and amusement]],Table15[[#This Row],[Education]])/2</f>
        <v>139.25</v>
      </c>
      <c r="G37" s="63">
        <f>SUM(Table15[[#This Row],[Miscellaneous]],Table15[[#This Row],[Personal care and effects]])/2</f>
        <v>131.75</v>
      </c>
      <c r="H37" s="64">
        <f t="shared" si="0"/>
        <v>-0.51899167332039764</v>
      </c>
      <c r="I37" s="64">
        <f t="shared" si="1"/>
        <v>-7.8136200716845918</v>
      </c>
      <c r="J37" s="64">
        <f t="shared" si="2"/>
        <v>-3.8118410381184122</v>
      </c>
      <c r="K37" s="64">
        <f t="shared" si="3"/>
        <v>-2.5060075523515124</v>
      </c>
      <c r="L37" s="64">
        <f t="shared" si="4"/>
        <v>-5.0310130944176317</v>
      </c>
      <c r="M37" s="64">
        <f t="shared" si="5"/>
        <v>-2.9278494248867122</v>
      </c>
      <c r="N37" s="64">
        <f t="shared" si="6"/>
        <v>-2.2988505747126604</v>
      </c>
    </row>
    <row r="38" spans="1:14" x14ac:dyDescent="0.3">
      <c r="A38" s="37">
        <f>SUM(Table15[[#This Row],[Cereals and products]:[Food and beverages]])/13</f>
        <v>140.53076923076921</v>
      </c>
      <c r="B38" s="37">
        <f>SUM(Table15[[#This Row],[Fuel and light]])</f>
        <v>146.80000000000001</v>
      </c>
      <c r="C38" s="37">
        <f>SUM(Table15[[#This Row],[Transport and communication]])</f>
        <v>131.19999999999999</v>
      </c>
      <c r="D38" s="37">
        <f>SUM(Table15[[#This Row],[Housing]],Table15[[#This Row],[Household goods and services]])/2</f>
        <v>150.30000000000001</v>
      </c>
      <c r="E38" s="37">
        <f>SUM(Table15[[#This Row],[Health]])</f>
        <v>152.19999999999999</v>
      </c>
      <c r="F38" s="37">
        <f>SUM(Table15[[#This Row],[Recreation and amusement]],Table15[[#This Row],[Education]])/2</f>
        <v>153.30000000000001</v>
      </c>
      <c r="G38" s="62">
        <f>SUM(Table15[[#This Row],[Miscellaneous]],Table15[[#This Row],[Personal care and effects]])/2</f>
        <v>140.14999999999998</v>
      </c>
      <c r="H38" s="64">
        <f t="shared" si="0"/>
        <v>4.7354239523017583</v>
      </c>
      <c r="I38" s="64">
        <f t="shared" si="1"/>
        <v>14.152410575427696</v>
      </c>
      <c r="J38" s="64">
        <f t="shared" si="2"/>
        <v>10.62394603709949</v>
      </c>
      <c r="K38" s="64">
        <f t="shared" si="3"/>
        <v>5.845070422535219</v>
      </c>
      <c r="L38" s="64">
        <f t="shared" si="4"/>
        <v>10.449927431059489</v>
      </c>
      <c r="M38" s="64">
        <f t="shared" si="5"/>
        <v>10.08976660682227</v>
      </c>
      <c r="N38" s="64">
        <f t="shared" si="6"/>
        <v>6.3757115749525441</v>
      </c>
    </row>
    <row r="39" spans="1:14" x14ac:dyDescent="0.3">
      <c r="A39" s="38">
        <f>SUM(Table15[[#This Row],[Cereals and products]:[Food and beverages]])/13</f>
        <v>141.34615384615384</v>
      </c>
      <c r="B39" s="38">
        <f>SUM(Table15[[#This Row],[Fuel and light]])</f>
        <v>139.30000000000001</v>
      </c>
      <c r="C39" s="38">
        <f>SUM(Table15[[#This Row],[Transport and communication]])</f>
        <v>125.6</v>
      </c>
      <c r="D39" s="38">
        <f>SUM(Table15[[#This Row],[Housing]],Table15[[#This Row],[Household goods and services]])/2</f>
        <v>147.39999999999998</v>
      </c>
      <c r="E39" s="38">
        <f>SUM(Table15[[#This Row],[Health]])</f>
        <v>147.9</v>
      </c>
      <c r="F39" s="38">
        <f>SUM(Table15[[#This Row],[Recreation and amusement]],Table15[[#This Row],[Education]])/2</f>
        <v>147.25</v>
      </c>
      <c r="G39" s="63">
        <f>SUM(Table15[[#This Row],[Miscellaneous]],Table15[[#This Row],[Personal care and effects]])/2</f>
        <v>137.6</v>
      </c>
      <c r="H39" s="64">
        <f t="shared" si="0"/>
        <v>0.58021785538344717</v>
      </c>
      <c r="I39" s="64">
        <f t="shared" si="1"/>
        <v>-5.1089918256130789</v>
      </c>
      <c r="J39" s="64">
        <f t="shared" si="2"/>
        <v>-4.2682926829268251</v>
      </c>
      <c r="K39" s="64">
        <f t="shared" si="3"/>
        <v>-1.9294743845642275</v>
      </c>
      <c r="L39" s="64">
        <f t="shared" si="4"/>
        <v>-2.8252299605781754</v>
      </c>
      <c r="M39" s="64">
        <f t="shared" si="5"/>
        <v>-3.94651011089368</v>
      </c>
      <c r="N39" s="64">
        <f t="shared" si="6"/>
        <v>-1.8194791295040911</v>
      </c>
    </row>
    <row r="40" spans="1:14" x14ac:dyDescent="0.3">
      <c r="A40" s="37">
        <f>SUM(Table15[[#This Row],[Cereals and products]:[Food and beverages]])/13</f>
        <v>142.87692307692308</v>
      </c>
      <c r="B40" s="37">
        <f>SUM(Table15[[#This Row],[Fuel and light]])</f>
        <v>127</v>
      </c>
      <c r="C40" s="37">
        <f>SUM(Table15[[#This Row],[Transport and communication]])</f>
        <v>120.6</v>
      </c>
      <c r="D40" s="37">
        <f>SUM(Table15[[#This Row],[Housing]],Table15[[#This Row],[Household goods and services]])/2</f>
        <v>144.14999999999998</v>
      </c>
      <c r="E40" s="37">
        <f>SUM(Table15[[#This Row],[Health]])</f>
        <v>140.80000000000001</v>
      </c>
      <c r="F40" s="37">
        <f>SUM(Table15[[#This Row],[Recreation and amusement]],Table15[[#This Row],[Education]])/2</f>
        <v>142.69999999999999</v>
      </c>
      <c r="G40" s="62">
        <f>SUM(Table15[[#This Row],[Miscellaneous]],Table15[[#This Row],[Personal care and effects]])/2</f>
        <v>134.80000000000001</v>
      </c>
      <c r="H40" s="64">
        <f t="shared" si="0"/>
        <v>1.0829931972789166</v>
      </c>
      <c r="I40" s="64">
        <f t="shared" si="1"/>
        <v>-8.8298636037329583</v>
      </c>
      <c r="J40" s="64">
        <f t="shared" si="2"/>
        <v>-3.9808917197452236</v>
      </c>
      <c r="K40" s="64">
        <f t="shared" si="3"/>
        <v>-2.204884667571235</v>
      </c>
      <c r="L40" s="64">
        <f t="shared" si="4"/>
        <v>-4.8005409060175754</v>
      </c>
      <c r="M40" s="64">
        <f t="shared" si="5"/>
        <v>-3.0899830220713147</v>
      </c>
      <c r="N40" s="64">
        <f t="shared" si="6"/>
        <v>-2.0348837209302202</v>
      </c>
    </row>
    <row r="41" spans="1:14" x14ac:dyDescent="0.3">
      <c r="A41" s="38">
        <f>SUM(Table15[[#This Row],[Cereals and products]:[Food and beverages]])/13</f>
        <v>138.78461538461536</v>
      </c>
      <c r="B41" s="38">
        <f>SUM(Table15[[#This Row],[Fuel and light]])</f>
        <v>147.80000000000001</v>
      </c>
      <c r="C41" s="38">
        <f>SUM(Table15[[#This Row],[Transport and communication]])</f>
        <v>130.19999999999999</v>
      </c>
      <c r="D41" s="38">
        <f>SUM(Table15[[#This Row],[Housing]],Table15[[#This Row],[Household goods and services]])/2</f>
        <v>149.5</v>
      </c>
      <c r="E41" s="38">
        <f>SUM(Table15[[#This Row],[Health]])</f>
        <v>151.69999999999999</v>
      </c>
      <c r="F41" s="38">
        <f>SUM(Table15[[#This Row],[Recreation and amusement]],Table15[[#This Row],[Education]])/2</f>
        <v>152.05000000000001</v>
      </c>
      <c r="G41" s="63">
        <f>SUM(Table15[[#This Row],[Miscellaneous]],Table15[[#This Row],[Personal care and effects]])/2</f>
        <v>139.05000000000001</v>
      </c>
      <c r="H41" s="64">
        <f t="shared" si="0"/>
        <v>-2.8642188004737954</v>
      </c>
      <c r="I41" s="64">
        <f t="shared" si="1"/>
        <v>16.377952755905518</v>
      </c>
      <c r="J41" s="64">
        <f t="shared" si="2"/>
        <v>7.9601990049751201</v>
      </c>
      <c r="K41" s="64">
        <f t="shared" si="3"/>
        <v>3.711411723898733</v>
      </c>
      <c r="L41" s="64">
        <f t="shared" si="4"/>
        <v>7.7414772727272556</v>
      </c>
      <c r="M41" s="64">
        <f t="shared" si="5"/>
        <v>6.5522074281710045</v>
      </c>
      <c r="N41" s="64">
        <f t="shared" si="6"/>
        <v>3.1528189910979227</v>
      </c>
    </row>
    <row r="42" spans="1:14" x14ac:dyDescent="0.3">
      <c r="A42" s="37">
        <f>SUM(Table15[[#This Row],[Cereals and products]:[Food and beverages]])/13</f>
        <v>139.54615384615386</v>
      </c>
      <c r="B42" s="37">
        <f>SUM(Table15[[#This Row],[Fuel and light]])</f>
        <v>141.19999999999999</v>
      </c>
      <c r="C42" s="37">
        <f>SUM(Table15[[#This Row],[Transport and communication]])</f>
        <v>124.6</v>
      </c>
      <c r="D42" s="37">
        <f>SUM(Table15[[#This Row],[Housing]],Table15[[#This Row],[Household goods and services]])/2</f>
        <v>146.60000000000002</v>
      </c>
      <c r="E42" s="37">
        <f>SUM(Table15[[#This Row],[Health]])</f>
        <v>147.4</v>
      </c>
      <c r="F42" s="37">
        <f>SUM(Table15[[#This Row],[Recreation and amusement]],Table15[[#This Row],[Education]])/2</f>
        <v>146.05000000000001</v>
      </c>
      <c r="G42" s="62">
        <f>SUM(Table15[[#This Row],[Miscellaneous]],Table15[[#This Row],[Personal care and effects]])/2</f>
        <v>136.44999999999999</v>
      </c>
      <c r="H42" s="64">
        <f t="shared" si="0"/>
        <v>0.54871965414036172</v>
      </c>
      <c r="I42" s="64">
        <f t="shared" si="1"/>
        <v>-4.465493910690137</v>
      </c>
      <c r="J42" s="64">
        <f t="shared" si="2"/>
        <v>-4.3010752688172005</v>
      </c>
      <c r="K42" s="64">
        <f t="shared" si="3"/>
        <v>-1.9397993311036636</v>
      </c>
      <c r="L42" s="64">
        <f t="shared" si="4"/>
        <v>-2.8345418589320919</v>
      </c>
      <c r="M42" s="64">
        <f t="shared" si="5"/>
        <v>-3.9460703715882928</v>
      </c>
      <c r="N42" s="64">
        <f t="shared" si="6"/>
        <v>-1.8698309960446045</v>
      </c>
    </row>
    <row r="43" spans="1:14" x14ac:dyDescent="0.3">
      <c r="A43" s="38">
        <f>SUM(Table15[[#This Row],[Cereals and products]:[Food and beverages]])/13</f>
        <v>141.0230769230769</v>
      </c>
      <c r="B43" s="38">
        <f>SUM(Table15[[#This Row],[Fuel and light]])</f>
        <v>130.5</v>
      </c>
      <c r="C43" s="38">
        <f>SUM(Table15[[#This Row],[Transport and communication]])</f>
        <v>119.6</v>
      </c>
      <c r="D43" s="38">
        <f>SUM(Table15[[#This Row],[Housing]],Table15[[#This Row],[Household goods and services]])/2</f>
        <v>143.4</v>
      </c>
      <c r="E43" s="38">
        <f>SUM(Table15[[#This Row],[Health]])</f>
        <v>140.30000000000001</v>
      </c>
      <c r="F43" s="38">
        <f>SUM(Table15[[#This Row],[Recreation and amusement]],Table15[[#This Row],[Education]])/2</f>
        <v>141.60000000000002</v>
      </c>
      <c r="G43" s="63">
        <f>SUM(Table15[[#This Row],[Miscellaneous]],Table15[[#This Row],[Personal care and effects]])/2</f>
        <v>133.64999999999998</v>
      </c>
      <c r="H43" s="64">
        <f t="shared" si="0"/>
        <v>1.0583760542417486</v>
      </c>
      <c r="I43" s="64">
        <f t="shared" si="1"/>
        <v>-7.5779036827195387</v>
      </c>
      <c r="J43" s="64">
        <f t="shared" si="2"/>
        <v>-4.0128410914927768</v>
      </c>
      <c r="K43" s="64">
        <f t="shared" si="3"/>
        <v>-2.1828103683492612</v>
      </c>
      <c r="L43" s="64">
        <f t="shared" si="4"/>
        <v>-4.8168249660786939</v>
      </c>
      <c r="M43" s="64">
        <f t="shared" si="5"/>
        <v>-3.0469017459773968</v>
      </c>
      <c r="N43" s="64">
        <f t="shared" si="6"/>
        <v>-2.0520337119824195</v>
      </c>
    </row>
    <row r="44" spans="1:14" x14ac:dyDescent="0.3">
      <c r="A44" s="37">
        <f>SUM(Table15[[#This Row],[Cereals and products]:[Food and beverages]])/13</f>
        <v>136.63076923076923</v>
      </c>
      <c r="B44" s="37">
        <f>SUM(Table15[[#This Row],[Fuel and light]])</f>
        <v>145.30000000000001</v>
      </c>
      <c r="C44" s="37">
        <f>SUM(Table15[[#This Row],[Transport and communication]])</f>
        <v>125.5</v>
      </c>
      <c r="D44" s="37">
        <f>SUM(Table15[[#This Row],[Housing]],Table15[[#This Row],[Household goods and services]])/2</f>
        <v>144.55000000000001</v>
      </c>
      <c r="E44" s="37">
        <f>SUM(Table15[[#This Row],[Health]])</f>
        <v>142.1</v>
      </c>
      <c r="F44" s="37">
        <f>SUM(Table15[[#This Row],[Recreation and amusement]],Table15[[#This Row],[Education]])/2</f>
        <v>142.15</v>
      </c>
      <c r="G44" s="62">
        <f>SUM(Table15[[#This Row],[Miscellaneous]],Table15[[#This Row],[Personal care and effects]])/2</f>
        <v>134.15</v>
      </c>
      <c r="H44" s="64">
        <f t="shared" si="0"/>
        <v>-3.1146020836742316</v>
      </c>
      <c r="I44" s="64">
        <f t="shared" si="1"/>
        <v>11.340996168582384</v>
      </c>
      <c r="J44" s="64">
        <f t="shared" si="2"/>
        <v>4.933110367892982</v>
      </c>
      <c r="K44" s="64">
        <f t="shared" si="3"/>
        <v>0.80195258019526205</v>
      </c>
      <c r="L44" s="64">
        <f t="shared" si="4"/>
        <v>1.2829650748396171</v>
      </c>
      <c r="M44" s="64">
        <f t="shared" si="5"/>
        <v>0.3884180790960331</v>
      </c>
      <c r="N44" s="64">
        <f t="shared" si="6"/>
        <v>0.37411148522261767</v>
      </c>
    </row>
    <row r="45" spans="1:14" x14ac:dyDescent="0.3">
      <c r="A45" s="38">
        <f>SUM(Table15[[#This Row],[Cereals and products]:[Food and beverages]])/13</f>
        <v>134.93076923076922</v>
      </c>
      <c r="B45" s="38">
        <f>SUM(Table15[[#This Row],[Fuel and light]])</f>
        <v>133.4</v>
      </c>
      <c r="C45" s="38">
        <f>SUM(Table15[[#This Row],[Transport and communication]])</f>
        <v>123.3</v>
      </c>
      <c r="D45" s="38">
        <f>SUM(Table15[[#This Row],[Housing]],Table15[[#This Row],[Household goods and services]])/2</f>
        <v>140.69999999999999</v>
      </c>
      <c r="E45" s="38">
        <f>SUM(Table15[[#This Row],[Health]])</f>
        <v>136.19999999999999</v>
      </c>
      <c r="F45" s="38">
        <f>SUM(Table15[[#This Row],[Recreation and amusement]],Table15[[#This Row],[Education]])/2</f>
        <v>138.1</v>
      </c>
      <c r="G45" s="63">
        <f>SUM(Table15[[#This Row],[Miscellaneous]],Table15[[#This Row],[Personal care and effects]])/2</f>
        <v>131.44999999999999</v>
      </c>
      <c r="H45" s="64">
        <f t="shared" si="0"/>
        <v>-1.2442292534624604</v>
      </c>
      <c r="I45" s="64">
        <f t="shared" si="1"/>
        <v>-8.1899518238128053</v>
      </c>
      <c r="J45" s="64">
        <f t="shared" si="2"/>
        <v>-1.7529880478087672</v>
      </c>
      <c r="K45" s="64">
        <f t="shared" si="3"/>
        <v>-2.6634382566586114</v>
      </c>
      <c r="L45" s="64">
        <f t="shared" si="4"/>
        <v>-4.1520056298381469</v>
      </c>
      <c r="M45" s="64">
        <f t="shared" si="5"/>
        <v>-2.8491030601477392</v>
      </c>
      <c r="N45" s="64">
        <f t="shared" si="6"/>
        <v>-2.0126723816623309</v>
      </c>
    </row>
    <row r="46" spans="1:14" x14ac:dyDescent="0.3">
      <c r="A46" s="37">
        <f>SUM(Table15[[#This Row],[Cereals and products]:[Food and beverages]])/13</f>
        <v>137.09230769230768</v>
      </c>
      <c r="B46" s="37">
        <f>SUM(Table15[[#This Row],[Fuel and light]])</f>
        <v>149.69999999999999</v>
      </c>
      <c r="C46" s="37">
        <f>SUM(Table15[[#This Row],[Transport and communication]])</f>
        <v>130.80000000000001</v>
      </c>
      <c r="D46" s="37">
        <f>SUM(Table15[[#This Row],[Housing]],Table15[[#This Row],[Household goods and services]])/2</f>
        <v>147.05000000000001</v>
      </c>
      <c r="E46" s="37">
        <f>SUM(Table15[[#This Row],[Health]])</f>
        <v>144.80000000000001</v>
      </c>
      <c r="F46" s="37">
        <f>SUM(Table15[[#This Row],[Recreation and amusement]],Table15[[#This Row],[Education]])/2</f>
        <v>144.05000000000001</v>
      </c>
      <c r="G46" s="62">
        <f>SUM(Table15[[#This Row],[Miscellaneous]],Table15[[#This Row],[Personal care and effects]])/2</f>
        <v>137.10000000000002</v>
      </c>
      <c r="H46" s="64">
        <f t="shared" si="0"/>
        <v>1.6019611196625112</v>
      </c>
      <c r="I46" s="64">
        <f t="shared" si="1"/>
        <v>12.218890554722625</v>
      </c>
      <c r="J46" s="64">
        <f t="shared" si="2"/>
        <v>6.0827250608272623</v>
      </c>
      <c r="K46" s="64">
        <f t="shared" si="3"/>
        <v>4.5131485429993061</v>
      </c>
      <c r="L46" s="64">
        <f t="shared" si="4"/>
        <v>6.314243759177697</v>
      </c>
      <c r="M46" s="64">
        <f t="shared" si="5"/>
        <v>4.3084721216509898</v>
      </c>
      <c r="N46" s="64">
        <f t="shared" si="6"/>
        <v>4.2982122480030691</v>
      </c>
    </row>
    <row r="47" spans="1:14" x14ac:dyDescent="0.3">
      <c r="A47" s="38">
        <f>SUM(Table15[[#This Row],[Cereals and products]:[Food and beverages]])/13</f>
        <v>135.82307692307691</v>
      </c>
      <c r="B47" s="38">
        <f>SUM(Table15[[#This Row],[Fuel and light]])</f>
        <v>122.6</v>
      </c>
      <c r="C47" s="38">
        <f>SUM(Table15[[#This Row],[Transport and communication]])</f>
        <v>115</v>
      </c>
      <c r="D47" s="38">
        <f>SUM(Table15[[#This Row],[Housing]],Table15[[#This Row],[Household goods and services]])/2</f>
        <v>132.80000000000001</v>
      </c>
      <c r="E47" s="38">
        <f>SUM(Table15[[#This Row],[Health]])</f>
        <v>126.6</v>
      </c>
      <c r="F47" s="38">
        <f>SUM(Table15[[#This Row],[Recreation and amusement]],Table15[[#This Row],[Education]])/2</f>
        <v>130.55000000000001</v>
      </c>
      <c r="G47" s="63">
        <f>SUM(Table15[[#This Row],[Miscellaneous]],Table15[[#This Row],[Personal care and effects]])/2</f>
        <v>124.55</v>
      </c>
      <c r="H47" s="64">
        <f t="shared" si="0"/>
        <v>-0.92582201773089756</v>
      </c>
      <c r="I47" s="64">
        <f t="shared" si="1"/>
        <v>-18.102872411489642</v>
      </c>
      <c r="J47" s="64">
        <f t="shared" si="2"/>
        <v>-12.079510703363921</v>
      </c>
      <c r="K47" s="64">
        <f t="shared" si="3"/>
        <v>-9.6905814348860915</v>
      </c>
      <c r="L47" s="64">
        <f t="shared" si="4"/>
        <v>-12.569060773480672</v>
      </c>
      <c r="M47" s="64">
        <f t="shared" si="5"/>
        <v>-9.3717459215550143</v>
      </c>
      <c r="N47" s="64">
        <f t="shared" si="6"/>
        <v>-9.1539022611232852</v>
      </c>
    </row>
    <row r="48" spans="1:14" x14ac:dyDescent="0.3">
      <c r="A48" s="37">
        <f>SUM(Table15[[#This Row],[Cereals and products]:[Food and beverages]])/13</f>
        <v>136.89999999999998</v>
      </c>
      <c r="B48" s="37">
        <f>SUM(Table15[[#This Row],[Fuel and light]])</f>
        <v>132.19999999999999</v>
      </c>
      <c r="C48" s="37">
        <f>SUM(Table15[[#This Row],[Transport and communication]])</f>
        <v>117.8</v>
      </c>
      <c r="D48" s="37">
        <f>SUM(Table15[[#This Row],[Housing]],Table15[[#This Row],[Household goods and services]])/2</f>
        <v>135.44999999999999</v>
      </c>
      <c r="E48" s="37">
        <f>SUM(Table15[[#This Row],[Health]])</f>
        <v>131.30000000000001</v>
      </c>
      <c r="F48" s="37">
        <f>SUM(Table15[[#This Row],[Recreation and amusement]],Table15[[#This Row],[Education]])/2</f>
        <v>133.15</v>
      </c>
      <c r="G48" s="62">
        <f>SUM(Table15[[#This Row],[Miscellaneous]],Table15[[#This Row],[Personal care and effects]])/2</f>
        <v>126.95</v>
      </c>
      <c r="H48" s="64">
        <f t="shared" si="0"/>
        <v>0.79288667384039524</v>
      </c>
      <c r="I48" s="64">
        <f t="shared" si="1"/>
        <v>7.8303425774877606</v>
      </c>
      <c r="J48" s="64">
        <f t="shared" si="2"/>
        <v>2.4347826086956497</v>
      </c>
      <c r="K48" s="64">
        <f t="shared" si="3"/>
        <v>1.9954819277108262</v>
      </c>
      <c r="L48" s="64">
        <f t="shared" si="4"/>
        <v>3.7124802527646263</v>
      </c>
      <c r="M48" s="64">
        <f t="shared" si="5"/>
        <v>1.9915741095365715</v>
      </c>
      <c r="N48" s="64">
        <f t="shared" si="6"/>
        <v>1.926936973103176</v>
      </c>
    </row>
    <row r="49" spans="1:14" x14ac:dyDescent="0.3">
      <c r="A49" s="38">
        <f>SUM(Table15[[#This Row],[Cereals and products]:[Food and beverages]])/13</f>
        <v>137.76153846153846</v>
      </c>
      <c r="B49" s="38">
        <f>SUM(Table15[[#This Row],[Fuel and light]])</f>
        <v>138.1</v>
      </c>
      <c r="C49" s="38">
        <f>SUM(Table15[[#This Row],[Transport and communication]])</f>
        <v>121</v>
      </c>
      <c r="D49" s="38">
        <f>SUM(Table15[[#This Row],[Housing]],Table15[[#This Row],[Household goods and services]])/2</f>
        <v>137.85000000000002</v>
      </c>
      <c r="E49" s="38">
        <f>SUM(Table15[[#This Row],[Health]])</f>
        <v>134.19999999999999</v>
      </c>
      <c r="F49" s="38">
        <f>SUM(Table15[[#This Row],[Recreation and amusement]],Table15[[#This Row],[Education]])/2</f>
        <v>136.55000000000001</v>
      </c>
      <c r="G49" s="63">
        <f>SUM(Table15[[#This Row],[Miscellaneous]],Table15[[#This Row],[Personal care and effects]])/2</f>
        <v>129.05000000000001</v>
      </c>
      <c r="H49" s="64">
        <f t="shared" si="0"/>
        <v>0.62931954823848579</v>
      </c>
      <c r="I49" s="64">
        <f t="shared" si="1"/>
        <v>4.4629349470499289</v>
      </c>
      <c r="J49" s="64">
        <f t="shared" si="2"/>
        <v>2.716468590831921</v>
      </c>
      <c r="K49" s="64">
        <f t="shared" si="3"/>
        <v>1.771871539313425</v>
      </c>
      <c r="L49" s="64">
        <f t="shared" si="4"/>
        <v>2.2086824067021911</v>
      </c>
      <c r="M49" s="64">
        <f t="shared" si="5"/>
        <v>2.5535110777318857</v>
      </c>
      <c r="N49" s="64">
        <f t="shared" si="6"/>
        <v>1.6541945647892939</v>
      </c>
    </row>
    <row r="50" spans="1:14" x14ac:dyDescent="0.3">
      <c r="A50" s="37">
        <f>SUM(Table15[[#This Row],[Cereals and products]:[Food and beverages]])/13</f>
        <v>135.6076923076923</v>
      </c>
      <c r="B50" s="37">
        <f>SUM(Table15[[#This Row],[Fuel and light]])</f>
        <v>115.2</v>
      </c>
      <c r="C50" s="37">
        <f>SUM(Table15[[#This Row],[Transport and communication]])</f>
        <v>112.8</v>
      </c>
      <c r="D50" s="37">
        <f>SUM(Table15[[#This Row],[Housing]],Table15[[#This Row],[Household goods and services]])/2</f>
        <v>126.6</v>
      </c>
      <c r="E50" s="37">
        <f>SUM(Table15[[#This Row],[Health]])</f>
        <v>121.8</v>
      </c>
      <c r="F50" s="37">
        <f>SUM(Table15[[#This Row],[Recreation and amusement]],Table15[[#This Row],[Education]])/2</f>
        <v>126.55000000000001</v>
      </c>
      <c r="G50" s="62">
        <f>SUM(Table15[[#This Row],[Miscellaneous]],Table15[[#This Row],[Personal care and effects]])/2</f>
        <v>120.85</v>
      </c>
      <c r="H50" s="64">
        <f t="shared" si="0"/>
        <v>-1.5634597129934715</v>
      </c>
      <c r="I50" s="64">
        <f t="shared" si="1"/>
        <v>-16.582186821144091</v>
      </c>
      <c r="J50" s="64">
        <f t="shared" si="2"/>
        <v>-6.7768595041322337</v>
      </c>
      <c r="K50" s="64">
        <f t="shared" si="3"/>
        <v>-8.1610446137105743</v>
      </c>
      <c r="L50" s="64">
        <f t="shared" si="4"/>
        <v>-9.239940387481365</v>
      </c>
      <c r="M50" s="64">
        <f t="shared" si="5"/>
        <v>-7.3233247894544125</v>
      </c>
      <c r="N50" s="64">
        <f t="shared" si="6"/>
        <v>-6.354126307632713</v>
      </c>
    </row>
    <row r="51" spans="1:14" x14ac:dyDescent="0.3">
      <c r="A51" s="38">
        <f>SUM(Table15[[#This Row],[Cereals and products]:[Food and beverages]])/13</f>
        <v>135.90769230769226</v>
      </c>
      <c r="B51" s="38">
        <f>SUM(Table15[[#This Row],[Fuel and light]])</f>
        <v>124.3</v>
      </c>
      <c r="C51" s="38">
        <f>SUM(Table15[[#This Row],[Transport and communication]])</f>
        <v>115.2</v>
      </c>
      <c r="D51" s="38">
        <f>SUM(Table15[[#This Row],[Housing]],Table15[[#This Row],[Household goods and services]])/2</f>
        <v>128.55000000000001</v>
      </c>
      <c r="E51" s="38">
        <f>SUM(Table15[[#This Row],[Health]])</f>
        <v>126.1</v>
      </c>
      <c r="F51" s="38">
        <f>SUM(Table15[[#This Row],[Recreation and amusement]],Table15[[#This Row],[Education]])/2</f>
        <v>127.95</v>
      </c>
      <c r="G51" s="63">
        <f>SUM(Table15[[#This Row],[Miscellaneous]],Table15[[#This Row],[Personal care and effects]])/2</f>
        <v>122.75</v>
      </c>
      <c r="H51" s="64">
        <f t="shared" si="0"/>
        <v>0.22122638833736505</v>
      </c>
      <c r="I51" s="64">
        <f t="shared" si="1"/>
        <v>7.8993055555555509</v>
      </c>
      <c r="J51" s="64">
        <f t="shared" si="2"/>
        <v>2.1276595744680904</v>
      </c>
      <c r="K51" s="64">
        <f t="shared" si="3"/>
        <v>1.540284360189587</v>
      </c>
      <c r="L51" s="64">
        <f t="shared" si="4"/>
        <v>3.5303776683087005</v>
      </c>
      <c r="M51" s="64">
        <f t="shared" si="5"/>
        <v>1.1062821019359868</v>
      </c>
      <c r="N51" s="64">
        <f t="shared" si="6"/>
        <v>1.5721969383533354</v>
      </c>
    </row>
    <row r="52" spans="1:14" x14ac:dyDescent="0.3">
      <c r="A52" s="37">
        <f>SUM(Table15[[#This Row],[Cereals and products]:[Food and beverages]])/13</f>
        <v>136.2923076923077</v>
      </c>
      <c r="B52" s="37">
        <f>SUM(Table15[[#This Row],[Fuel and light]])</f>
        <v>129.80000000000001</v>
      </c>
      <c r="C52" s="37">
        <f>SUM(Table15[[#This Row],[Transport and communication]])</f>
        <v>117.8</v>
      </c>
      <c r="D52" s="37">
        <f>SUM(Table15[[#This Row],[Housing]],Table15[[#This Row],[Household goods and services]])/2</f>
        <v>130.25</v>
      </c>
      <c r="E52" s="37">
        <f>SUM(Table15[[#This Row],[Health]])</f>
        <v>128.69999999999999</v>
      </c>
      <c r="F52" s="37">
        <f>SUM(Table15[[#This Row],[Recreation and amusement]],Table15[[#This Row],[Education]])/2</f>
        <v>129.75</v>
      </c>
      <c r="G52" s="62">
        <f>SUM(Table15[[#This Row],[Miscellaneous]],Table15[[#This Row],[Personal care and effects]])/2</f>
        <v>124.35</v>
      </c>
      <c r="H52" s="64">
        <f t="shared" si="0"/>
        <v>0.28299750962195885</v>
      </c>
      <c r="I52" s="64">
        <f t="shared" si="1"/>
        <v>4.4247787610619582</v>
      </c>
      <c r="J52" s="64">
        <f t="shared" si="2"/>
        <v>2.2569444444444398</v>
      </c>
      <c r="K52" s="64">
        <f t="shared" si="3"/>
        <v>1.322442629327101</v>
      </c>
      <c r="L52" s="64">
        <f t="shared" si="4"/>
        <v>2.0618556701030881</v>
      </c>
      <c r="M52" s="64">
        <f t="shared" si="5"/>
        <v>1.4067995310668209</v>
      </c>
      <c r="N52" s="64">
        <f t="shared" si="6"/>
        <v>1.3034623217922561</v>
      </c>
    </row>
    <row r="53" spans="1:14" x14ac:dyDescent="0.3">
      <c r="A53" s="38">
        <f>SUM(Table15[[#This Row],[Cereals and products]:[Food and beverages]])/13</f>
        <v>130.21538461538464</v>
      </c>
      <c r="B53" s="38">
        <f>SUM(Table15[[#This Row],[Fuel and light]])</f>
        <v>114.9</v>
      </c>
      <c r="C53" s="38">
        <f>SUM(Table15[[#This Row],[Transport and communication]])</f>
        <v>109.3</v>
      </c>
      <c r="D53" s="38">
        <f>SUM(Table15[[#This Row],[Housing]],Table15[[#This Row],[Household goods and services]])/2</f>
        <v>121.55000000000001</v>
      </c>
      <c r="E53" s="38">
        <f>SUM(Table15[[#This Row],[Health]])</f>
        <v>117.7</v>
      </c>
      <c r="F53" s="38">
        <f>SUM(Table15[[#This Row],[Recreation and amusement]],Table15[[#This Row],[Education]])/2</f>
        <v>122.1</v>
      </c>
      <c r="G53" s="63">
        <f>SUM(Table15[[#This Row],[Miscellaneous]],Table15[[#This Row],[Personal care and effects]])/2</f>
        <v>115</v>
      </c>
      <c r="H53" s="64">
        <f t="shared" si="0"/>
        <v>-4.4587425217293069</v>
      </c>
      <c r="I53" s="64">
        <f t="shared" si="1"/>
        <v>-11.479198767334363</v>
      </c>
      <c r="J53" s="64">
        <f t="shared" si="2"/>
        <v>-7.2156196943972839</v>
      </c>
      <c r="K53" s="64">
        <f t="shared" si="3"/>
        <v>-6.6794625719769591</v>
      </c>
      <c r="L53" s="64">
        <f t="shared" si="4"/>
        <v>-8.5470085470085362</v>
      </c>
      <c r="M53" s="64">
        <f t="shared" si="5"/>
        <v>-5.8959537572254384</v>
      </c>
      <c r="N53" s="64">
        <f t="shared" si="6"/>
        <v>-7.5190993164455131</v>
      </c>
    </row>
    <row r="54" spans="1:14" x14ac:dyDescent="0.3">
      <c r="A54" s="37">
        <f>SUM(Table15[[#This Row],[Cereals and products]:[Food and beverages]])/13</f>
        <v>129.15384615384613</v>
      </c>
      <c r="B54" s="37">
        <f>SUM(Table15[[#This Row],[Fuel and light]])</f>
        <v>120.8</v>
      </c>
      <c r="C54" s="37">
        <f>SUM(Table15[[#This Row],[Transport and communication]])</f>
        <v>111.4</v>
      </c>
      <c r="D54" s="37">
        <f>SUM(Table15[[#This Row],[Housing]],Table15[[#This Row],[Household goods and services]])/2</f>
        <v>122.7</v>
      </c>
      <c r="E54" s="37">
        <f>SUM(Table15[[#This Row],[Health]])</f>
        <v>120.4</v>
      </c>
      <c r="F54" s="37">
        <f>SUM(Table15[[#This Row],[Recreation and amusement]],Table15[[#This Row],[Education]])/2</f>
        <v>122.30000000000001</v>
      </c>
      <c r="G54" s="62">
        <f>SUM(Table15[[#This Row],[Miscellaneous]],Table15[[#This Row],[Personal care and effects]])/2</f>
        <v>115.9</v>
      </c>
      <c r="H54" s="64">
        <f t="shared" si="0"/>
        <v>-0.8152173913043802</v>
      </c>
      <c r="I54" s="64">
        <f t="shared" si="1"/>
        <v>5.134899912967791</v>
      </c>
      <c r="J54" s="64">
        <f t="shared" si="2"/>
        <v>1.9213174748398982</v>
      </c>
      <c r="K54" s="64">
        <f t="shared" si="3"/>
        <v>0.94611271081858606</v>
      </c>
      <c r="L54" s="64">
        <f t="shared" si="4"/>
        <v>2.2939677145284643</v>
      </c>
      <c r="M54" s="64">
        <f t="shared" si="5"/>
        <v>0.16380016380017778</v>
      </c>
      <c r="N54" s="64">
        <f t="shared" si="6"/>
        <v>0.78260869565217883</v>
      </c>
    </row>
    <row r="55" spans="1:14" x14ac:dyDescent="0.3">
      <c r="A55" s="38">
        <f>SUM(Table15[[#This Row],[Cereals and products]:[Food and beverages]])/13</f>
        <v>128.8153846153846</v>
      </c>
      <c r="B55" s="38">
        <f>SUM(Table15[[#This Row],[Fuel and light]])</f>
        <v>124.4</v>
      </c>
      <c r="C55" s="38">
        <f>SUM(Table15[[#This Row],[Transport and communication]])</f>
        <v>113.8</v>
      </c>
      <c r="D55" s="38">
        <f>SUM(Table15[[#This Row],[Housing]],Table15[[#This Row],[Household goods and services]])/2</f>
        <v>123.75</v>
      </c>
      <c r="E55" s="38">
        <f>SUM(Table15[[#This Row],[Health]])</f>
        <v>122</v>
      </c>
      <c r="F55" s="38">
        <f>SUM(Table15[[#This Row],[Recreation and amusement]],Table15[[#This Row],[Education]])/2</f>
        <v>122.6</v>
      </c>
      <c r="G55" s="63">
        <f>SUM(Table15[[#This Row],[Miscellaneous]],Table15[[#This Row],[Personal care and effects]])/2</f>
        <v>116.7</v>
      </c>
      <c r="H55" s="64">
        <f t="shared" si="0"/>
        <v>-0.26206075044668808</v>
      </c>
      <c r="I55" s="64">
        <f t="shared" si="1"/>
        <v>2.9801324503311331</v>
      </c>
      <c r="J55" s="64">
        <f t="shared" si="2"/>
        <v>2.1543985637342828</v>
      </c>
      <c r="K55" s="64">
        <f t="shared" si="3"/>
        <v>0.85574572127139137</v>
      </c>
      <c r="L55" s="64">
        <f t="shared" si="4"/>
        <v>1.328903654485045</v>
      </c>
      <c r="M55" s="64">
        <f t="shared" si="5"/>
        <v>0.24529844644315857</v>
      </c>
      <c r="N55" s="64">
        <f t="shared" si="6"/>
        <v>0.6902502157031899</v>
      </c>
    </row>
    <row r="56" spans="1:14" x14ac:dyDescent="0.3">
      <c r="A56" s="37">
        <f>SUM(Table15[[#This Row],[Cereals and products]:[Food and beverages]])/13</f>
        <v>121.63076923076922</v>
      </c>
      <c r="B56" s="37">
        <f>SUM(Table15[[#This Row],[Fuel and light]])</f>
        <v>116.4</v>
      </c>
      <c r="C56" s="37">
        <f>SUM(Table15[[#This Row],[Transport and communication]])</f>
        <v>112.6</v>
      </c>
      <c r="D56" s="37">
        <f>SUM(Table15[[#This Row],[Housing]],Table15[[#This Row],[Household goods and services]])/2</f>
        <v>114</v>
      </c>
      <c r="E56" s="37">
        <f>SUM(Table15[[#This Row],[Health]])</f>
        <v>115.3</v>
      </c>
      <c r="F56" s="37">
        <f>SUM(Table15[[#This Row],[Recreation and amusement]],Table15[[#This Row],[Education]])/2</f>
        <v>114.95</v>
      </c>
      <c r="G56" s="62">
        <f>SUM(Table15[[#This Row],[Miscellaneous]],Table15[[#This Row],[Personal care and effects]])/2</f>
        <v>111.65</v>
      </c>
      <c r="H56" s="64">
        <f t="shared" si="0"/>
        <v>-5.5774513316612921</v>
      </c>
      <c r="I56" s="64">
        <f t="shared" si="1"/>
        <v>-6.430868167202572</v>
      </c>
      <c r="J56" s="64">
        <f t="shared" si="2"/>
        <v>-1.0544815465729374</v>
      </c>
      <c r="K56" s="64">
        <f t="shared" si="3"/>
        <v>-7.878787878787878</v>
      </c>
      <c r="L56" s="64">
        <f t="shared" si="4"/>
        <v>-5.4918032786885274</v>
      </c>
      <c r="M56" s="64">
        <f t="shared" si="5"/>
        <v>-6.2398042414355563</v>
      </c>
      <c r="N56" s="64">
        <f t="shared" si="6"/>
        <v>-4.327335047129389</v>
      </c>
    </row>
    <row r="57" spans="1:14" x14ac:dyDescent="0.3">
      <c r="A57" s="38">
        <f>SUM(Table15[[#This Row],[Cereals and products]:[Food and beverages]])/13</f>
        <v>121.74615384615385</v>
      </c>
      <c r="B57" s="38">
        <f>SUM(Table15[[#This Row],[Fuel and light]])</f>
        <v>114.7</v>
      </c>
      <c r="C57" s="38">
        <f>SUM(Table15[[#This Row],[Transport and communication]])</f>
        <v>111.8</v>
      </c>
      <c r="D57" s="38">
        <f>SUM(Table15[[#This Row],[Housing]],Table15[[#This Row],[Household goods and services]])/2</f>
        <v>116.7</v>
      </c>
      <c r="E57" s="38">
        <f>SUM(Table15[[#This Row],[Health]])</f>
        <v>114.3</v>
      </c>
      <c r="F57" s="38">
        <f>SUM(Table15[[#This Row],[Recreation and amusement]],Table15[[#This Row],[Education]])/2</f>
        <v>116.05</v>
      </c>
      <c r="G57" s="63">
        <f>SUM(Table15[[#This Row],[Miscellaneous]],Table15[[#This Row],[Personal care and effects]])/2</f>
        <v>111.75</v>
      </c>
      <c r="H57" s="64">
        <f t="shared" si="0"/>
        <v>9.4864659752096916E-2</v>
      </c>
      <c r="I57" s="64">
        <f t="shared" si="1"/>
        <v>-1.4604810996563597</v>
      </c>
      <c r="J57" s="64">
        <f t="shared" si="2"/>
        <v>-0.71047957371225323</v>
      </c>
      <c r="K57" s="64">
        <f t="shared" si="3"/>
        <v>2.3684210526315814</v>
      </c>
      <c r="L57" s="64">
        <f t="shared" si="4"/>
        <v>-0.86730268863833471</v>
      </c>
      <c r="M57" s="64">
        <f t="shared" si="5"/>
        <v>0.95693779904305731</v>
      </c>
      <c r="N57" s="64">
        <f t="shared" si="6"/>
        <v>8.9565606806981016E-2</v>
      </c>
    </row>
    <row r="58" spans="1:14" x14ac:dyDescent="0.3">
      <c r="A58" s="37">
        <f>SUM(Table15[[#This Row],[Cereals and products]:[Food and beverages]])/13</f>
        <v>122.11538461538461</v>
      </c>
      <c r="B58" s="37">
        <f>SUM(Table15[[#This Row],[Fuel and light]])</f>
        <v>112</v>
      </c>
      <c r="C58" s="37">
        <f>SUM(Table15[[#This Row],[Transport and communication]])</f>
        <v>111</v>
      </c>
      <c r="D58" s="37">
        <f>SUM(Table15[[#This Row],[Housing]],Table15[[#This Row],[Household goods and services]])/2</f>
        <v>116.25</v>
      </c>
      <c r="E58" s="37">
        <f>SUM(Table15[[#This Row],[Health]])</f>
        <v>112.6</v>
      </c>
      <c r="F58" s="37">
        <f>SUM(Table15[[#This Row],[Recreation and amusement]],Table15[[#This Row],[Education]])/2</f>
        <v>116.9</v>
      </c>
      <c r="G58" s="62">
        <f>SUM(Table15[[#This Row],[Miscellaneous]],Table15[[#This Row],[Personal care and effects]])/2</f>
        <v>111.9</v>
      </c>
      <c r="H58" s="64">
        <f t="shared" si="0"/>
        <v>0.30327920641940881</v>
      </c>
      <c r="I58" s="64">
        <f t="shared" si="1"/>
        <v>-2.3539668700959049</v>
      </c>
      <c r="J58" s="64">
        <f t="shared" si="2"/>
        <v>-0.71556350626117815</v>
      </c>
      <c r="K58" s="64">
        <f t="shared" si="3"/>
        <v>-0.38560411311054227</v>
      </c>
      <c r="L58" s="64">
        <f t="shared" si="4"/>
        <v>-1.487314085739285</v>
      </c>
      <c r="M58" s="64">
        <f t="shared" si="5"/>
        <v>0.73244291253770666</v>
      </c>
      <c r="N58" s="64">
        <f t="shared" si="6"/>
        <v>0.13422818791946817</v>
      </c>
    </row>
    <row r="59" spans="1:14" x14ac:dyDescent="0.3">
      <c r="A59" s="38">
        <f>SUM(Table15[[#This Row],[Cereals and products]:[Food and beverages]])/13</f>
        <v>116</v>
      </c>
      <c r="B59" s="38">
        <f>SUM(Table15[[#This Row],[Fuel and light]])</f>
        <v>111.6</v>
      </c>
      <c r="C59" s="38">
        <f>SUM(Table15[[#This Row],[Transport and communication]])</f>
        <v>109.3</v>
      </c>
      <c r="D59" s="38">
        <f>SUM(Table15[[#This Row],[Housing]],Table15[[#This Row],[Household goods and services]])/2</f>
        <v>139.94999999999999</v>
      </c>
      <c r="E59" s="38">
        <f>SUM(Table15[[#This Row],[Health]])</f>
        <v>108.9</v>
      </c>
      <c r="F59" s="38">
        <f>SUM(Table15[[#This Row],[Recreation and amusement]],Table15[[#This Row],[Education]])/2</f>
        <v>109.25</v>
      </c>
      <c r="G59" s="63">
        <f>SUM(Table15[[#This Row],[Miscellaneous]],Table15[[#This Row],[Personal care and effects]])/2</f>
        <v>108.3</v>
      </c>
      <c r="H59" s="64">
        <f t="shared" si="0"/>
        <v>-5.0078740157480297</v>
      </c>
      <c r="I59" s="64">
        <f t="shared" si="1"/>
        <v>-0.3571428571428622</v>
      </c>
      <c r="J59" s="64">
        <f t="shared" si="2"/>
        <v>-1.5315315315315341</v>
      </c>
      <c r="K59" s="64">
        <f t="shared" si="3"/>
        <v>20.387096774193537</v>
      </c>
      <c r="L59" s="64">
        <f t="shared" si="4"/>
        <v>-3.2859680284191728</v>
      </c>
      <c r="M59" s="64">
        <f t="shared" si="5"/>
        <v>-6.544054747647567</v>
      </c>
      <c r="N59" s="64">
        <f t="shared" si="6"/>
        <v>-3.2171581769437072</v>
      </c>
    </row>
    <row r="60" spans="1:14" x14ac:dyDescent="0.3">
      <c r="A60" s="37">
        <f>SUM(Table15[[#This Row],[Cereals and products]:[Food and beverages]])/13</f>
        <v>116.16923076923079</v>
      </c>
      <c r="B60" s="37">
        <f>SUM(Table15[[#This Row],[Fuel and light]])</f>
        <v>110.9</v>
      </c>
      <c r="C60" s="37">
        <f>SUM(Table15[[#This Row],[Transport and communication]])</f>
        <v>109.5</v>
      </c>
      <c r="D60" s="37">
        <f>SUM(Table15[[#This Row],[Housing]],Table15[[#This Row],[Household goods and services]])/2</f>
        <v>110.4</v>
      </c>
      <c r="E60" s="37">
        <f>SUM(Table15[[#This Row],[Health]])</f>
        <v>108.6</v>
      </c>
      <c r="F60" s="37">
        <f>SUM(Table15[[#This Row],[Recreation and amusement]],Table15[[#This Row],[Education]])/2</f>
        <v>109.44999999999999</v>
      </c>
      <c r="G60" s="62">
        <f>SUM(Table15[[#This Row],[Miscellaneous]],Table15[[#This Row],[Personal care and effects]])/2</f>
        <v>108.30000000000001</v>
      </c>
      <c r="H60" s="64">
        <f t="shared" si="0"/>
        <v>0.14588859416447716</v>
      </c>
      <c r="I60" s="64">
        <f t="shared" si="1"/>
        <v>-0.62724014336916545</v>
      </c>
      <c r="J60" s="64">
        <f t="shared" si="2"/>
        <v>0.18298261665142074</v>
      </c>
      <c r="K60" s="64">
        <f t="shared" si="3"/>
        <v>-21.114683815648437</v>
      </c>
      <c r="L60" s="64">
        <f t="shared" si="4"/>
        <v>-0.27548209366392229</v>
      </c>
      <c r="M60" s="64">
        <f t="shared" si="5"/>
        <v>0.18306636155605369</v>
      </c>
      <c r="N60" s="64">
        <f t="shared" si="6"/>
        <v>1.312174950618837E-14</v>
      </c>
    </row>
    <row r="61" spans="1:14" x14ac:dyDescent="0.3">
      <c r="A61" s="38">
        <f>SUM(Table15[[#This Row],[Cereals and products]:[Food and beverages]])/13</f>
        <v>116.7076923076923</v>
      </c>
      <c r="B61" s="38">
        <f>SUM(Table15[[#This Row],[Fuel and light]])</f>
        <v>109.7</v>
      </c>
      <c r="C61" s="38">
        <f>SUM(Table15[[#This Row],[Transport and communication]])</f>
        <v>109.7</v>
      </c>
      <c r="D61" s="38">
        <f>SUM(Table15[[#This Row],[Housing]],Table15[[#This Row],[Household goods and services]])/2</f>
        <v>110.35</v>
      </c>
      <c r="E61" s="38">
        <f>SUM(Table15[[#This Row],[Health]])</f>
        <v>108.2</v>
      </c>
      <c r="F61" s="38">
        <f>SUM(Table15[[#This Row],[Recreation and amusement]],Table15[[#This Row],[Education]])/2</f>
        <v>109.65</v>
      </c>
      <c r="G61" s="63">
        <f>SUM(Table15[[#This Row],[Miscellaneous]],Table15[[#This Row],[Personal care and effects]])/2</f>
        <v>108.35</v>
      </c>
      <c r="H61" s="64">
        <f t="shared" si="0"/>
        <v>0.46351476625609578</v>
      </c>
      <c r="I61" s="64">
        <f t="shared" si="1"/>
        <v>-1.082055906221824</v>
      </c>
      <c r="J61" s="64">
        <f t="shared" si="2"/>
        <v>0.18264840182648662</v>
      </c>
      <c r="K61" s="64">
        <f t="shared" si="3"/>
        <v>-4.5289855072474065E-2</v>
      </c>
      <c r="L61" s="64">
        <f t="shared" si="4"/>
        <v>-0.36832412523019475</v>
      </c>
      <c r="M61" s="64">
        <f t="shared" si="5"/>
        <v>0.18273184102331391</v>
      </c>
      <c r="N61" s="64">
        <f t="shared" si="6"/>
        <v>4.6168051708202165E-2</v>
      </c>
    </row>
    <row r="62" spans="1:14" x14ac:dyDescent="0.3">
      <c r="A62" s="37">
        <f>SUM(Table15[[#This Row],[Cereals and products]:[Food and beverages]])/13</f>
        <v>118.21538461538461</v>
      </c>
      <c r="B62" s="37">
        <f>SUM(Table15[[#This Row],[Fuel and light]])</f>
        <v>112.6</v>
      </c>
      <c r="C62" s="37">
        <f>SUM(Table15[[#This Row],[Transport and communication]])</f>
        <v>109.6</v>
      </c>
      <c r="D62" s="37">
        <f>SUM(Table15[[#This Row],[Housing]],Table15[[#This Row],[Household goods and services]])/2</f>
        <v>141.25</v>
      </c>
      <c r="E62" s="37">
        <f>SUM(Table15[[#This Row],[Health]])</f>
        <v>109.7</v>
      </c>
      <c r="F62" s="37">
        <f>SUM(Table15[[#This Row],[Recreation and amusement]],Table15[[#This Row],[Education]])/2</f>
        <v>109.85</v>
      </c>
      <c r="G62" s="62">
        <f>SUM(Table15[[#This Row],[Miscellaneous]],Table15[[#This Row],[Personal care and effects]])/2</f>
        <v>109</v>
      </c>
      <c r="H62" s="64">
        <f t="shared" si="0"/>
        <v>1.2918534141840248</v>
      </c>
      <c r="I62" s="64">
        <f t="shared" si="1"/>
        <v>2.643573381950767</v>
      </c>
      <c r="J62" s="64">
        <f t="shared" si="2"/>
        <v>-9.1157702825896553E-2</v>
      </c>
      <c r="K62" s="64">
        <f t="shared" si="3"/>
        <v>28.001812415043055</v>
      </c>
      <c r="L62" s="64">
        <f t="shared" si="4"/>
        <v>1.3863216266173752</v>
      </c>
      <c r="M62" s="64">
        <f t="shared" si="5"/>
        <v>0.18239854081166315</v>
      </c>
      <c r="N62" s="64">
        <f t="shared" si="6"/>
        <v>0.59990770650669656</v>
      </c>
    </row>
    <row r="63" spans="1:14" x14ac:dyDescent="0.3">
      <c r="A63" s="38">
        <f>SUM(Table15[[#This Row],[Cereals and products]:[Food and beverages]])/13</f>
        <v>175.97692307692307</v>
      </c>
      <c r="B63" s="38">
        <f>SUM(Table15[[#This Row],[Fuel and light]])</f>
        <v>181.9</v>
      </c>
      <c r="C63" s="38">
        <f>SUM(Table15[[#This Row],[Transport and communication]])</f>
        <v>167.5</v>
      </c>
      <c r="D63" s="38">
        <f>SUM(Table15[[#This Row],[Housing]],Table15[[#This Row],[Household goods and services]])/2</f>
        <v>169.85</v>
      </c>
      <c r="E63" s="38">
        <f>SUM(Table15[[#This Row],[Health]])</f>
        <v>182.3</v>
      </c>
      <c r="F63" s="38">
        <f>SUM(Table15[[#This Row],[Recreation and amusement]],Table15[[#This Row],[Education]])/2</f>
        <v>173.85000000000002</v>
      </c>
      <c r="G63" s="63">
        <f>SUM(Table15[[#This Row],[Miscellaneous]],Table15[[#This Row],[Personal care and effects]])/2</f>
        <v>174</v>
      </c>
      <c r="H63" s="64">
        <f t="shared" si="0"/>
        <v>48.861270171785534</v>
      </c>
      <c r="I63" s="64">
        <f t="shared" si="1"/>
        <v>61.545293072824172</v>
      </c>
      <c r="J63" s="64">
        <f t="shared" si="2"/>
        <v>52.828467153284677</v>
      </c>
      <c r="K63" s="64">
        <f t="shared" si="3"/>
        <v>20.247787610619465</v>
      </c>
      <c r="L63" s="64">
        <f t="shared" si="4"/>
        <v>66.180492251595268</v>
      </c>
      <c r="M63" s="64">
        <f t="shared" si="5"/>
        <v>58.261265361857106</v>
      </c>
      <c r="N63" s="64">
        <f t="shared" si="6"/>
        <v>59.633027522935777</v>
      </c>
    </row>
    <row r="64" spans="1:14" x14ac:dyDescent="0.3">
      <c r="A64" s="37">
        <f>SUM(Table15[[#This Row],[Cereals and products]:[Food and beverages]])/13</f>
        <v>176.67692307692309</v>
      </c>
      <c r="B64" s="37">
        <f>SUM(Table15[[#This Row],[Fuel and light]])</f>
        <v>181.3</v>
      </c>
      <c r="C64" s="37">
        <f>SUM(Table15[[#This Row],[Transport and communication]])</f>
        <v>163</v>
      </c>
      <c r="D64" s="37">
        <f>SUM(Table15[[#This Row],[Housing]],Table15[[#This Row],[Household goods and services]])/2</f>
        <v>171.60000000000002</v>
      </c>
      <c r="E64" s="37">
        <f>SUM(Table15[[#This Row],[Health]])</f>
        <v>179.8</v>
      </c>
      <c r="F64" s="37">
        <f>SUM(Table15[[#This Row],[Recreation and amusement]],Table15[[#This Row],[Education]])/2</f>
        <v>171.1</v>
      </c>
      <c r="G64" s="62">
        <f>SUM(Table15[[#This Row],[Miscellaneous]],Table15[[#This Row],[Personal care and effects]])/2</f>
        <v>172.35</v>
      </c>
      <c r="H64" s="64">
        <f t="shared" si="0"/>
        <v>0.39777942912096093</v>
      </c>
      <c r="I64" s="64">
        <f t="shared" si="1"/>
        <v>-0.3298515667949391</v>
      </c>
      <c r="J64" s="64">
        <f t="shared" si="2"/>
        <v>-2.6865671641791042</v>
      </c>
      <c r="K64" s="64">
        <f t="shared" si="3"/>
        <v>1.0303208713570966</v>
      </c>
      <c r="L64" s="64">
        <f t="shared" si="4"/>
        <v>-1.3713658804168951</v>
      </c>
      <c r="M64" s="64">
        <f t="shared" si="5"/>
        <v>-1.5818234109864988</v>
      </c>
      <c r="N64" s="64">
        <f t="shared" si="6"/>
        <v>-0.94827586206896886</v>
      </c>
    </row>
    <row r="65" spans="1:14" x14ac:dyDescent="0.3">
      <c r="A65" s="38">
        <f>SUM(Table15[[#This Row],[Cereals and products]:[Food and beverages]])/13</f>
        <v>178.03076923076924</v>
      </c>
      <c r="B65" s="38">
        <f>SUM(Table15[[#This Row],[Fuel and light]])</f>
        <v>180.3</v>
      </c>
      <c r="C65" s="38">
        <f>SUM(Table15[[#This Row],[Transport and communication]])</f>
        <v>158.9</v>
      </c>
      <c r="D65" s="38">
        <f>SUM(Table15[[#This Row],[Housing]],Table15[[#This Row],[Household goods and services]])/2</f>
        <v>169.35000000000002</v>
      </c>
      <c r="E65" s="38">
        <f>SUM(Table15[[#This Row],[Health]])</f>
        <v>175.8</v>
      </c>
      <c r="F65" s="38">
        <f>SUM(Table15[[#This Row],[Recreation and amusement]],Table15[[#This Row],[Education]])/2</f>
        <v>169.1</v>
      </c>
      <c r="G65" s="63">
        <f>SUM(Table15[[#This Row],[Miscellaneous]],Table15[[#This Row],[Personal care and effects]])/2</f>
        <v>170.60000000000002</v>
      </c>
      <c r="H65" s="64">
        <f t="shared" si="0"/>
        <v>0.7662835249042117</v>
      </c>
      <c r="I65" s="64">
        <f t="shared" si="1"/>
        <v>-0.55157198014340869</v>
      </c>
      <c r="J65" s="64">
        <f t="shared" si="2"/>
        <v>-2.51533742331288</v>
      </c>
      <c r="K65" s="64">
        <f t="shared" si="3"/>
        <v>-1.311188811188811</v>
      </c>
      <c r="L65" s="64">
        <f t="shared" si="4"/>
        <v>-2.2246941045606228</v>
      </c>
      <c r="M65" s="64">
        <f t="shared" si="5"/>
        <v>-1.168907071887785</v>
      </c>
      <c r="N65" s="64">
        <f t="shared" si="6"/>
        <v>-1.0153756890049155</v>
      </c>
    </row>
    <row r="66" spans="1:14" x14ac:dyDescent="0.3">
      <c r="A66" s="37">
        <f>SUM(Table15[[#This Row],[Cereals and products]:[Food and beverages]])/13</f>
        <v>135.4769230769231</v>
      </c>
      <c r="B66" s="37">
        <f>SUM(Table15[[#This Row],[Fuel and light]])</f>
        <v>146.4</v>
      </c>
      <c r="C66" s="37">
        <f>SUM(Table15[[#This Row],[Transport and communication]])</f>
        <v>129.9</v>
      </c>
      <c r="D66" s="37">
        <f>SUM(Table15[[#This Row],[Housing]],Table15[[#This Row],[Household goods and services]])/2</f>
        <v>149.5</v>
      </c>
      <c r="E66" s="37">
        <f>SUM(Table15[[#This Row],[Health]])</f>
        <v>150.4</v>
      </c>
      <c r="F66" s="37">
        <f>SUM(Table15[[#This Row],[Recreation and amusement]],Table15[[#This Row],[Education]])/2</f>
        <v>149.65</v>
      </c>
      <c r="G66" s="62">
        <f>SUM(Table15[[#This Row],[Miscellaneous]],Table15[[#This Row],[Personal care and effects]])/2</f>
        <v>138.19999999999999</v>
      </c>
      <c r="H66" s="64">
        <f t="shared" si="0"/>
        <v>-23.902523332181115</v>
      </c>
      <c r="I66" s="64">
        <f t="shared" si="1"/>
        <v>-18.801996672212979</v>
      </c>
      <c r="J66" s="64">
        <f t="shared" si="2"/>
        <v>-18.250471994965388</v>
      </c>
      <c r="K66" s="64">
        <f t="shared" si="3"/>
        <v>-11.721287274874532</v>
      </c>
      <c r="L66" s="64">
        <f t="shared" si="4"/>
        <v>-14.448236632536975</v>
      </c>
      <c r="M66" s="64">
        <f t="shared" si="5"/>
        <v>-11.502069781194553</v>
      </c>
      <c r="N66" s="64">
        <f t="shared" si="6"/>
        <v>-18.991793669402128</v>
      </c>
    </row>
    <row r="67" spans="1:14" x14ac:dyDescent="0.3">
      <c r="A67" s="38">
        <f>SUM(Table15[[#This Row],[Cereals and products]:[Food and beverages]])/13</f>
        <v>135.6076923076923</v>
      </c>
      <c r="B67" s="38">
        <f>SUM(Table15[[#This Row],[Fuel and light]])</f>
        <v>139.69999999999999</v>
      </c>
      <c r="C67" s="38">
        <f>SUM(Table15[[#This Row],[Transport and communication]])</f>
        <v>124.6</v>
      </c>
      <c r="D67" s="38">
        <f>SUM(Table15[[#This Row],[Housing]],Table15[[#This Row],[Household goods and services]])/2</f>
        <v>146.4</v>
      </c>
      <c r="E67" s="38">
        <f>SUM(Table15[[#This Row],[Health]])</f>
        <v>146.19999999999999</v>
      </c>
      <c r="F67" s="38">
        <f>SUM(Table15[[#This Row],[Recreation and amusement]],Table15[[#This Row],[Education]])/2</f>
        <v>144</v>
      </c>
      <c r="G67" s="63">
        <f>SUM(Table15[[#This Row],[Miscellaneous]],Table15[[#This Row],[Personal care and effects]])/2</f>
        <v>135.55000000000001</v>
      </c>
      <c r="H67" s="64">
        <f t="shared" si="0"/>
        <v>9.6525096525076501E-2</v>
      </c>
      <c r="I67" s="64">
        <f t="shared" si="1"/>
        <v>-4.5765027322404483</v>
      </c>
      <c r="J67" s="64">
        <f t="shared" si="2"/>
        <v>-4.0800615858352662</v>
      </c>
      <c r="K67" s="64">
        <f t="shared" si="3"/>
        <v>-2.0735785953177222</v>
      </c>
      <c r="L67" s="64">
        <f t="shared" si="4"/>
        <v>-2.7925531914893731</v>
      </c>
      <c r="M67" s="64">
        <f t="shared" si="5"/>
        <v>-3.7754761109254966</v>
      </c>
      <c r="N67" s="64">
        <f t="shared" si="6"/>
        <v>-1.9175108538350054</v>
      </c>
    </row>
    <row r="68" spans="1:14" x14ac:dyDescent="0.3">
      <c r="A68" s="37">
        <f>SUM(Table15[[#This Row],[Cereals and products]:[Food and beverages]])/13</f>
        <v>136.03076923076924</v>
      </c>
      <c r="B68" s="37">
        <f>SUM(Table15[[#This Row],[Fuel and light]])</f>
        <v>128.80000000000001</v>
      </c>
      <c r="C68" s="37">
        <f>SUM(Table15[[#This Row],[Transport and communication]])</f>
        <v>119.9</v>
      </c>
      <c r="D68" s="37">
        <f>SUM(Table15[[#This Row],[Housing]],Table15[[#This Row],[Household goods and services]])/2</f>
        <v>142.9</v>
      </c>
      <c r="E68" s="37">
        <f>SUM(Table15[[#This Row],[Health]])</f>
        <v>139.19999999999999</v>
      </c>
      <c r="F68" s="37">
        <f>SUM(Table15[[#This Row],[Recreation and amusement]],Table15[[#This Row],[Education]])/2</f>
        <v>139.85</v>
      </c>
      <c r="G68" s="62">
        <f>SUM(Table15[[#This Row],[Miscellaneous]],Table15[[#This Row],[Personal care and effects]])/2</f>
        <v>132.65</v>
      </c>
      <c r="H68" s="64">
        <f t="shared" ref="H68:H131" si="7">((A68-A67)/A67* 100)</f>
        <v>0.31198593227069837</v>
      </c>
      <c r="I68" s="64">
        <f t="shared" ref="I68:I131" si="8">((B68-B67)/B67 *100)</f>
        <v>-7.8024337866857394</v>
      </c>
      <c r="J68" s="64">
        <f t="shared" ref="J68:J131" si="9">((C68-C67)/C67 * 100)</f>
        <v>-3.7720706260032015</v>
      </c>
      <c r="K68" s="64">
        <f t="shared" ref="K68:K131" si="10">((D68-D67)/D67 * 100)</f>
        <v>-2.3907103825136611</v>
      </c>
      <c r="L68" s="64">
        <f t="shared" ref="L68:L131" si="11">((E68-E67)/E67 * 100)</f>
        <v>-4.7879616963064304</v>
      </c>
      <c r="M68" s="64">
        <f t="shared" ref="M68:M131" si="12">((F68-F67)/F67 * 100)</f>
        <v>-2.8819444444444486</v>
      </c>
      <c r="N68" s="64">
        <f t="shared" ref="N68:N131" si="13">((G68-G67)/G67 *100)</f>
        <v>-2.1394319439321325</v>
      </c>
    </row>
    <row r="69" spans="1:14" x14ac:dyDescent="0.3">
      <c r="A69" s="38">
        <f>SUM(Table15[[#This Row],[Cereals and products]:[Food and beverages]])/13</f>
        <v>137.0846153846154</v>
      </c>
      <c r="B69" s="38">
        <f>SUM(Table15[[#This Row],[Fuel and light]])</f>
        <v>146.9</v>
      </c>
      <c r="C69" s="38">
        <f>SUM(Table15[[#This Row],[Transport and communication]])</f>
        <v>130.19999999999999</v>
      </c>
      <c r="D69" s="38">
        <f>SUM(Table15[[#This Row],[Housing]],Table15[[#This Row],[Household goods and services]])/2</f>
        <v>149.80000000000001</v>
      </c>
      <c r="E69" s="38">
        <f>SUM(Table15[[#This Row],[Health]])</f>
        <v>151.30000000000001</v>
      </c>
      <c r="F69" s="38">
        <f>SUM(Table15[[#This Row],[Recreation and amusement]],Table15[[#This Row],[Education]])/2</f>
        <v>151.30000000000001</v>
      </c>
      <c r="G69" s="63">
        <f>SUM(Table15[[#This Row],[Miscellaneous]],Table15[[#This Row],[Personal care and effects]])/2</f>
        <v>138.4</v>
      </c>
      <c r="H69" s="64">
        <f t="shared" si="7"/>
        <v>0.77471160370957692</v>
      </c>
      <c r="I69" s="64">
        <f t="shared" si="8"/>
        <v>14.052795031055895</v>
      </c>
      <c r="J69" s="64">
        <f t="shared" si="9"/>
        <v>8.5904920767305946</v>
      </c>
      <c r="K69" s="64">
        <f t="shared" si="10"/>
        <v>4.8285514345696328</v>
      </c>
      <c r="L69" s="64">
        <f t="shared" si="11"/>
        <v>8.6925287356321999</v>
      </c>
      <c r="M69" s="64">
        <f t="shared" si="12"/>
        <v>8.1873435824097367</v>
      </c>
      <c r="N69" s="64">
        <f t="shared" si="13"/>
        <v>4.3347154165096118</v>
      </c>
    </row>
    <row r="70" spans="1:14" x14ac:dyDescent="0.3">
      <c r="A70" s="37">
        <f>SUM(Table15[[#This Row],[Cereals and products]:[Food and beverages]])/13</f>
        <v>137.83846153846156</v>
      </c>
      <c r="B70" s="37">
        <f>SUM(Table15[[#This Row],[Fuel and light]])</f>
        <v>140.30000000000001</v>
      </c>
      <c r="C70" s="37">
        <f>SUM(Table15[[#This Row],[Transport and communication]])</f>
        <v>124.9</v>
      </c>
      <c r="D70" s="37">
        <f>SUM(Table15[[#This Row],[Housing]],Table15[[#This Row],[Household goods and services]])/2</f>
        <v>146.89999999999998</v>
      </c>
      <c r="E70" s="37">
        <f>SUM(Table15[[#This Row],[Health]])</f>
        <v>146.9</v>
      </c>
      <c r="F70" s="37">
        <f>SUM(Table15[[#This Row],[Recreation and amusement]],Table15[[#This Row],[Education]])/2</f>
        <v>145.39999999999998</v>
      </c>
      <c r="G70" s="62">
        <f>SUM(Table15[[#This Row],[Miscellaneous]],Table15[[#This Row],[Personal care and effects]])/2</f>
        <v>135.80000000000001</v>
      </c>
      <c r="H70" s="64">
        <f t="shared" si="7"/>
        <v>0.54991302396049657</v>
      </c>
      <c r="I70" s="64">
        <f t="shared" si="8"/>
        <v>-4.4928522804628956</v>
      </c>
      <c r="J70" s="64">
        <f t="shared" si="9"/>
        <v>-4.0706605222734131</v>
      </c>
      <c r="K70" s="64">
        <f t="shared" si="10"/>
        <v>-1.9359145527370052</v>
      </c>
      <c r="L70" s="64">
        <f t="shared" si="11"/>
        <v>-2.9081295439524162</v>
      </c>
      <c r="M70" s="64">
        <f t="shared" si="12"/>
        <v>-3.899537343027121</v>
      </c>
      <c r="N70" s="64">
        <f t="shared" si="13"/>
        <v>-1.8786127167630018</v>
      </c>
    </row>
    <row r="71" spans="1:14" x14ac:dyDescent="0.3">
      <c r="A71" s="38">
        <f>SUM(Table15[[#This Row],[Cereals and products]:[Food and beverages]])/13</f>
        <v>139.34615384615387</v>
      </c>
      <c r="B71" s="38">
        <f>SUM(Table15[[#This Row],[Fuel and light]])</f>
        <v>129.4</v>
      </c>
      <c r="C71" s="38">
        <f>SUM(Table15[[#This Row],[Transport and communication]])</f>
        <v>120.1</v>
      </c>
      <c r="D71" s="38">
        <f>SUM(Table15[[#This Row],[Housing]],Table15[[#This Row],[Household goods and services]])/2</f>
        <v>143.64999999999998</v>
      </c>
      <c r="E71" s="38">
        <f>SUM(Table15[[#This Row],[Health]])</f>
        <v>139.80000000000001</v>
      </c>
      <c r="F71" s="38">
        <f>SUM(Table15[[#This Row],[Recreation and amusement]],Table15[[#This Row],[Education]])/2</f>
        <v>141</v>
      </c>
      <c r="G71" s="63">
        <f>SUM(Table15[[#This Row],[Miscellaneous]],Table15[[#This Row],[Personal care and effects]])/2</f>
        <v>132.94999999999999</v>
      </c>
      <c r="H71" s="64">
        <f t="shared" si="7"/>
        <v>1.0938110385624209</v>
      </c>
      <c r="I71" s="64">
        <f t="shared" si="8"/>
        <v>-7.7690662865288695</v>
      </c>
      <c r="J71" s="64">
        <f t="shared" si="9"/>
        <v>-3.8430744595676627</v>
      </c>
      <c r="K71" s="64">
        <f t="shared" si="10"/>
        <v>-2.2123893805309738</v>
      </c>
      <c r="L71" s="64">
        <f t="shared" si="11"/>
        <v>-4.8332198774676609</v>
      </c>
      <c r="M71" s="64">
        <f t="shared" si="12"/>
        <v>-3.0261348005501914</v>
      </c>
      <c r="N71" s="64">
        <f t="shared" si="13"/>
        <v>-2.0986745213549503</v>
      </c>
    </row>
    <row r="72" spans="1:14" x14ac:dyDescent="0.3">
      <c r="A72" s="37">
        <f>SUM(Table15[[#This Row],[Cereals and products]:[Food and beverages]])/13</f>
        <v>146.50769230769231</v>
      </c>
      <c r="B72" s="37">
        <f>SUM(Table15[[#This Row],[Fuel and light]])</f>
        <v>148.4</v>
      </c>
      <c r="C72" s="37">
        <f>SUM(Table15[[#This Row],[Transport and communication]])</f>
        <v>132.1</v>
      </c>
      <c r="D72" s="37">
        <f>SUM(Table15[[#This Row],[Housing]],Table15[[#This Row],[Household goods and services]])/2</f>
        <v>148.9</v>
      </c>
      <c r="E72" s="37">
        <f>SUM(Table15[[#This Row],[Health]])</f>
        <v>154.30000000000001</v>
      </c>
      <c r="F72" s="37">
        <f>SUM(Table15[[#This Row],[Recreation and amusement]],Table15[[#This Row],[Education]])/2</f>
        <v>154.94999999999999</v>
      </c>
      <c r="G72" s="62">
        <f>SUM(Table15[[#This Row],[Miscellaneous]],Table15[[#This Row],[Personal care and effects]])/2</f>
        <v>143.35</v>
      </c>
      <c r="H72" s="64">
        <f t="shared" si="7"/>
        <v>5.1393872481368872</v>
      </c>
      <c r="I72" s="64">
        <f t="shared" si="8"/>
        <v>14.683153013910355</v>
      </c>
      <c r="J72" s="64">
        <f t="shared" si="9"/>
        <v>9.9916736053288933</v>
      </c>
      <c r="K72" s="64">
        <f t="shared" si="10"/>
        <v>3.6547163243996024</v>
      </c>
      <c r="L72" s="64">
        <f t="shared" si="11"/>
        <v>10.371959942775392</v>
      </c>
      <c r="M72" s="64">
        <f t="shared" si="12"/>
        <v>9.8936170212765884</v>
      </c>
      <c r="N72" s="64">
        <f t="shared" si="13"/>
        <v>7.8224896577660825</v>
      </c>
    </row>
    <row r="73" spans="1:14" x14ac:dyDescent="0.3">
      <c r="A73" s="38">
        <f>SUM(Table15[[#This Row],[Cereals and products]:[Food and beverages]])/13</f>
        <v>146.99230769230769</v>
      </c>
      <c r="B73" s="38">
        <f>SUM(Table15[[#This Row],[Fuel and light]])</f>
        <v>142.30000000000001</v>
      </c>
      <c r="C73" s="38">
        <f>SUM(Table15[[#This Row],[Transport and communication]])</f>
        <v>126.6</v>
      </c>
      <c r="D73" s="38">
        <f>SUM(Table15[[#This Row],[Housing]],Table15[[#This Row],[Household goods and services]])/2</f>
        <v>149.4</v>
      </c>
      <c r="E73" s="38">
        <f>SUM(Table15[[#This Row],[Health]])</f>
        <v>149.9</v>
      </c>
      <c r="F73" s="38">
        <f>SUM(Table15[[#This Row],[Recreation and amusement]],Table15[[#This Row],[Education]])/2</f>
        <v>148.80000000000001</v>
      </c>
      <c r="G73" s="63">
        <f>SUM(Table15[[#This Row],[Miscellaneous]],Table15[[#This Row],[Personal care and effects]])/2</f>
        <v>140.80000000000001</v>
      </c>
      <c r="H73" s="64">
        <f t="shared" si="7"/>
        <v>0.33077811613986946</v>
      </c>
      <c r="I73" s="64">
        <f t="shared" si="8"/>
        <v>-4.1105121293800497</v>
      </c>
      <c r="J73" s="64">
        <f t="shared" si="9"/>
        <v>-4.1635124905374719</v>
      </c>
      <c r="K73" s="64">
        <f t="shared" si="10"/>
        <v>0.33579583613163194</v>
      </c>
      <c r="L73" s="64">
        <f t="shared" si="11"/>
        <v>-2.8515878159429717</v>
      </c>
      <c r="M73" s="64">
        <f t="shared" si="12"/>
        <v>-3.9690222652468394</v>
      </c>
      <c r="N73" s="64">
        <f t="shared" si="13"/>
        <v>-1.7788629229159283</v>
      </c>
    </row>
    <row r="74" spans="1:14" x14ac:dyDescent="0.3">
      <c r="A74" s="37">
        <f>SUM(Table15[[#This Row],[Cereals and products]:[Food and beverages]])/13</f>
        <v>147.99999999999997</v>
      </c>
      <c r="B74" s="37">
        <f>SUM(Table15[[#This Row],[Fuel and light]])</f>
        <v>132.19999999999999</v>
      </c>
      <c r="C74" s="37">
        <f>SUM(Table15[[#This Row],[Transport and communication]])</f>
        <v>121.7</v>
      </c>
      <c r="D74" s="37">
        <f>SUM(Table15[[#This Row],[Housing]],Table15[[#This Row],[Household goods and services]])/2</f>
        <v>146.30000000000001</v>
      </c>
      <c r="E74" s="37">
        <f>SUM(Table15[[#This Row],[Health]])</f>
        <v>142.80000000000001</v>
      </c>
      <c r="F74" s="37">
        <f>SUM(Table15[[#This Row],[Recreation and amusement]],Table15[[#This Row],[Education]])/2</f>
        <v>144.25</v>
      </c>
      <c r="G74" s="62">
        <f>SUM(Table15[[#This Row],[Miscellaneous]],Table15[[#This Row],[Personal care and effects]])/2</f>
        <v>138.05000000000001</v>
      </c>
      <c r="H74" s="64">
        <f t="shared" si="7"/>
        <v>0.68554084462816756</v>
      </c>
      <c r="I74" s="64">
        <f t="shared" si="8"/>
        <v>-7.0976809557273519</v>
      </c>
      <c r="J74" s="64">
        <f t="shared" si="9"/>
        <v>-3.8704581358609729</v>
      </c>
      <c r="K74" s="64">
        <f t="shared" si="10"/>
        <v>-2.0749665327978541</v>
      </c>
      <c r="L74" s="64">
        <f t="shared" si="11"/>
        <v>-4.7364909939959929</v>
      </c>
      <c r="M74" s="64">
        <f t="shared" si="12"/>
        <v>-3.0577956989247386</v>
      </c>
      <c r="N74" s="64">
        <f t="shared" si="13"/>
        <v>-1.953125</v>
      </c>
    </row>
    <row r="75" spans="1:14" x14ac:dyDescent="0.3">
      <c r="A75" s="38">
        <f>SUM(Table15[[#This Row],[Cereals and products]:[Food and beverages]])/13</f>
        <v>137.49999999999997</v>
      </c>
      <c r="B75" s="38">
        <f>SUM(Table15[[#This Row],[Fuel and light]])</f>
        <v>150.30000000000001</v>
      </c>
      <c r="C75" s="38">
        <f>SUM(Table15[[#This Row],[Transport and communication]])</f>
        <v>130.30000000000001</v>
      </c>
      <c r="D75" s="38">
        <f>SUM(Table15[[#This Row],[Housing]],Table15[[#This Row],[Household goods and services]])/2</f>
        <v>143.30000000000001</v>
      </c>
      <c r="E75" s="38">
        <f>SUM(Table15[[#This Row],[Health]])</f>
        <v>145.4</v>
      </c>
      <c r="F75" s="38">
        <f>SUM(Table15[[#This Row],[Recreation and amusement]],Table15[[#This Row],[Education]])/2</f>
        <v>146.64999999999998</v>
      </c>
      <c r="G75" s="63">
        <f>SUM(Table15[[#This Row],[Miscellaneous]],Table15[[#This Row],[Personal care and effects]])/2</f>
        <v>136.6</v>
      </c>
      <c r="H75" s="64">
        <f t="shared" si="7"/>
        <v>-7.0945945945945956</v>
      </c>
      <c r="I75" s="64">
        <f t="shared" si="8"/>
        <v>13.691376701966734</v>
      </c>
      <c r="J75" s="64">
        <f t="shared" si="9"/>
        <v>7.0665571076417493</v>
      </c>
      <c r="K75" s="64">
        <f t="shared" si="10"/>
        <v>-2.0505809979494187</v>
      </c>
      <c r="L75" s="64">
        <f t="shared" si="11"/>
        <v>1.8207282913165226</v>
      </c>
      <c r="M75" s="64">
        <f t="shared" si="12"/>
        <v>1.6637781629115962</v>
      </c>
      <c r="N75" s="64">
        <f t="shared" si="13"/>
        <v>-1.0503440782325366</v>
      </c>
    </row>
    <row r="76" spans="1:14" x14ac:dyDescent="0.3">
      <c r="A76" s="37">
        <f>SUM(Table15[[#This Row],[Cereals and products]:[Food and beverages]])/13</f>
        <v>136.59230769230771</v>
      </c>
      <c r="B76" s="37">
        <f>SUM(Table15[[#This Row],[Fuel and light]])</f>
        <v>145.1</v>
      </c>
      <c r="C76" s="37">
        <f>SUM(Table15[[#This Row],[Transport and communication]])</f>
        <v>125.5</v>
      </c>
      <c r="D76" s="37">
        <f>SUM(Table15[[#This Row],[Housing]],Table15[[#This Row],[Household goods and services]])/2</f>
        <v>144.55000000000001</v>
      </c>
      <c r="E76" s="37">
        <f>SUM(Table15[[#This Row],[Health]])</f>
        <v>142.1</v>
      </c>
      <c r="F76" s="37">
        <f>SUM(Table15[[#This Row],[Recreation and amusement]],Table15[[#This Row],[Education]])/2</f>
        <v>142.15</v>
      </c>
      <c r="G76" s="62">
        <f>SUM(Table15[[#This Row],[Miscellaneous]],Table15[[#This Row],[Personal care and effects]])/2</f>
        <v>134.15</v>
      </c>
      <c r="H76" s="64">
        <f t="shared" si="7"/>
        <v>-0.66013986013982429</v>
      </c>
      <c r="I76" s="64">
        <f t="shared" si="8"/>
        <v>-3.4597471723220337</v>
      </c>
      <c r="J76" s="64">
        <f t="shared" si="9"/>
        <v>-3.6838066001535004</v>
      </c>
      <c r="K76" s="64">
        <f t="shared" si="10"/>
        <v>0.87229588276343339</v>
      </c>
      <c r="L76" s="64">
        <f t="shared" si="11"/>
        <v>-2.2696011004126624</v>
      </c>
      <c r="M76" s="64">
        <f t="shared" si="12"/>
        <v>-3.0685305148312119</v>
      </c>
      <c r="N76" s="64">
        <f t="shared" si="13"/>
        <v>-1.7935578330893036</v>
      </c>
    </row>
    <row r="77" spans="1:14" x14ac:dyDescent="0.3">
      <c r="A77" s="38">
        <f>SUM(Table15[[#This Row],[Cereals and products]:[Food and beverages]])/13</f>
        <v>135.19230769230768</v>
      </c>
      <c r="B77" s="38">
        <f>SUM(Table15[[#This Row],[Fuel and light]])</f>
        <v>136.69999999999999</v>
      </c>
      <c r="C77" s="38">
        <f>SUM(Table15[[#This Row],[Transport and communication]])</f>
        <v>121.2</v>
      </c>
      <c r="D77" s="38">
        <f>SUM(Table15[[#This Row],[Housing]],Table15[[#This Row],[Household goods and services]])/2</f>
        <v>141.35000000000002</v>
      </c>
      <c r="E77" s="38">
        <f>SUM(Table15[[#This Row],[Health]])</f>
        <v>136.80000000000001</v>
      </c>
      <c r="F77" s="38">
        <f>SUM(Table15[[#This Row],[Recreation and amusement]],Table15[[#This Row],[Education]])/2</f>
        <v>138.69999999999999</v>
      </c>
      <c r="G77" s="63">
        <f>SUM(Table15[[#This Row],[Miscellaneous]],Table15[[#This Row],[Personal care and effects]])/2</f>
        <v>131.35</v>
      </c>
      <c r="H77" s="64">
        <f t="shared" si="7"/>
        <v>-1.0249479078673447</v>
      </c>
      <c r="I77" s="64">
        <f t="shared" si="8"/>
        <v>-5.7891109579600313</v>
      </c>
      <c r="J77" s="64">
        <f t="shared" si="9"/>
        <v>-3.4262948207171293</v>
      </c>
      <c r="K77" s="64">
        <f t="shared" si="10"/>
        <v>-2.2137668626772666</v>
      </c>
      <c r="L77" s="64">
        <f t="shared" si="11"/>
        <v>-3.7297677691766244</v>
      </c>
      <c r="M77" s="64">
        <f t="shared" si="12"/>
        <v>-2.4270137179036348</v>
      </c>
      <c r="N77" s="64">
        <f t="shared" si="13"/>
        <v>-2.0872158032053756</v>
      </c>
    </row>
    <row r="78" spans="1:14" x14ac:dyDescent="0.3">
      <c r="A78" s="37">
        <f>SUM(Table15[[#This Row],[Cereals and products]:[Food and beverages]])/13</f>
        <v>138.2076923076923</v>
      </c>
      <c r="B78" s="37">
        <f>SUM(Table15[[#This Row],[Fuel and light]])</f>
        <v>125.7</v>
      </c>
      <c r="C78" s="37">
        <f>SUM(Table15[[#This Row],[Transport and communication]])</f>
        <v>115.3</v>
      </c>
      <c r="D78" s="37">
        <f>SUM(Table15[[#This Row],[Housing]],Table15[[#This Row],[Household goods and services]])/2</f>
        <v>133.69999999999999</v>
      </c>
      <c r="E78" s="37">
        <f>SUM(Table15[[#This Row],[Health]])</f>
        <v>127.4</v>
      </c>
      <c r="F78" s="37">
        <f>SUM(Table15[[#This Row],[Recreation and amusement]],Table15[[#This Row],[Education]])/2</f>
        <v>130.85</v>
      </c>
      <c r="G78" s="62">
        <f>SUM(Table15[[#This Row],[Miscellaneous]],Table15[[#This Row],[Personal care and effects]])/2</f>
        <v>124.9</v>
      </c>
      <c r="H78" s="64">
        <f t="shared" si="7"/>
        <v>2.2304409672830752</v>
      </c>
      <c r="I78" s="64">
        <f t="shared" si="8"/>
        <v>-8.0468178493050377</v>
      </c>
      <c r="J78" s="64">
        <f t="shared" si="9"/>
        <v>-4.8679867986798726</v>
      </c>
      <c r="K78" s="64">
        <f t="shared" si="10"/>
        <v>-5.4120976299964862</v>
      </c>
      <c r="L78" s="64">
        <f t="shared" si="11"/>
        <v>-6.8713450292397695</v>
      </c>
      <c r="M78" s="64">
        <f t="shared" si="12"/>
        <v>-5.6596971881759153</v>
      </c>
      <c r="N78" s="64">
        <f t="shared" si="13"/>
        <v>-4.9105443471640573</v>
      </c>
    </row>
    <row r="79" spans="1:14" x14ac:dyDescent="0.3">
      <c r="A79" s="38">
        <f>SUM(Table15[[#This Row],[Cereals and products]:[Food and beverages]])/13</f>
        <v>139.09230769230768</v>
      </c>
      <c r="B79" s="38">
        <f>SUM(Table15[[#This Row],[Fuel and light]])</f>
        <v>135.30000000000001</v>
      </c>
      <c r="C79" s="38">
        <f>SUM(Table15[[#This Row],[Transport and communication]])</f>
        <v>118.3</v>
      </c>
      <c r="D79" s="38">
        <f>SUM(Table15[[#This Row],[Housing]],Table15[[#This Row],[Household goods and services]])/2</f>
        <v>136.5</v>
      </c>
      <c r="E79" s="38">
        <f>SUM(Table15[[#This Row],[Health]])</f>
        <v>132.6</v>
      </c>
      <c r="F79" s="38">
        <f>SUM(Table15[[#This Row],[Recreation and amusement]],Table15[[#This Row],[Education]])/2</f>
        <v>133.75</v>
      </c>
      <c r="G79" s="63">
        <f>SUM(Table15[[#This Row],[Miscellaneous]],Table15[[#This Row],[Personal care and effects]])/2</f>
        <v>127.6</v>
      </c>
      <c r="H79" s="64">
        <f t="shared" si="7"/>
        <v>0.64006233650581779</v>
      </c>
      <c r="I79" s="64">
        <f t="shared" si="8"/>
        <v>7.6372315035799598</v>
      </c>
      <c r="J79" s="64">
        <f t="shared" si="9"/>
        <v>2.6019080659150045</v>
      </c>
      <c r="K79" s="64">
        <f t="shared" si="10"/>
        <v>2.0942408376963439</v>
      </c>
      <c r="L79" s="64">
        <f t="shared" si="11"/>
        <v>4.0816326530612148</v>
      </c>
      <c r="M79" s="64">
        <f t="shared" si="12"/>
        <v>2.2162781811234282</v>
      </c>
      <c r="N79" s="64">
        <f t="shared" si="13"/>
        <v>2.1617293835067963</v>
      </c>
    </row>
    <row r="80" spans="1:14" x14ac:dyDescent="0.3">
      <c r="A80" s="37">
        <f>SUM(Table15[[#This Row],[Cereals and products]:[Food and beverages]])/13</f>
        <v>139.82307692307694</v>
      </c>
      <c r="B80" s="37">
        <f>SUM(Table15[[#This Row],[Fuel and light]])</f>
        <v>141.1</v>
      </c>
      <c r="C80" s="37">
        <f>SUM(Table15[[#This Row],[Transport and communication]])</f>
        <v>121.6</v>
      </c>
      <c r="D80" s="37">
        <f>SUM(Table15[[#This Row],[Housing]],Table15[[#This Row],[Household goods and services]])/2</f>
        <v>139</v>
      </c>
      <c r="E80" s="37">
        <f>SUM(Table15[[#This Row],[Health]])</f>
        <v>135.80000000000001</v>
      </c>
      <c r="F80" s="37">
        <f>SUM(Table15[[#This Row],[Recreation and amusement]],Table15[[#This Row],[Education]])/2</f>
        <v>137.6</v>
      </c>
      <c r="G80" s="62">
        <f>SUM(Table15[[#This Row],[Miscellaneous]],Table15[[#This Row],[Personal care and effects]])/2</f>
        <v>129.89999999999998</v>
      </c>
      <c r="H80" s="64">
        <f t="shared" si="7"/>
        <v>0.52538436013717027</v>
      </c>
      <c r="I80" s="64">
        <f t="shared" si="8"/>
        <v>4.286770140428664</v>
      </c>
      <c r="J80" s="64">
        <f t="shared" si="9"/>
        <v>2.7895181741335562</v>
      </c>
      <c r="K80" s="64">
        <f t="shared" si="10"/>
        <v>1.8315018315018317</v>
      </c>
      <c r="L80" s="64">
        <f t="shared" si="11"/>
        <v>2.4132730015083084</v>
      </c>
      <c r="M80" s="64">
        <f t="shared" si="12"/>
        <v>2.8785046728971917</v>
      </c>
      <c r="N80" s="64">
        <f t="shared" si="13"/>
        <v>1.8025078369905825</v>
      </c>
    </row>
    <row r="81" spans="1:14" x14ac:dyDescent="0.3">
      <c r="A81" s="38">
        <f>SUM(Table15[[#This Row],[Cereals and products]:[Food and beverages]])/13</f>
        <v>135.01538461538462</v>
      </c>
      <c r="B81" s="38">
        <f>SUM(Table15[[#This Row],[Fuel and light]])</f>
        <v>116.2</v>
      </c>
      <c r="C81" s="38">
        <f>SUM(Table15[[#This Row],[Transport and communication]])</f>
        <v>113.4</v>
      </c>
      <c r="D81" s="38">
        <f>SUM(Table15[[#This Row],[Housing]],Table15[[#This Row],[Household goods and services]])/2</f>
        <v>126.9</v>
      </c>
      <c r="E81" s="38">
        <f>SUM(Table15[[#This Row],[Health]])</f>
        <v>122.1</v>
      </c>
      <c r="F81" s="38">
        <f>SUM(Table15[[#This Row],[Recreation and amusement]],Table15[[#This Row],[Education]])/2</f>
        <v>126.9</v>
      </c>
      <c r="G81" s="63">
        <f>SUM(Table15[[#This Row],[Miscellaneous]],Table15[[#This Row],[Personal care and effects]])/2</f>
        <v>121.3</v>
      </c>
      <c r="H81" s="64">
        <f t="shared" si="7"/>
        <v>-3.4384111789624341</v>
      </c>
      <c r="I81" s="64">
        <f t="shared" si="8"/>
        <v>-17.647058823529406</v>
      </c>
      <c r="J81" s="64">
        <f t="shared" si="9"/>
        <v>-6.743421052631569</v>
      </c>
      <c r="K81" s="64">
        <f t="shared" si="10"/>
        <v>-8.7050359712230172</v>
      </c>
      <c r="L81" s="64">
        <f t="shared" si="11"/>
        <v>-10.08836524300443</v>
      </c>
      <c r="M81" s="64">
        <f t="shared" si="12"/>
        <v>-7.7761627906976658</v>
      </c>
      <c r="N81" s="64">
        <f t="shared" si="13"/>
        <v>-6.6204772902232341</v>
      </c>
    </row>
    <row r="82" spans="1:14" x14ac:dyDescent="0.3">
      <c r="A82" s="37">
        <f>SUM(Table15[[#This Row],[Cereals and products]:[Food and beverages]])/13</f>
        <v>135.36923076923077</v>
      </c>
      <c r="B82" s="37">
        <f>SUM(Table15[[#This Row],[Fuel and light]])</f>
        <v>125</v>
      </c>
      <c r="C82" s="37">
        <f>SUM(Table15[[#This Row],[Transport and communication]])</f>
        <v>115.7</v>
      </c>
      <c r="D82" s="37">
        <f>SUM(Table15[[#This Row],[Housing]],Table15[[#This Row],[Household goods and services]])/2</f>
        <v>128.85</v>
      </c>
      <c r="E82" s="37">
        <f>SUM(Table15[[#This Row],[Health]])</f>
        <v>126.4</v>
      </c>
      <c r="F82" s="37">
        <f>SUM(Table15[[#This Row],[Recreation and amusement]],Table15[[#This Row],[Education]])/2</f>
        <v>128.4</v>
      </c>
      <c r="G82" s="62">
        <f>SUM(Table15[[#This Row],[Miscellaneous]],Table15[[#This Row],[Personal care and effects]])/2</f>
        <v>123.19999999999999</v>
      </c>
      <c r="H82" s="64">
        <f t="shared" si="7"/>
        <v>0.2620783956244267</v>
      </c>
      <c r="I82" s="64">
        <f t="shared" si="8"/>
        <v>7.5731497418244382</v>
      </c>
      <c r="J82" s="64">
        <f t="shared" si="9"/>
        <v>2.0282186948853589</v>
      </c>
      <c r="K82" s="64">
        <f t="shared" si="10"/>
        <v>1.536643026004719</v>
      </c>
      <c r="L82" s="64">
        <f t="shared" si="11"/>
        <v>3.5217035217035315</v>
      </c>
      <c r="M82" s="64">
        <f t="shared" si="12"/>
        <v>1.1820330969267139</v>
      </c>
      <c r="N82" s="64">
        <f t="shared" si="13"/>
        <v>1.5663643858202732</v>
      </c>
    </row>
    <row r="83" spans="1:14" x14ac:dyDescent="0.3">
      <c r="A83" s="38">
        <f>SUM(Table15[[#This Row],[Cereals and products]:[Food and beverages]])/13</f>
        <v>135.73846153846154</v>
      </c>
      <c r="B83" s="38">
        <f>SUM(Table15[[#This Row],[Fuel and light]])</f>
        <v>130.30000000000001</v>
      </c>
      <c r="C83" s="38">
        <f>SUM(Table15[[#This Row],[Transport and communication]])</f>
        <v>118.2</v>
      </c>
      <c r="D83" s="38">
        <f>SUM(Table15[[#This Row],[Housing]],Table15[[#This Row],[Household goods and services]])/2</f>
        <v>130.6</v>
      </c>
      <c r="E83" s="38">
        <f>SUM(Table15[[#This Row],[Health]])</f>
        <v>129.1</v>
      </c>
      <c r="F83" s="38">
        <f>SUM(Table15[[#This Row],[Recreation and amusement]],Table15[[#This Row],[Education]])/2</f>
        <v>130.30000000000001</v>
      </c>
      <c r="G83" s="63">
        <f>SUM(Table15[[#This Row],[Miscellaneous]],Table15[[#This Row],[Personal care and effects]])/2</f>
        <v>124.8</v>
      </c>
      <c r="H83" s="64">
        <f t="shared" si="7"/>
        <v>0.2727582679849973</v>
      </c>
      <c r="I83" s="64">
        <f t="shared" si="8"/>
        <v>4.2400000000000091</v>
      </c>
      <c r="J83" s="64">
        <f t="shared" si="9"/>
        <v>2.1607605877268798</v>
      </c>
      <c r="K83" s="64">
        <f t="shared" si="10"/>
        <v>1.3581684128831977</v>
      </c>
      <c r="L83" s="64">
        <f t="shared" si="11"/>
        <v>2.1360759493670796</v>
      </c>
      <c r="M83" s="64">
        <f t="shared" si="12"/>
        <v>1.4797507788162036</v>
      </c>
      <c r="N83" s="64">
        <f t="shared" si="13"/>
        <v>1.2987012987013058</v>
      </c>
    </row>
    <row r="84" spans="1:14" x14ac:dyDescent="0.3">
      <c r="A84" s="37">
        <f>SUM(Table15[[#This Row],[Cereals and products]:[Food and beverages]])/13</f>
        <v>131.42307692307691</v>
      </c>
      <c r="B84" s="37">
        <f>SUM(Table15[[#This Row],[Fuel and light]])</f>
        <v>115.1</v>
      </c>
      <c r="C84" s="37">
        <f>SUM(Table15[[#This Row],[Transport and communication]])</f>
        <v>109.3</v>
      </c>
      <c r="D84" s="37">
        <f>SUM(Table15[[#This Row],[Housing]],Table15[[#This Row],[Household goods and services]])/2</f>
        <v>121.95</v>
      </c>
      <c r="E84" s="37">
        <f>SUM(Table15[[#This Row],[Health]])</f>
        <v>118.1</v>
      </c>
      <c r="F84" s="37">
        <f>SUM(Table15[[#This Row],[Recreation and amusement]],Table15[[#This Row],[Education]])/2</f>
        <v>122.25</v>
      </c>
      <c r="G84" s="62">
        <f>SUM(Table15[[#This Row],[Miscellaneous]],Table15[[#This Row],[Personal care and effects]])/2</f>
        <v>114.94999999999999</v>
      </c>
      <c r="H84" s="64">
        <f t="shared" si="7"/>
        <v>-3.1791907514450974</v>
      </c>
      <c r="I84" s="64">
        <f t="shared" si="8"/>
        <v>-11.665387567152736</v>
      </c>
      <c r="J84" s="64">
        <f t="shared" si="9"/>
        <v>-7.5296108291032198</v>
      </c>
      <c r="K84" s="64">
        <f t="shared" si="10"/>
        <v>-6.623277182235829</v>
      </c>
      <c r="L84" s="64">
        <f t="shared" si="11"/>
        <v>-8.5205267234701783</v>
      </c>
      <c r="M84" s="64">
        <f t="shared" si="12"/>
        <v>-6.1780506523407599</v>
      </c>
      <c r="N84" s="64">
        <f t="shared" si="13"/>
        <v>-7.8926282051282115</v>
      </c>
    </row>
    <row r="85" spans="1:14" x14ac:dyDescent="0.3">
      <c r="A85" s="38">
        <f>SUM(Table15[[#This Row],[Cereals and products]:[Food and beverages]])/13</f>
        <v>130.16153846153844</v>
      </c>
      <c r="B85" s="38">
        <f>SUM(Table15[[#This Row],[Fuel and light]])</f>
        <v>121.6</v>
      </c>
      <c r="C85" s="38">
        <f>SUM(Table15[[#This Row],[Transport and communication]])</f>
        <v>111.5</v>
      </c>
      <c r="D85" s="38">
        <f>SUM(Table15[[#This Row],[Housing]],Table15[[#This Row],[Household goods and services]])/2</f>
        <v>123.15</v>
      </c>
      <c r="E85" s="38">
        <f>SUM(Table15[[#This Row],[Health]])</f>
        <v>120.9</v>
      </c>
      <c r="F85" s="38">
        <f>SUM(Table15[[#This Row],[Recreation and amusement]],Table15[[#This Row],[Education]])/2</f>
        <v>122.75</v>
      </c>
      <c r="G85" s="63">
        <f>SUM(Table15[[#This Row],[Miscellaneous]],Table15[[#This Row],[Personal care and effects]])/2</f>
        <v>115.94999999999999</v>
      </c>
      <c r="H85" s="64">
        <f t="shared" si="7"/>
        <v>-0.95990635059994367</v>
      </c>
      <c r="I85" s="64">
        <f t="shared" si="8"/>
        <v>5.6472632493483932</v>
      </c>
      <c r="J85" s="64">
        <f t="shared" si="9"/>
        <v>2.0128087831656019</v>
      </c>
      <c r="K85" s="64">
        <f t="shared" si="10"/>
        <v>0.98400984009840331</v>
      </c>
      <c r="L85" s="64">
        <f t="shared" si="11"/>
        <v>2.3708721422523382</v>
      </c>
      <c r="M85" s="64">
        <f t="shared" si="12"/>
        <v>0.40899795501022501</v>
      </c>
      <c r="N85" s="64">
        <f t="shared" si="13"/>
        <v>0.86994345367551118</v>
      </c>
    </row>
    <row r="86" spans="1:14" x14ac:dyDescent="0.3">
      <c r="A86" s="37">
        <f>SUM(Table15[[#This Row],[Cereals and products]:[Food and beverages]])/13</f>
        <v>129.71538461538461</v>
      </c>
      <c r="B86" s="37">
        <f>SUM(Table15[[#This Row],[Fuel and light]])</f>
        <v>125.6</v>
      </c>
      <c r="C86" s="37">
        <f>SUM(Table15[[#This Row],[Transport and communication]])</f>
        <v>114</v>
      </c>
      <c r="D86" s="37">
        <f>SUM(Table15[[#This Row],[Housing]],Table15[[#This Row],[Household goods and services]])/2</f>
        <v>124.25</v>
      </c>
      <c r="E86" s="37">
        <f>SUM(Table15[[#This Row],[Health]])</f>
        <v>122.6</v>
      </c>
      <c r="F86" s="37">
        <f>SUM(Table15[[#This Row],[Recreation and amusement]],Table15[[#This Row],[Education]])/2</f>
        <v>123.35</v>
      </c>
      <c r="G86" s="62">
        <f>SUM(Table15[[#This Row],[Miscellaneous]],Table15[[#This Row],[Personal care and effects]])/2</f>
        <v>116.9</v>
      </c>
      <c r="H86" s="64">
        <f t="shared" si="7"/>
        <v>-0.3427693398735206</v>
      </c>
      <c r="I86" s="64">
        <f t="shared" si="8"/>
        <v>3.2894736842105261</v>
      </c>
      <c r="J86" s="64">
        <f t="shared" si="9"/>
        <v>2.2421524663677128</v>
      </c>
      <c r="K86" s="64">
        <f t="shared" si="10"/>
        <v>0.89321965083231369</v>
      </c>
      <c r="L86" s="64">
        <f t="shared" si="11"/>
        <v>1.4061207609594613</v>
      </c>
      <c r="M86" s="64">
        <f t="shared" si="12"/>
        <v>0.48879837067209314</v>
      </c>
      <c r="N86" s="64">
        <f t="shared" si="13"/>
        <v>0.81931867184132579</v>
      </c>
    </row>
    <row r="87" spans="1:14" x14ac:dyDescent="0.3">
      <c r="A87" s="38">
        <f>SUM(Table15[[#This Row],[Cereals and products]:[Food and beverages]])/13</f>
        <v>121.69230769230769</v>
      </c>
      <c r="B87" s="38">
        <f>SUM(Table15[[#This Row],[Fuel and light]])</f>
        <v>117.3</v>
      </c>
      <c r="C87" s="38">
        <f>SUM(Table15[[#This Row],[Transport and communication]])</f>
        <v>112</v>
      </c>
      <c r="D87" s="38">
        <f>SUM(Table15[[#This Row],[Housing]],Table15[[#This Row],[Household goods and services]])/2</f>
        <v>114.6</v>
      </c>
      <c r="E87" s="38">
        <f>SUM(Table15[[#This Row],[Health]])</f>
        <v>115.9</v>
      </c>
      <c r="F87" s="38">
        <f>SUM(Table15[[#This Row],[Recreation and amusement]],Table15[[#This Row],[Education]])/2</f>
        <v>115.25</v>
      </c>
      <c r="G87" s="63">
        <f>SUM(Table15[[#This Row],[Miscellaneous]],Table15[[#This Row],[Personal care and effects]])/2</f>
        <v>111.44999999999999</v>
      </c>
      <c r="H87" s="64">
        <f t="shared" si="7"/>
        <v>-6.185139061851384</v>
      </c>
      <c r="I87" s="64">
        <f t="shared" si="8"/>
        <v>-6.6082802547770685</v>
      </c>
      <c r="J87" s="64">
        <f t="shared" si="9"/>
        <v>-1.7543859649122806</v>
      </c>
      <c r="K87" s="64">
        <f t="shared" si="10"/>
        <v>-7.7665995975855173</v>
      </c>
      <c r="L87" s="64">
        <f t="shared" si="11"/>
        <v>-5.4649265905383269</v>
      </c>
      <c r="M87" s="64">
        <f t="shared" si="12"/>
        <v>-6.5666801783542725</v>
      </c>
      <c r="N87" s="64">
        <f t="shared" si="13"/>
        <v>-4.6621043627031797</v>
      </c>
    </row>
    <row r="88" spans="1:14" x14ac:dyDescent="0.3">
      <c r="A88" s="37">
        <f>SUM(Table15[[#This Row],[Cereals and products]:[Food and beverages]])/13</f>
        <v>121.78461538461539</v>
      </c>
      <c r="B88" s="37">
        <f>SUM(Table15[[#This Row],[Fuel and light]])</f>
        <v>115.5</v>
      </c>
      <c r="C88" s="37">
        <f>SUM(Table15[[#This Row],[Transport and communication]])</f>
        <v>110.8</v>
      </c>
      <c r="D88" s="37">
        <f>SUM(Table15[[#This Row],[Housing]],Table15[[#This Row],[Household goods and services]])/2</f>
        <v>117.19999999999999</v>
      </c>
      <c r="E88" s="37">
        <f>SUM(Table15[[#This Row],[Health]])</f>
        <v>114.8</v>
      </c>
      <c r="F88" s="37">
        <f>SUM(Table15[[#This Row],[Recreation and amusement]],Table15[[#This Row],[Education]])/2</f>
        <v>116.35</v>
      </c>
      <c r="G88" s="62">
        <f>SUM(Table15[[#This Row],[Miscellaneous]],Table15[[#This Row],[Personal care and effects]])/2</f>
        <v>111.44999999999999</v>
      </c>
      <c r="H88" s="64">
        <f t="shared" si="7"/>
        <v>7.5853350189638943E-2</v>
      </c>
      <c r="I88" s="64">
        <f t="shared" si="8"/>
        <v>-1.5345268542199464</v>
      </c>
      <c r="J88" s="64">
        <f t="shared" si="9"/>
        <v>-1.0714285714285741</v>
      </c>
      <c r="K88" s="64">
        <f t="shared" si="10"/>
        <v>2.2687609075043582</v>
      </c>
      <c r="L88" s="64">
        <f t="shared" si="11"/>
        <v>-0.94909404659189678</v>
      </c>
      <c r="M88" s="64">
        <f t="shared" si="12"/>
        <v>0.95444685466376955</v>
      </c>
      <c r="N88" s="64">
        <f t="shared" si="13"/>
        <v>0</v>
      </c>
    </row>
    <row r="89" spans="1:14" x14ac:dyDescent="0.3">
      <c r="A89" s="38">
        <f>SUM(Table15[[#This Row],[Cereals and products]:[Food and beverages]])/13</f>
        <v>122.13846153846154</v>
      </c>
      <c r="B89" s="38">
        <f>SUM(Table15[[#This Row],[Fuel and light]])</f>
        <v>112.6</v>
      </c>
      <c r="C89" s="38">
        <f>SUM(Table15[[#This Row],[Transport and communication]])</f>
        <v>109.7</v>
      </c>
      <c r="D89" s="38">
        <f>SUM(Table15[[#This Row],[Housing]],Table15[[#This Row],[Household goods and services]])/2</f>
        <v>116.75</v>
      </c>
      <c r="E89" s="38">
        <f>SUM(Table15[[#This Row],[Health]])</f>
        <v>113</v>
      </c>
      <c r="F89" s="38">
        <f>SUM(Table15[[#This Row],[Recreation and amusement]],Table15[[#This Row],[Education]])/2</f>
        <v>117.15</v>
      </c>
      <c r="G89" s="63">
        <f>SUM(Table15[[#This Row],[Miscellaneous]],Table15[[#This Row],[Personal care and effects]])/2</f>
        <v>111.5</v>
      </c>
      <c r="H89" s="64">
        <f t="shared" si="7"/>
        <v>0.29055078322384648</v>
      </c>
      <c r="I89" s="64">
        <f t="shared" si="8"/>
        <v>-2.5108225108225155</v>
      </c>
      <c r="J89" s="64">
        <f t="shared" si="9"/>
        <v>-0.99277978339349671</v>
      </c>
      <c r="K89" s="64">
        <f t="shared" si="10"/>
        <v>-0.38395904436859102</v>
      </c>
      <c r="L89" s="64">
        <f t="shared" si="11"/>
        <v>-1.5679442508710777</v>
      </c>
      <c r="M89" s="64">
        <f t="shared" si="12"/>
        <v>0.6875805758487421</v>
      </c>
      <c r="N89" s="64">
        <f t="shared" si="13"/>
        <v>4.486316733962438E-2</v>
      </c>
    </row>
    <row r="90" spans="1:14" x14ac:dyDescent="0.3">
      <c r="A90" s="37">
        <f>SUM(Table15[[#This Row],[Cereals and products]:[Food and beverages]])/13</f>
        <v>118.36923076923077</v>
      </c>
      <c r="B90" s="37">
        <f>SUM(Table15[[#This Row],[Fuel and light]])</f>
        <v>111.6</v>
      </c>
      <c r="C90" s="37">
        <f>SUM(Table15[[#This Row],[Transport and communication]])</f>
        <v>109.5</v>
      </c>
      <c r="D90" s="37">
        <f>SUM(Table15[[#This Row],[Housing]],Table15[[#This Row],[Household goods and services]])/2</f>
        <v>111.1</v>
      </c>
      <c r="E90" s="37">
        <f>SUM(Table15[[#This Row],[Health]])</f>
        <v>109.3</v>
      </c>
      <c r="F90" s="37">
        <f>SUM(Table15[[#This Row],[Recreation and amusement]],Table15[[#This Row],[Education]])/2</f>
        <v>109.9</v>
      </c>
      <c r="G90" s="62">
        <f>SUM(Table15[[#This Row],[Miscellaneous]],Table15[[#This Row],[Personal care and effects]])/2</f>
        <v>108.9</v>
      </c>
      <c r="H90" s="64">
        <f t="shared" si="7"/>
        <v>-3.0860309862703148</v>
      </c>
      <c r="I90" s="64">
        <f t="shared" si="8"/>
        <v>-0.88809946714031984</v>
      </c>
      <c r="J90" s="64">
        <f t="shared" si="9"/>
        <v>-0.18231540565178014</v>
      </c>
      <c r="K90" s="64">
        <f t="shared" si="10"/>
        <v>-4.8394004282655292</v>
      </c>
      <c r="L90" s="64">
        <f t="shared" si="11"/>
        <v>-3.2743362831858436</v>
      </c>
      <c r="M90" s="64">
        <f t="shared" si="12"/>
        <v>-6.1886470337174559</v>
      </c>
      <c r="N90" s="64">
        <f t="shared" si="13"/>
        <v>-2.3318385650224163</v>
      </c>
    </row>
    <row r="91" spans="1:14" x14ac:dyDescent="0.3">
      <c r="A91" s="38">
        <f>SUM(Table15[[#This Row],[Cereals and products]:[Food and beverages]])/13</f>
        <v>118.8153846153846</v>
      </c>
      <c r="B91" s="38">
        <f>SUM(Table15[[#This Row],[Fuel and light]])</f>
        <v>110</v>
      </c>
      <c r="C91" s="38">
        <f>SUM(Table15[[#This Row],[Transport and communication]])</f>
        <v>109.5</v>
      </c>
      <c r="D91" s="38">
        <f>SUM(Table15[[#This Row],[Housing]],Table15[[#This Row],[Household goods and services]])/2</f>
        <v>111</v>
      </c>
      <c r="E91" s="38">
        <f>SUM(Table15[[#This Row],[Health]])</f>
        <v>108.6</v>
      </c>
      <c r="F91" s="38">
        <f>SUM(Table15[[#This Row],[Recreation and amusement]],Table15[[#This Row],[Education]])/2</f>
        <v>109.9</v>
      </c>
      <c r="G91" s="63">
        <f>SUM(Table15[[#This Row],[Miscellaneous]],Table15[[#This Row],[Personal care and effects]])/2</f>
        <v>108.75</v>
      </c>
      <c r="H91" s="64">
        <f t="shared" si="7"/>
        <v>0.37691707824277626</v>
      </c>
      <c r="I91" s="64">
        <f t="shared" si="8"/>
        <v>-1.4336917562723963</v>
      </c>
      <c r="J91" s="64">
        <f t="shared" si="9"/>
        <v>0</v>
      </c>
      <c r="K91" s="64">
        <f t="shared" si="10"/>
        <v>-9.0009000900084901E-2</v>
      </c>
      <c r="L91" s="64">
        <f t="shared" si="11"/>
        <v>-0.640439158279966</v>
      </c>
      <c r="M91" s="64">
        <f t="shared" si="12"/>
        <v>0</v>
      </c>
      <c r="N91" s="64">
        <f t="shared" si="13"/>
        <v>-0.13774104683196114</v>
      </c>
    </row>
    <row r="92" spans="1:14" x14ac:dyDescent="0.3">
      <c r="A92" s="37">
        <f>SUM(Table15[[#This Row],[Cereals and products]:[Food and beverages]])/13</f>
        <v>176.20769230769235</v>
      </c>
      <c r="B92" s="37">
        <f>SUM(Table15[[#This Row],[Fuel and light]])</f>
        <v>182.5</v>
      </c>
      <c r="C92" s="37">
        <f>SUM(Table15[[#This Row],[Transport and communication]])</f>
        <v>169.7</v>
      </c>
      <c r="D92" s="37">
        <f>SUM(Table15[[#This Row],[Housing]],Table15[[#This Row],[Household goods and services]])/2</f>
        <v>177.7</v>
      </c>
      <c r="E92" s="37">
        <f>SUM(Table15[[#This Row],[Health]])</f>
        <v>187.8</v>
      </c>
      <c r="F92" s="37">
        <f>SUM(Table15[[#This Row],[Recreation and amusement]],Table15[[#This Row],[Education]])/2</f>
        <v>177.05</v>
      </c>
      <c r="G92" s="62">
        <f>SUM(Table15[[#This Row],[Miscellaneous]],Table15[[#This Row],[Personal care and effects]])/2</f>
        <v>182.2</v>
      </c>
      <c r="H92" s="64">
        <f t="shared" si="7"/>
        <v>48.303767965816448</v>
      </c>
      <c r="I92" s="64">
        <f t="shared" si="8"/>
        <v>65.909090909090907</v>
      </c>
      <c r="J92" s="64">
        <f t="shared" si="9"/>
        <v>54.977168949771681</v>
      </c>
      <c r="K92" s="64">
        <f t="shared" si="10"/>
        <v>60.090090090090072</v>
      </c>
      <c r="L92" s="64">
        <f t="shared" si="11"/>
        <v>72.928176795580129</v>
      </c>
      <c r="M92" s="64">
        <f t="shared" si="12"/>
        <v>61.101000909918113</v>
      </c>
      <c r="N92" s="64">
        <f t="shared" si="13"/>
        <v>67.540229885057457</v>
      </c>
    </row>
    <row r="93" spans="1:14" x14ac:dyDescent="0.3">
      <c r="A93" s="38">
        <f>SUM(Table15[[#This Row],[Cereals and products]:[Food and beverages]])/13</f>
        <v>177.45384615384617</v>
      </c>
      <c r="B93" s="38">
        <f>SUM(Table15[[#This Row],[Fuel and light]])</f>
        <v>182.8</v>
      </c>
      <c r="C93" s="38">
        <f>SUM(Table15[[#This Row],[Transport and communication]])</f>
        <v>164.8</v>
      </c>
      <c r="D93" s="38">
        <f>SUM(Table15[[#This Row],[Housing]],Table15[[#This Row],[Household goods and services]])/2</f>
        <v>175.39999999999998</v>
      </c>
      <c r="E93" s="38">
        <f>SUM(Table15[[#This Row],[Health]])</f>
        <v>185.7</v>
      </c>
      <c r="F93" s="38">
        <f>SUM(Table15[[#This Row],[Recreation and amusement]],Table15[[#This Row],[Education]])/2</f>
        <v>174.14999999999998</v>
      </c>
      <c r="G93" s="63">
        <f>SUM(Table15[[#This Row],[Miscellaneous]],Table15[[#This Row],[Personal care and effects]])/2</f>
        <v>180.45</v>
      </c>
      <c r="H93" s="64">
        <f t="shared" si="7"/>
        <v>0.70720740385033454</v>
      </c>
      <c r="I93" s="64">
        <f t="shared" si="8"/>
        <v>0.16438356164384185</v>
      </c>
      <c r="J93" s="64">
        <f t="shared" si="9"/>
        <v>-2.8874484384207295</v>
      </c>
      <c r="K93" s="64">
        <f t="shared" si="10"/>
        <v>-1.2943162633652288</v>
      </c>
      <c r="L93" s="64">
        <f t="shared" si="11"/>
        <v>-1.1182108626198204</v>
      </c>
      <c r="M93" s="64">
        <f t="shared" si="12"/>
        <v>-1.6379553798362236</v>
      </c>
      <c r="N93" s="64">
        <f t="shared" si="13"/>
        <v>-0.96048298572996704</v>
      </c>
    </row>
    <row r="94" spans="1:14" x14ac:dyDescent="0.3">
      <c r="A94" s="37">
        <f>SUM(Table15[[#This Row],[Cereals and products]:[Food and beverages]])/13</f>
        <v>179.62307692307692</v>
      </c>
      <c r="B94" s="37">
        <f>SUM(Table15[[#This Row],[Fuel and light]])</f>
        <v>183.4</v>
      </c>
      <c r="C94" s="37">
        <f>SUM(Table15[[#This Row],[Transport and communication]])</f>
        <v>160.4</v>
      </c>
      <c r="D94" s="37">
        <f>SUM(Table15[[#This Row],[Housing]],Table15[[#This Row],[Household goods and services]])/2</f>
        <v>172.85</v>
      </c>
      <c r="E94" s="37">
        <f>SUM(Table15[[#This Row],[Health]])</f>
        <v>182.2</v>
      </c>
      <c r="F94" s="37">
        <f>SUM(Table15[[#This Row],[Recreation and amusement]],Table15[[#This Row],[Education]])/2</f>
        <v>172</v>
      </c>
      <c r="G94" s="62">
        <f>SUM(Table15[[#This Row],[Miscellaneous]],Table15[[#This Row],[Personal care and effects]])/2</f>
        <v>178.6</v>
      </c>
      <c r="H94" s="64">
        <f t="shared" si="7"/>
        <v>1.2224196974294403</v>
      </c>
      <c r="I94" s="64">
        <f t="shared" si="8"/>
        <v>0.32822757111597062</v>
      </c>
      <c r="J94" s="64">
        <f t="shared" si="9"/>
        <v>-2.6699029126213625</v>
      </c>
      <c r="K94" s="64">
        <f t="shared" si="10"/>
        <v>-1.4538198403648708</v>
      </c>
      <c r="L94" s="64">
        <f t="shared" si="11"/>
        <v>-1.884760366182014</v>
      </c>
      <c r="M94" s="64">
        <f t="shared" si="12"/>
        <v>-1.234567901234555</v>
      </c>
      <c r="N94" s="64">
        <f t="shared" si="13"/>
        <v>-1.0252147409254611</v>
      </c>
    </row>
    <row r="95" spans="1:14" x14ac:dyDescent="0.3">
      <c r="A95" s="38">
        <f>SUM(Table15[[#This Row],[Cereals and products]:[Food and beverages]])/13</f>
        <v>171.2923076923077</v>
      </c>
      <c r="B95" s="38">
        <f>SUM(Table15[[#This Row],[Fuel and light]])</f>
        <v>175.3</v>
      </c>
      <c r="C95" s="38">
        <f>SUM(Table15[[#This Row],[Transport and communication]])</f>
        <v>167.1</v>
      </c>
      <c r="D95" s="38">
        <f>SUM(Table15[[#This Row],[Housing]],Table15[[#This Row],[Household goods and services]])/2</f>
        <v>168.2</v>
      </c>
      <c r="E95" s="38">
        <f>SUM(Table15[[#This Row],[Health]])</f>
        <v>177.7</v>
      </c>
      <c r="F95" s="38">
        <f>SUM(Table15[[#This Row],[Recreation and amusement]],Table15[[#This Row],[Education]])/2</f>
        <v>169.7</v>
      </c>
      <c r="G95" s="63">
        <f>SUM(Table15[[#This Row],[Miscellaneous]],Table15[[#This Row],[Personal care and effects]])/2</f>
        <v>169.7</v>
      </c>
      <c r="H95" s="64">
        <f t="shared" si="7"/>
        <v>-4.637917005695682</v>
      </c>
      <c r="I95" s="64">
        <f t="shared" si="8"/>
        <v>-4.4165757906215886</v>
      </c>
      <c r="J95" s="64">
        <f t="shared" si="9"/>
        <v>4.1770573566084721</v>
      </c>
      <c r="K95" s="64">
        <f t="shared" si="10"/>
        <v>-2.6901938096615599</v>
      </c>
      <c r="L95" s="64">
        <f t="shared" si="11"/>
        <v>-2.4698133918770586</v>
      </c>
      <c r="M95" s="64">
        <f t="shared" si="12"/>
        <v>-1.337209302325588</v>
      </c>
      <c r="N95" s="64">
        <f t="shared" si="13"/>
        <v>-4.9832026875699924</v>
      </c>
    </row>
    <row r="96" spans="1:14" x14ac:dyDescent="0.3">
      <c r="A96" s="37">
        <f>SUM(Table15[[#This Row],[Cereals and products]:[Food and beverages]])/13</f>
        <v>172.22307692307697</v>
      </c>
      <c r="B96" s="37">
        <f>SUM(Table15[[#This Row],[Fuel and light]])</f>
        <v>174.6</v>
      </c>
      <c r="C96" s="37">
        <f>SUM(Table15[[#This Row],[Transport and communication]])</f>
        <v>163</v>
      </c>
      <c r="D96" s="37">
        <f>SUM(Table15[[#This Row],[Housing]],Table15[[#This Row],[Household goods and services]])/2</f>
        <v>166.35</v>
      </c>
      <c r="E96" s="37">
        <f>SUM(Table15[[#This Row],[Health]])</f>
        <v>174.8</v>
      </c>
      <c r="F96" s="37">
        <f>SUM(Table15[[#This Row],[Recreation and amusement]],Table15[[#This Row],[Education]])/2</f>
        <v>166.5</v>
      </c>
      <c r="G96" s="62">
        <f>SUM(Table15[[#This Row],[Miscellaneous]],Table15[[#This Row],[Personal care and effects]])/2</f>
        <v>167.95</v>
      </c>
      <c r="H96" s="64">
        <f t="shared" si="7"/>
        <v>0.54338063589009045</v>
      </c>
      <c r="I96" s="64">
        <f t="shared" si="8"/>
        <v>-0.39931545921278777</v>
      </c>
      <c r="J96" s="64">
        <f t="shared" si="9"/>
        <v>-2.4536205864751612</v>
      </c>
      <c r="K96" s="64">
        <f t="shared" si="10"/>
        <v>-1.0998810939357875</v>
      </c>
      <c r="L96" s="64">
        <f t="shared" si="11"/>
        <v>-1.6319639842430937</v>
      </c>
      <c r="M96" s="64">
        <f t="shared" si="12"/>
        <v>-1.8856806128461925</v>
      </c>
      <c r="N96" s="64">
        <f t="shared" si="13"/>
        <v>-1.0312315851502651</v>
      </c>
    </row>
    <row r="97" spans="1:14" x14ac:dyDescent="0.3">
      <c r="A97" s="38">
        <f>SUM(Table15[[#This Row],[Cereals and products]:[Food and beverages]])/13</f>
        <v>174.01538461538465</v>
      </c>
      <c r="B97" s="38">
        <f>SUM(Table15[[#This Row],[Fuel and light]])</f>
        <v>173.5</v>
      </c>
      <c r="C97" s="38">
        <f>SUM(Table15[[#This Row],[Transport and communication]])</f>
        <v>159.4</v>
      </c>
      <c r="D97" s="38">
        <f>SUM(Table15[[#This Row],[Housing]],Table15[[#This Row],[Household goods and services]])/2</f>
        <v>164.3</v>
      </c>
      <c r="E97" s="38">
        <f>SUM(Table15[[#This Row],[Health]])</f>
        <v>170.1</v>
      </c>
      <c r="F97" s="38">
        <f>SUM(Table15[[#This Row],[Recreation and amusement]],Table15[[#This Row],[Education]])/2</f>
        <v>164.2</v>
      </c>
      <c r="G97" s="63">
        <f>SUM(Table15[[#This Row],[Miscellaneous]],Table15[[#This Row],[Personal care and effects]])/2</f>
        <v>166</v>
      </c>
      <c r="H97" s="64">
        <f t="shared" si="7"/>
        <v>1.0406896243690986</v>
      </c>
      <c r="I97" s="64">
        <f t="shared" si="8"/>
        <v>-0.63001145475371956</v>
      </c>
      <c r="J97" s="64">
        <f t="shared" si="9"/>
        <v>-2.2085889570552113</v>
      </c>
      <c r="K97" s="64">
        <f t="shared" si="10"/>
        <v>-1.2323414487526199</v>
      </c>
      <c r="L97" s="64">
        <f t="shared" si="11"/>
        <v>-2.688787185354701</v>
      </c>
      <c r="M97" s="64">
        <f t="shared" si="12"/>
        <v>-1.3813813813813882</v>
      </c>
      <c r="N97" s="64">
        <f t="shared" si="13"/>
        <v>-1.1610598392378617</v>
      </c>
    </row>
    <row r="98" spans="1:14" x14ac:dyDescent="0.3">
      <c r="A98" s="37">
        <f>SUM(Table15[[#This Row],[Cereals and products]:[Food and beverages]])/13</f>
        <v>144.37692307692305</v>
      </c>
      <c r="B98" s="37">
        <f>SUM(Table15[[#This Row],[Fuel and light]])</f>
        <v>147.69999999999999</v>
      </c>
      <c r="C98" s="37">
        <f>SUM(Table15[[#This Row],[Transport and communication]])</f>
        <v>131.69999999999999</v>
      </c>
      <c r="D98" s="37">
        <f>SUM(Table15[[#This Row],[Housing]],Table15[[#This Row],[Household goods and services]])/2</f>
        <v>148.52499999999998</v>
      </c>
      <c r="E98" s="37">
        <f>SUM(Table15[[#This Row],[Health]])</f>
        <v>153.69999999999999</v>
      </c>
      <c r="F98" s="37">
        <f>SUM(Table15[[#This Row],[Recreation and amusement]],Table15[[#This Row],[Education]])/2</f>
        <v>154.69999999999999</v>
      </c>
      <c r="G98" s="62">
        <f>SUM(Table15[[#This Row],[Miscellaneous]],Table15[[#This Row],[Personal care and effects]])/2</f>
        <v>143</v>
      </c>
      <c r="H98" s="64">
        <f t="shared" si="7"/>
        <v>-17.03209265316951</v>
      </c>
      <c r="I98" s="64">
        <f t="shared" si="8"/>
        <v>-14.870317002881849</v>
      </c>
      <c r="J98" s="64">
        <f t="shared" si="9"/>
        <v>-17.377666248431627</v>
      </c>
      <c r="K98" s="64">
        <f t="shared" si="10"/>
        <v>-9.6013390139988033</v>
      </c>
      <c r="L98" s="64">
        <f t="shared" si="11"/>
        <v>-9.6413874191652003</v>
      </c>
      <c r="M98" s="64">
        <f t="shared" si="12"/>
        <v>-5.7856272838002436</v>
      </c>
      <c r="N98" s="64">
        <f t="shared" si="13"/>
        <v>-13.855421686746988</v>
      </c>
    </row>
    <row r="99" spans="1:14" x14ac:dyDescent="0.3">
      <c r="A99" s="38">
        <f>SUM(Table15[[#This Row],[Cereals and products]:[Food and beverages]])/13</f>
        <v>145.04615384615383</v>
      </c>
      <c r="B99" s="38">
        <f>SUM(Table15[[#This Row],[Fuel and light]])</f>
        <v>140.6</v>
      </c>
      <c r="C99" s="38">
        <f>SUM(Table15[[#This Row],[Transport and communication]])</f>
        <v>126.3</v>
      </c>
      <c r="D99" s="38">
        <f>SUM(Table15[[#This Row],[Housing]],Table15[[#This Row],[Household goods and services]])/2</f>
        <v>149</v>
      </c>
      <c r="E99" s="38">
        <f>SUM(Table15[[#This Row],[Health]])</f>
        <v>149.4</v>
      </c>
      <c r="F99" s="38">
        <f>SUM(Table15[[#This Row],[Recreation and amusement]],Table15[[#This Row],[Education]])/2</f>
        <v>148.55000000000001</v>
      </c>
      <c r="G99" s="63">
        <f>SUM(Table15[[#This Row],[Miscellaneous]],Table15[[#This Row],[Personal care and effects]])/2</f>
        <v>140.5</v>
      </c>
      <c r="H99" s="64">
        <f t="shared" si="7"/>
        <v>0.46353028930684281</v>
      </c>
      <c r="I99" s="64">
        <f t="shared" si="8"/>
        <v>-4.8070412999322913</v>
      </c>
      <c r="J99" s="64">
        <f t="shared" si="9"/>
        <v>-4.1002277904327959</v>
      </c>
      <c r="K99" s="64">
        <f t="shared" si="10"/>
        <v>0.31981147954891281</v>
      </c>
      <c r="L99" s="64">
        <f t="shared" si="11"/>
        <v>-2.7976577748861309</v>
      </c>
      <c r="M99" s="64">
        <f t="shared" si="12"/>
        <v>-3.9754363283774907</v>
      </c>
      <c r="N99" s="64">
        <f t="shared" si="13"/>
        <v>-1.7482517482517483</v>
      </c>
    </row>
    <row r="100" spans="1:14" x14ac:dyDescent="0.3">
      <c r="A100" s="37">
        <f>SUM(Table15[[#This Row],[Cereals and products]:[Food and beverages]])/13</f>
        <v>146.35384615384618</v>
      </c>
      <c r="B100" s="37">
        <f>SUM(Table15[[#This Row],[Fuel and light]])</f>
        <v>128.9</v>
      </c>
      <c r="C100" s="37">
        <f>SUM(Table15[[#This Row],[Transport and communication]])</f>
        <v>121.5</v>
      </c>
      <c r="D100" s="37">
        <f>SUM(Table15[[#This Row],[Housing]],Table15[[#This Row],[Household goods and services]])/2</f>
        <v>145.85</v>
      </c>
      <c r="E100" s="37">
        <f>SUM(Table15[[#This Row],[Health]])</f>
        <v>142.4</v>
      </c>
      <c r="F100" s="37">
        <f>SUM(Table15[[#This Row],[Recreation and amusement]],Table15[[#This Row],[Education]])/2</f>
        <v>143.94999999999999</v>
      </c>
      <c r="G100" s="62">
        <f>SUM(Table15[[#This Row],[Miscellaneous]],Table15[[#This Row],[Personal care and effects]])/2</f>
        <v>137.75</v>
      </c>
      <c r="H100" s="64">
        <f t="shared" si="7"/>
        <v>0.9015697921086413</v>
      </c>
      <c r="I100" s="64">
        <f t="shared" si="8"/>
        <v>-8.321479374110945</v>
      </c>
      <c r="J100" s="64">
        <f t="shared" si="9"/>
        <v>-3.8004750593824208</v>
      </c>
      <c r="K100" s="64">
        <f t="shared" si="10"/>
        <v>-2.1140939597315476</v>
      </c>
      <c r="L100" s="64">
        <f t="shared" si="11"/>
        <v>-4.6854082998661308</v>
      </c>
      <c r="M100" s="64">
        <f t="shared" si="12"/>
        <v>-3.096600471221826</v>
      </c>
      <c r="N100" s="64">
        <f t="shared" si="13"/>
        <v>-1.9572953736654803</v>
      </c>
    </row>
    <row r="101" spans="1:14" x14ac:dyDescent="0.3">
      <c r="A101" s="38">
        <f>SUM(Table15[[#This Row],[Cereals and products]:[Food and beverages]])/13</f>
        <v>142.2076923076923</v>
      </c>
      <c r="B101" s="38">
        <f>SUM(Table15[[#This Row],[Fuel and light]])</f>
        <v>146.9</v>
      </c>
      <c r="C101" s="38">
        <f>SUM(Table15[[#This Row],[Transport and communication]])</f>
        <v>131.6</v>
      </c>
      <c r="D101" s="38">
        <f>SUM(Table15[[#This Row],[Housing]],Table15[[#This Row],[Household goods and services]])/2</f>
        <v>147.80000000000001</v>
      </c>
      <c r="E101" s="38">
        <f>SUM(Table15[[#This Row],[Health]])</f>
        <v>153.4</v>
      </c>
      <c r="F101" s="38">
        <f>SUM(Table15[[#This Row],[Recreation and amusement]],Table15[[#This Row],[Education]])/2</f>
        <v>154.25</v>
      </c>
      <c r="G101" s="63">
        <f>SUM(Table15[[#This Row],[Miscellaneous]],Table15[[#This Row],[Personal care and effects]])/2</f>
        <v>142.80000000000001</v>
      </c>
      <c r="H101" s="64">
        <f t="shared" si="7"/>
        <v>-2.8329654157468949</v>
      </c>
      <c r="I101" s="64">
        <f t="shared" si="8"/>
        <v>13.964313421256788</v>
      </c>
      <c r="J101" s="64">
        <f t="shared" si="9"/>
        <v>8.312757201646086</v>
      </c>
      <c r="K101" s="64">
        <f t="shared" si="10"/>
        <v>1.3369900582790655</v>
      </c>
      <c r="L101" s="64">
        <f t="shared" si="11"/>
        <v>7.7247191011235952</v>
      </c>
      <c r="M101" s="64">
        <f t="shared" si="12"/>
        <v>7.1552622438346729</v>
      </c>
      <c r="N101" s="64">
        <f t="shared" si="13"/>
        <v>3.6660617059891187</v>
      </c>
    </row>
    <row r="102" spans="1:14" x14ac:dyDescent="0.3">
      <c r="A102" s="37">
        <f>SUM(Table15[[#This Row],[Cereals and products]:[Food and beverages]])/13</f>
        <v>142.89999999999998</v>
      </c>
      <c r="B102" s="37">
        <f>SUM(Table15[[#This Row],[Fuel and light]])</f>
        <v>139.19999999999999</v>
      </c>
      <c r="C102" s="37">
        <f>SUM(Table15[[#This Row],[Transport and communication]])</f>
        <v>126.1</v>
      </c>
      <c r="D102" s="37">
        <f>SUM(Table15[[#This Row],[Housing]],Table15[[#This Row],[Household goods and services]])/2</f>
        <v>148.39999999999998</v>
      </c>
      <c r="E102" s="37">
        <f>SUM(Table15[[#This Row],[Health]])</f>
        <v>149</v>
      </c>
      <c r="F102" s="37">
        <f>SUM(Table15[[#This Row],[Recreation and amusement]],Table15[[#This Row],[Education]])/2</f>
        <v>148.25</v>
      </c>
      <c r="G102" s="62">
        <f>SUM(Table15[[#This Row],[Miscellaneous]],Table15[[#This Row],[Personal care and effects]])/2</f>
        <v>140.19999999999999</v>
      </c>
      <c r="H102" s="64">
        <f t="shared" si="7"/>
        <v>0.48682858224697523</v>
      </c>
      <c r="I102" s="64">
        <f t="shared" si="8"/>
        <v>-5.2416609938733947</v>
      </c>
      <c r="J102" s="64">
        <f t="shared" si="9"/>
        <v>-4.1793313069908811</v>
      </c>
      <c r="K102" s="64">
        <f t="shared" si="10"/>
        <v>0.40595399188089709</v>
      </c>
      <c r="L102" s="64">
        <f t="shared" si="11"/>
        <v>-2.8683181225554142</v>
      </c>
      <c r="M102" s="64">
        <f t="shared" si="12"/>
        <v>-3.8897893030794171</v>
      </c>
      <c r="N102" s="64">
        <f t="shared" si="13"/>
        <v>-1.8207282913165423</v>
      </c>
    </row>
    <row r="103" spans="1:14" x14ac:dyDescent="0.3">
      <c r="A103" s="38">
        <f>SUM(Table15[[#This Row],[Cereals and products]:[Food and beverages]])/13</f>
        <v>144.22307692307692</v>
      </c>
      <c r="B103" s="38">
        <f>SUM(Table15[[#This Row],[Fuel and light]])</f>
        <v>126.6</v>
      </c>
      <c r="C103" s="38">
        <f>SUM(Table15[[#This Row],[Transport and communication]])</f>
        <v>121.2</v>
      </c>
      <c r="D103" s="38">
        <f>SUM(Table15[[#This Row],[Housing]],Table15[[#This Row],[Household goods and services]])/2</f>
        <v>145.25</v>
      </c>
      <c r="E103" s="38">
        <f>SUM(Table15[[#This Row],[Health]])</f>
        <v>141.9</v>
      </c>
      <c r="F103" s="38">
        <f>SUM(Table15[[#This Row],[Recreation and amusement]],Table15[[#This Row],[Education]])/2</f>
        <v>143.75</v>
      </c>
      <c r="G103" s="63">
        <f>SUM(Table15[[#This Row],[Miscellaneous]],Table15[[#This Row],[Personal care and effects]])/2</f>
        <v>137.35</v>
      </c>
      <c r="H103" s="64">
        <f t="shared" si="7"/>
        <v>0.92587608332885918</v>
      </c>
      <c r="I103" s="64">
        <f t="shared" si="8"/>
        <v>-9.051724137931032</v>
      </c>
      <c r="J103" s="64">
        <f t="shared" si="9"/>
        <v>-3.8858049167327451</v>
      </c>
      <c r="K103" s="64">
        <f t="shared" si="10"/>
        <v>-2.1226415094339472</v>
      </c>
      <c r="L103" s="64">
        <f t="shared" si="11"/>
        <v>-4.7651006711409361</v>
      </c>
      <c r="M103" s="64">
        <f t="shared" si="12"/>
        <v>-3.0354131534569984</v>
      </c>
      <c r="N103" s="64">
        <f t="shared" si="13"/>
        <v>-2.0328102710413654</v>
      </c>
    </row>
    <row r="104" spans="1:14" x14ac:dyDescent="0.3">
      <c r="A104" s="37">
        <f>SUM(Table15[[#This Row],[Cereals and products]:[Food and beverages]])/13</f>
        <v>147.06153846153848</v>
      </c>
      <c r="B104" s="37">
        <f>SUM(Table15[[#This Row],[Fuel and light]])</f>
        <v>148.4</v>
      </c>
      <c r="C104" s="37">
        <f>SUM(Table15[[#This Row],[Transport and communication]])</f>
        <v>123.6</v>
      </c>
      <c r="D104" s="37">
        <f>SUM(Table15[[#This Row],[Housing]],Table15[[#This Row],[Household goods and services]])/2</f>
        <v>147.19999999999999</v>
      </c>
      <c r="E104" s="37">
        <f>SUM(Table15[[#This Row],[Health]])</f>
        <v>154.30000000000001</v>
      </c>
      <c r="F104" s="37">
        <f>SUM(Table15[[#This Row],[Recreation and amusement]],Table15[[#This Row],[Education]])/2</f>
        <v>138.14999999999998</v>
      </c>
      <c r="G104" s="62">
        <f>SUM(Table15[[#This Row],[Miscellaneous]],Table15[[#This Row],[Personal care and effects]])/2</f>
        <v>131.30000000000001</v>
      </c>
      <c r="H104" s="64">
        <f t="shared" si="7"/>
        <v>1.9681049655981793</v>
      </c>
      <c r="I104" s="64">
        <f t="shared" si="8"/>
        <v>17.219589257503959</v>
      </c>
      <c r="J104" s="64">
        <f t="shared" si="9"/>
        <v>1.9801980198019733</v>
      </c>
      <c r="K104" s="64">
        <f t="shared" si="10"/>
        <v>1.3425129087779613</v>
      </c>
      <c r="L104" s="64">
        <f t="shared" si="11"/>
        <v>8.7385482734319986</v>
      </c>
      <c r="M104" s="64">
        <f t="shared" si="12"/>
        <v>-3.8956521739130592</v>
      </c>
      <c r="N104" s="64">
        <f t="shared" si="13"/>
        <v>-4.4048052420822597</v>
      </c>
    </row>
    <row r="105" spans="1:14" x14ac:dyDescent="0.3">
      <c r="A105" s="38">
        <f>SUM(Table15[[#This Row],[Cereals and products]:[Food and beverages]])/13</f>
        <v>147.72307692307692</v>
      </c>
      <c r="B105" s="38">
        <f>SUM(Table15[[#This Row],[Fuel and light]])</f>
        <v>144.1</v>
      </c>
      <c r="C105" s="38">
        <f>SUM(Table15[[#This Row],[Transport and communication]])</f>
        <v>124.5</v>
      </c>
      <c r="D105" s="38">
        <f>SUM(Table15[[#This Row],[Housing]],Table15[[#This Row],[Household goods and services]])/2</f>
        <v>147.69999999999999</v>
      </c>
      <c r="E105" s="38">
        <f>SUM(Table15[[#This Row],[Health]])</f>
        <v>150.69999999999999</v>
      </c>
      <c r="F105" s="38">
        <f>SUM(Table15[[#This Row],[Recreation and amusement]],Table15[[#This Row],[Education]])/2</f>
        <v>138.94999999999999</v>
      </c>
      <c r="G105" s="63">
        <f>SUM(Table15[[#This Row],[Miscellaneous]],Table15[[#This Row],[Personal care and effects]])/2</f>
        <v>131.80000000000001</v>
      </c>
      <c r="H105" s="64">
        <f t="shared" si="7"/>
        <v>0.44983784914738667</v>
      </c>
      <c r="I105" s="64">
        <f t="shared" si="8"/>
        <v>-2.8975741239892256</v>
      </c>
      <c r="J105" s="64">
        <f t="shared" si="9"/>
        <v>0.72815533980582992</v>
      </c>
      <c r="K105" s="64">
        <f t="shared" si="10"/>
        <v>0.33967391304347827</v>
      </c>
      <c r="L105" s="64">
        <f t="shared" si="11"/>
        <v>-2.3331173039533524</v>
      </c>
      <c r="M105" s="64">
        <f t="shared" si="12"/>
        <v>0.57908070937387734</v>
      </c>
      <c r="N105" s="64">
        <f t="shared" si="13"/>
        <v>0.38080731150038077</v>
      </c>
    </row>
    <row r="106" spans="1:14" x14ac:dyDescent="0.3">
      <c r="A106" s="37">
        <f>SUM(Table15[[#This Row],[Cereals and products]:[Food and beverages]])/13</f>
        <v>148.76923076923077</v>
      </c>
      <c r="B106" s="37">
        <f>SUM(Table15[[#This Row],[Fuel and light]])</f>
        <v>137.1</v>
      </c>
      <c r="C106" s="37">
        <f>SUM(Table15[[#This Row],[Transport and communication]])</f>
        <v>124</v>
      </c>
      <c r="D106" s="37">
        <f>SUM(Table15[[#This Row],[Housing]],Table15[[#This Row],[Household goods and services]])/2</f>
        <v>147.44999999999999</v>
      </c>
      <c r="E106" s="37">
        <f>SUM(Table15[[#This Row],[Health]])</f>
        <v>144.80000000000001</v>
      </c>
      <c r="F106" s="37">
        <f>SUM(Table15[[#This Row],[Recreation and amusement]],Table15[[#This Row],[Education]])/2</f>
        <v>138.5</v>
      </c>
      <c r="G106" s="62">
        <f>SUM(Table15[[#This Row],[Miscellaneous]],Table15[[#This Row],[Personal care and effects]])/2</f>
        <v>131.52499999999998</v>
      </c>
      <c r="H106" s="64">
        <f t="shared" si="7"/>
        <v>0.70818579462612663</v>
      </c>
      <c r="I106" s="64">
        <f t="shared" si="8"/>
        <v>-4.8577376821651637</v>
      </c>
      <c r="J106" s="64">
        <f t="shared" si="9"/>
        <v>-0.40160642570281119</v>
      </c>
      <c r="K106" s="64">
        <f t="shared" si="10"/>
        <v>-0.16926201760324985</v>
      </c>
      <c r="L106" s="64">
        <f t="shared" si="11"/>
        <v>-3.9150630391506152</v>
      </c>
      <c r="M106" s="64">
        <f t="shared" si="12"/>
        <v>-0.32385750269880437</v>
      </c>
      <c r="N106" s="64">
        <f t="shared" si="13"/>
        <v>-0.20864946889228689</v>
      </c>
    </row>
    <row r="107" spans="1:14" x14ac:dyDescent="0.3">
      <c r="A107" s="38">
        <f>SUM(Table15[[#This Row],[Cereals and products]:[Food and beverages]])/13</f>
        <v>132.53076923076921</v>
      </c>
      <c r="B107" s="38">
        <f>SUM(Table15[[#This Row],[Fuel and light]])</f>
        <v>124.7</v>
      </c>
      <c r="C107" s="38">
        <f>SUM(Table15[[#This Row],[Transport and communication]])</f>
        <v>119.8</v>
      </c>
      <c r="D107" s="38">
        <f>SUM(Table15[[#This Row],[Housing]],Table15[[#This Row],[Household goods and services]])/2</f>
        <v>137.85</v>
      </c>
      <c r="E107" s="38">
        <f>SUM(Table15[[#This Row],[Health]])</f>
        <v>132</v>
      </c>
      <c r="F107" s="38">
        <f>SUM(Table15[[#This Row],[Recreation and amusement]],Table15[[#This Row],[Education]])/2</f>
        <v>134.19999999999999</v>
      </c>
      <c r="G107" s="63">
        <f>SUM(Table15[[#This Row],[Miscellaneous]],Table15[[#This Row],[Personal care and effects]])/2</f>
        <v>128.5</v>
      </c>
      <c r="H107" s="64">
        <f t="shared" si="7"/>
        <v>-10.915201654601878</v>
      </c>
      <c r="I107" s="64">
        <f t="shared" si="8"/>
        <v>-9.0444930707512707</v>
      </c>
      <c r="J107" s="64">
        <f t="shared" si="9"/>
        <v>-3.3870967741935507</v>
      </c>
      <c r="K107" s="64">
        <f t="shared" si="10"/>
        <v>-6.5106815869786336</v>
      </c>
      <c r="L107" s="64">
        <f t="shared" si="11"/>
        <v>-8.8397790055248677</v>
      </c>
      <c r="M107" s="64">
        <f t="shared" si="12"/>
        <v>-3.104693140794232</v>
      </c>
      <c r="N107" s="64">
        <f t="shared" si="13"/>
        <v>-2.2999429766203972</v>
      </c>
    </row>
    <row r="108" spans="1:14" x14ac:dyDescent="0.3">
      <c r="A108" s="37">
        <f>SUM(Table15[[#This Row],[Cereals and products]:[Food and beverages]])/13</f>
        <v>135.36923076923077</v>
      </c>
      <c r="B108" s="37">
        <f>SUM(Table15[[#This Row],[Fuel and light]])</f>
        <v>136.9</v>
      </c>
      <c r="C108" s="37">
        <f>SUM(Table15[[#This Row],[Transport and communication]])</f>
        <v>122.9</v>
      </c>
      <c r="D108" s="37">
        <f>SUM(Table15[[#This Row],[Housing]],Table15[[#This Row],[Household goods and services]])/2</f>
        <v>140.30000000000001</v>
      </c>
      <c r="E108" s="37">
        <f>SUM(Table15[[#This Row],[Health]])</f>
        <v>136</v>
      </c>
      <c r="F108" s="37">
        <f>SUM(Table15[[#This Row],[Recreation and amusement]],Table15[[#This Row],[Education]])/2</f>
        <v>136.94999999999999</v>
      </c>
      <c r="G108" s="62">
        <f>SUM(Table15[[#This Row],[Miscellaneous]],Table15[[#This Row],[Personal care and effects]])/2</f>
        <v>131</v>
      </c>
      <c r="H108" s="64">
        <f t="shared" si="7"/>
        <v>2.1417377677172365</v>
      </c>
      <c r="I108" s="64">
        <f t="shared" si="8"/>
        <v>9.7834803528468353</v>
      </c>
      <c r="J108" s="64">
        <f t="shared" si="9"/>
        <v>2.5876460767946652</v>
      </c>
      <c r="K108" s="64">
        <f t="shared" si="10"/>
        <v>1.7772941603192001</v>
      </c>
      <c r="L108" s="64">
        <f t="shared" si="11"/>
        <v>3.0303030303030303</v>
      </c>
      <c r="M108" s="64">
        <f t="shared" si="12"/>
        <v>2.0491803278688527</v>
      </c>
      <c r="N108" s="64">
        <f t="shared" si="13"/>
        <v>1.9455252918287937</v>
      </c>
    </row>
    <row r="109" spans="1:14" x14ac:dyDescent="0.3">
      <c r="A109" s="38">
        <f>SUM(Table15[[#This Row],[Cereals and products]:[Food and beverages]])/13</f>
        <v>137.1076923076923</v>
      </c>
      <c r="B109" s="38">
        <f>SUM(Table15[[#This Row],[Fuel and light]])</f>
        <v>144.30000000000001</v>
      </c>
      <c r="C109" s="38">
        <f>SUM(Table15[[#This Row],[Transport and communication]])</f>
        <v>126.4</v>
      </c>
      <c r="D109" s="38">
        <f>SUM(Table15[[#This Row],[Housing]],Table15[[#This Row],[Household goods and services]])/2</f>
        <v>142.5</v>
      </c>
      <c r="E109" s="38">
        <f>SUM(Table15[[#This Row],[Health]])</f>
        <v>138.4</v>
      </c>
      <c r="F109" s="38">
        <f>SUM(Table15[[#This Row],[Recreation and amusement]],Table15[[#This Row],[Education]])/2</f>
        <v>140.60000000000002</v>
      </c>
      <c r="G109" s="63">
        <f>SUM(Table15[[#This Row],[Miscellaneous]],Table15[[#This Row],[Personal care and effects]])/2</f>
        <v>133.14999999999998</v>
      </c>
      <c r="H109" s="64">
        <f t="shared" si="7"/>
        <v>1.2842368450960318</v>
      </c>
      <c r="I109" s="64">
        <f t="shared" si="8"/>
        <v>5.4054054054054088</v>
      </c>
      <c r="J109" s="64">
        <f t="shared" si="9"/>
        <v>2.8478437754271764</v>
      </c>
      <c r="K109" s="64">
        <f t="shared" si="10"/>
        <v>1.5680684248039831</v>
      </c>
      <c r="L109" s="64">
        <f t="shared" si="11"/>
        <v>1.7647058823529453</v>
      </c>
      <c r="M109" s="64">
        <f t="shared" si="12"/>
        <v>2.6652062796641363</v>
      </c>
      <c r="N109" s="64">
        <f t="shared" si="13"/>
        <v>1.6412213740457844</v>
      </c>
    </row>
    <row r="110" spans="1:14" x14ac:dyDescent="0.3">
      <c r="A110" s="37">
        <f>SUM(Table15[[#This Row],[Cereals and products]:[Food and beverages]])/13</f>
        <v>131.50769230769231</v>
      </c>
      <c r="B110" s="37">
        <f>SUM(Table15[[#This Row],[Fuel and light]])</f>
        <v>120.1</v>
      </c>
      <c r="C110" s="37">
        <f>SUM(Table15[[#This Row],[Transport and communication]])</f>
        <v>114.3</v>
      </c>
      <c r="D110" s="37">
        <f>SUM(Table15[[#This Row],[Housing]],Table15[[#This Row],[Household goods and services]])/2</f>
        <v>129.30000000000001</v>
      </c>
      <c r="E110" s="37">
        <f>SUM(Table15[[#This Row],[Health]])</f>
        <v>123.6</v>
      </c>
      <c r="F110" s="37">
        <f>SUM(Table15[[#This Row],[Recreation and amusement]],Table15[[#This Row],[Education]])/2</f>
        <v>128.30000000000001</v>
      </c>
      <c r="G110" s="62">
        <f>SUM(Table15[[#This Row],[Miscellaneous]],Table15[[#This Row],[Personal care and effects]])/2</f>
        <v>122.3</v>
      </c>
      <c r="H110" s="64">
        <f t="shared" si="7"/>
        <v>-4.0843806104129223</v>
      </c>
      <c r="I110" s="64">
        <f t="shared" si="8"/>
        <v>-16.77061677061678</v>
      </c>
      <c r="J110" s="64">
        <f t="shared" si="9"/>
        <v>-9.5727848101265884</v>
      </c>
      <c r="K110" s="64">
        <f t="shared" si="10"/>
        <v>-9.2631578947368336</v>
      </c>
      <c r="L110" s="64">
        <f t="shared" si="11"/>
        <v>-10.693641618497116</v>
      </c>
      <c r="M110" s="64">
        <f t="shared" si="12"/>
        <v>-8.7482219061166511</v>
      </c>
      <c r="N110" s="64">
        <f t="shared" si="13"/>
        <v>-8.1487044686443735</v>
      </c>
    </row>
    <row r="111" spans="1:14" x14ac:dyDescent="0.3">
      <c r="A111" s="38">
        <f>SUM(Table15[[#This Row],[Cereals and products]:[Food and beverages]])/13</f>
        <v>132.27692307692308</v>
      </c>
      <c r="B111" s="38">
        <f>SUM(Table15[[#This Row],[Fuel and light]])</f>
        <v>129.4</v>
      </c>
      <c r="C111" s="38">
        <f>SUM(Table15[[#This Row],[Transport and communication]])</f>
        <v>116.7</v>
      </c>
      <c r="D111" s="38">
        <f>SUM(Table15[[#This Row],[Housing]],Table15[[#This Row],[Household goods and services]])/2</f>
        <v>131.5</v>
      </c>
      <c r="E111" s="38">
        <f>SUM(Table15[[#This Row],[Health]])</f>
        <v>128.4</v>
      </c>
      <c r="F111" s="38">
        <f>SUM(Table15[[#This Row],[Recreation and amusement]],Table15[[#This Row],[Education]])/2</f>
        <v>130.25</v>
      </c>
      <c r="G111" s="63">
        <f>SUM(Table15[[#This Row],[Miscellaneous]],Table15[[#This Row],[Personal care and effects]])/2</f>
        <v>124.15</v>
      </c>
      <c r="H111" s="64">
        <f t="shared" si="7"/>
        <v>0.58493214787085024</v>
      </c>
      <c r="I111" s="64">
        <f t="shared" si="8"/>
        <v>7.7435470441299019</v>
      </c>
      <c r="J111" s="64">
        <f t="shared" si="9"/>
        <v>2.0997375328084043</v>
      </c>
      <c r="K111" s="64">
        <f t="shared" si="10"/>
        <v>1.7014694508893955</v>
      </c>
      <c r="L111" s="64">
        <f t="shared" si="11"/>
        <v>3.8834951456310773</v>
      </c>
      <c r="M111" s="64">
        <f t="shared" si="12"/>
        <v>1.5198752922837011</v>
      </c>
      <c r="N111" s="64">
        <f t="shared" si="13"/>
        <v>1.5126737530662377</v>
      </c>
    </row>
    <row r="112" spans="1:14" x14ac:dyDescent="0.3">
      <c r="A112" s="37">
        <f>SUM(Table15[[#This Row],[Cereals and products]:[Food and beverages]])/13</f>
        <v>132.88461538461536</v>
      </c>
      <c r="B112" s="37">
        <f>SUM(Table15[[#This Row],[Fuel and light]])</f>
        <v>135</v>
      </c>
      <c r="C112" s="37">
        <f>SUM(Table15[[#This Row],[Transport and communication]])</f>
        <v>119.4</v>
      </c>
      <c r="D112" s="37">
        <f>SUM(Table15[[#This Row],[Housing]],Table15[[#This Row],[Household goods and services]])/2</f>
        <v>133.5</v>
      </c>
      <c r="E112" s="37">
        <f>SUM(Table15[[#This Row],[Health]])</f>
        <v>131.4</v>
      </c>
      <c r="F112" s="37">
        <f>SUM(Table15[[#This Row],[Recreation and amusement]],Table15[[#This Row],[Education]])/2</f>
        <v>132.85000000000002</v>
      </c>
      <c r="G112" s="62">
        <f>SUM(Table15[[#This Row],[Miscellaneous]],Table15[[#This Row],[Personal care and effects]])/2</f>
        <v>125.80000000000001</v>
      </c>
      <c r="H112" s="64">
        <f t="shared" si="7"/>
        <v>0.45940916492205042</v>
      </c>
      <c r="I112" s="64">
        <f t="shared" si="8"/>
        <v>4.3276661514683106</v>
      </c>
      <c r="J112" s="64">
        <f t="shared" si="9"/>
        <v>2.3136246786632415</v>
      </c>
      <c r="K112" s="64">
        <f t="shared" si="10"/>
        <v>1.520912547528517</v>
      </c>
      <c r="L112" s="64">
        <f t="shared" si="11"/>
        <v>2.3364485981308412</v>
      </c>
      <c r="M112" s="64">
        <f t="shared" si="12"/>
        <v>1.9961612284069272</v>
      </c>
      <c r="N112" s="64">
        <f t="shared" si="13"/>
        <v>1.3290374546919095</v>
      </c>
    </row>
    <row r="113" spans="1:14" x14ac:dyDescent="0.3">
      <c r="A113" s="38">
        <f>SUM(Table15[[#This Row],[Cereals and products]:[Food and beverages]])/13</f>
        <v>134.36923076923074</v>
      </c>
      <c r="B113" s="38">
        <f>SUM(Table15[[#This Row],[Fuel and light]])</f>
        <v>115</v>
      </c>
      <c r="C113" s="38">
        <f>SUM(Table15[[#This Row],[Transport and communication]])</f>
        <v>110.7</v>
      </c>
      <c r="D113" s="38">
        <f>SUM(Table15[[#This Row],[Housing]],Table15[[#This Row],[Household goods and services]])/2</f>
        <v>124.6</v>
      </c>
      <c r="E113" s="38">
        <f>SUM(Table15[[#This Row],[Health]])</f>
        <v>120.3</v>
      </c>
      <c r="F113" s="38">
        <f>SUM(Table15[[#This Row],[Recreation and amusement]],Table15[[#This Row],[Education]])/2</f>
        <v>123.9</v>
      </c>
      <c r="G113" s="63">
        <f>SUM(Table15[[#This Row],[Miscellaneous]],Table15[[#This Row],[Personal care and effects]])/2</f>
        <v>118.6</v>
      </c>
      <c r="H113" s="64">
        <f t="shared" si="7"/>
        <v>1.1172214182344404</v>
      </c>
      <c r="I113" s="64">
        <f t="shared" si="8"/>
        <v>-14.814814814814813</v>
      </c>
      <c r="J113" s="64">
        <f t="shared" si="9"/>
        <v>-7.2864321608040221</v>
      </c>
      <c r="K113" s="64">
        <f t="shared" si="10"/>
        <v>-6.6666666666666705</v>
      </c>
      <c r="L113" s="64">
        <f t="shared" si="11"/>
        <v>-8.4474885844748915</v>
      </c>
      <c r="M113" s="64">
        <f t="shared" si="12"/>
        <v>-6.7369213398569938</v>
      </c>
      <c r="N113" s="64">
        <f t="shared" si="13"/>
        <v>-5.7233704292527952</v>
      </c>
    </row>
    <row r="114" spans="1:14" x14ac:dyDescent="0.3">
      <c r="A114" s="37">
        <f>SUM(Table15[[#This Row],[Cereals and products]:[Food and beverages]])/13</f>
        <v>133.1076923076923</v>
      </c>
      <c r="B114" s="37">
        <f>SUM(Table15[[#This Row],[Fuel and light]])</f>
        <v>122.7</v>
      </c>
      <c r="C114" s="37">
        <f>SUM(Table15[[#This Row],[Transport and communication]])</f>
        <v>112.8</v>
      </c>
      <c r="D114" s="37">
        <f>SUM(Table15[[#This Row],[Housing]],Table15[[#This Row],[Household goods and services]])/2</f>
        <v>126</v>
      </c>
      <c r="E114" s="37">
        <f>SUM(Table15[[#This Row],[Health]])</f>
        <v>123.7</v>
      </c>
      <c r="F114" s="37">
        <f>SUM(Table15[[#This Row],[Recreation and amusement]],Table15[[#This Row],[Education]])/2</f>
        <v>125</v>
      </c>
      <c r="G114" s="62">
        <f>SUM(Table15[[#This Row],[Miscellaneous]],Table15[[#This Row],[Personal care and effects]])/2</f>
        <v>119.95</v>
      </c>
      <c r="H114" s="64">
        <f t="shared" si="7"/>
        <v>-0.93885962903593245</v>
      </c>
      <c r="I114" s="64">
        <f t="shared" si="8"/>
        <v>6.6956521739130457</v>
      </c>
      <c r="J114" s="64">
        <f t="shared" si="9"/>
        <v>1.8970189701896967</v>
      </c>
      <c r="K114" s="64">
        <f t="shared" si="10"/>
        <v>1.1235955056179823</v>
      </c>
      <c r="L114" s="64">
        <f t="shared" si="11"/>
        <v>2.8262676641729061</v>
      </c>
      <c r="M114" s="64">
        <f t="shared" si="12"/>
        <v>0.88781275221952727</v>
      </c>
      <c r="N114" s="64">
        <f t="shared" si="13"/>
        <v>1.1382799325463817</v>
      </c>
    </row>
    <row r="115" spans="1:14" x14ac:dyDescent="0.3">
      <c r="A115" s="38">
        <f>SUM(Table15[[#This Row],[Cereals and products]:[Food and beverages]])/13</f>
        <v>132.59230769230768</v>
      </c>
      <c r="B115" s="38">
        <f>SUM(Table15[[#This Row],[Fuel and light]])</f>
        <v>127.4</v>
      </c>
      <c r="C115" s="38">
        <f>SUM(Table15[[#This Row],[Transport and communication]])</f>
        <v>115.1</v>
      </c>
      <c r="D115" s="38">
        <f>SUM(Table15[[#This Row],[Housing]],Table15[[#This Row],[Household goods and services]])/2</f>
        <v>127.25</v>
      </c>
      <c r="E115" s="38">
        <f>SUM(Table15[[#This Row],[Health]])</f>
        <v>125.8</v>
      </c>
      <c r="F115" s="38">
        <f>SUM(Table15[[#This Row],[Recreation and amusement]],Table15[[#This Row],[Education]])/2</f>
        <v>126.35</v>
      </c>
      <c r="G115" s="63">
        <f>SUM(Table15[[#This Row],[Miscellaneous]],Table15[[#This Row],[Personal care and effects]])/2</f>
        <v>121.1</v>
      </c>
      <c r="H115" s="64">
        <f t="shared" si="7"/>
        <v>-0.38719371243643352</v>
      </c>
      <c r="I115" s="64">
        <f t="shared" si="8"/>
        <v>3.8304808475957643</v>
      </c>
      <c r="J115" s="64">
        <f t="shared" si="9"/>
        <v>2.0390070921985788</v>
      </c>
      <c r="K115" s="64">
        <f t="shared" si="10"/>
        <v>0.99206349206349198</v>
      </c>
      <c r="L115" s="64">
        <f t="shared" si="11"/>
        <v>1.6976556184316851</v>
      </c>
      <c r="M115" s="64">
        <f t="shared" si="12"/>
        <v>1.0799999999999954</v>
      </c>
      <c r="N115" s="64">
        <f t="shared" si="13"/>
        <v>0.95873280533554928</v>
      </c>
    </row>
    <row r="116" spans="1:14" x14ac:dyDescent="0.3">
      <c r="A116" s="37">
        <f>SUM(Table15[[#This Row],[Cereals and products]:[Food and beverages]])/13</f>
        <v>122.13076923076923</v>
      </c>
      <c r="B116" s="37">
        <f>SUM(Table15[[#This Row],[Fuel and light]])</f>
        <v>121.9</v>
      </c>
      <c r="C116" s="37">
        <f>SUM(Table15[[#This Row],[Transport and communication]])</f>
        <v>113.3</v>
      </c>
      <c r="D116" s="37">
        <f>SUM(Table15[[#This Row],[Housing]],Table15[[#This Row],[Household goods and services]])/2</f>
        <v>117.9</v>
      </c>
      <c r="E116" s="37">
        <f>SUM(Table15[[#This Row],[Health]])</f>
        <v>119.4</v>
      </c>
      <c r="F116" s="37">
        <f>SUM(Table15[[#This Row],[Recreation and amusement]],Table15[[#This Row],[Education]])/2</f>
        <v>118.6</v>
      </c>
      <c r="G116" s="62">
        <f>SUM(Table15[[#This Row],[Miscellaneous]],Table15[[#This Row],[Personal care and effects]])/2</f>
        <v>114.6</v>
      </c>
      <c r="H116" s="64">
        <f t="shared" si="7"/>
        <v>-7.8900040610314957</v>
      </c>
      <c r="I116" s="64">
        <f t="shared" si="8"/>
        <v>-4.3171114599686025</v>
      </c>
      <c r="J116" s="64">
        <f t="shared" si="9"/>
        <v>-1.563857515204168</v>
      </c>
      <c r="K116" s="64">
        <f t="shared" si="10"/>
        <v>-7.3477406679764199</v>
      </c>
      <c r="L116" s="64">
        <f t="shared" si="11"/>
        <v>-5.0874403815580216</v>
      </c>
      <c r="M116" s="64">
        <f t="shared" si="12"/>
        <v>-6.1337554412346655</v>
      </c>
      <c r="N116" s="64">
        <f t="shared" si="13"/>
        <v>-5.367464905037159</v>
      </c>
    </row>
    <row r="117" spans="1:14" x14ac:dyDescent="0.3">
      <c r="A117" s="38">
        <f>SUM(Table15[[#This Row],[Cereals and products]:[Food and beverages]])/13</f>
        <v>122.33846153846154</v>
      </c>
      <c r="B117" s="38">
        <f>SUM(Table15[[#This Row],[Fuel and light]])</f>
        <v>119.2</v>
      </c>
      <c r="C117" s="38">
        <f>SUM(Table15[[#This Row],[Transport and communication]])</f>
        <v>112</v>
      </c>
      <c r="D117" s="38">
        <f>SUM(Table15[[#This Row],[Housing]],Table15[[#This Row],[Household goods and services]])/2</f>
        <v>119.9</v>
      </c>
      <c r="E117" s="38">
        <f>SUM(Table15[[#This Row],[Health]])</f>
        <v>117.7</v>
      </c>
      <c r="F117" s="38">
        <f>SUM(Table15[[#This Row],[Recreation and amusement]],Table15[[#This Row],[Education]])/2</f>
        <v>118.85</v>
      </c>
      <c r="G117" s="63">
        <f>SUM(Table15[[#This Row],[Miscellaneous]],Table15[[#This Row],[Personal care and effects]])/2</f>
        <v>114.19999999999999</v>
      </c>
      <c r="H117" s="64">
        <f t="shared" si="7"/>
        <v>0.1700573156137847</v>
      </c>
      <c r="I117" s="64">
        <f t="shared" si="8"/>
        <v>-2.214930270713702</v>
      </c>
      <c r="J117" s="64">
        <f t="shared" si="9"/>
        <v>-1.1473962930273585</v>
      </c>
      <c r="K117" s="64">
        <f t="shared" si="10"/>
        <v>1.6963528413910092</v>
      </c>
      <c r="L117" s="64">
        <f t="shared" si="11"/>
        <v>-1.4237855946398683</v>
      </c>
      <c r="M117" s="64">
        <f t="shared" si="12"/>
        <v>0.21079258010118043</v>
      </c>
      <c r="N117" s="64">
        <f t="shared" si="13"/>
        <v>-0.34904013961606084</v>
      </c>
    </row>
    <row r="118" spans="1:14" x14ac:dyDescent="0.3">
      <c r="A118" s="37">
        <f>SUM(Table15[[#This Row],[Cereals and products]:[Food and beverages]])/13</f>
        <v>122.9923076923077</v>
      </c>
      <c r="B118" s="37">
        <f>SUM(Table15[[#This Row],[Fuel and light]])</f>
        <v>114.9</v>
      </c>
      <c r="C118" s="37">
        <f>SUM(Table15[[#This Row],[Transport and communication]])</f>
        <v>110.8</v>
      </c>
      <c r="D118" s="37">
        <f>SUM(Table15[[#This Row],[Housing]],Table15[[#This Row],[Household goods and services]])/2</f>
        <v>119.15</v>
      </c>
      <c r="E118" s="37">
        <f>SUM(Table15[[#This Row],[Health]])</f>
        <v>114.9</v>
      </c>
      <c r="F118" s="37">
        <f>SUM(Table15[[#This Row],[Recreation and amusement]],Table15[[#This Row],[Education]])/2</f>
        <v>119</v>
      </c>
      <c r="G118" s="62">
        <f>SUM(Table15[[#This Row],[Miscellaneous]],Table15[[#This Row],[Personal care and effects]])/2</f>
        <v>113.80000000000001</v>
      </c>
      <c r="H118" s="64">
        <f t="shared" si="7"/>
        <v>0.53445674044266123</v>
      </c>
      <c r="I118" s="64">
        <f t="shared" si="8"/>
        <v>-3.6073825503355681</v>
      </c>
      <c r="J118" s="64">
        <f t="shared" si="9"/>
        <v>-1.0714285714285741</v>
      </c>
      <c r="K118" s="64">
        <f t="shared" si="10"/>
        <v>-0.62552126772310257</v>
      </c>
      <c r="L118" s="64">
        <f t="shared" si="11"/>
        <v>-2.3789294817332176</v>
      </c>
      <c r="M118" s="64">
        <f t="shared" si="12"/>
        <v>0.12620950778292445</v>
      </c>
      <c r="N118" s="64">
        <f t="shared" si="13"/>
        <v>-0.3502626970227472</v>
      </c>
    </row>
    <row r="119" spans="1:14" x14ac:dyDescent="0.3">
      <c r="A119" s="38">
        <f>SUM(Table15[[#This Row],[Cereals and products]:[Food and beverages]])/13</f>
        <v>116.45384615384614</v>
      </c>
      <c r="B119" s="38">
        <f>SUM(Table15[[#This Row],[Fuel and light]])</f>
        <v>113.4</v>
      </c>
      <c r="C119" s="38">
        <f>SUM(Table15[[#This Row],[Transport and communication]])</f>
        <v>111.4</v>
      </c>
      <c r="D119" s="38">
        <f>SUM(Table15[[#This Row],[Housing]],Table15[[#This Row],[Household goods and services]])/2</f>
        <v>107.3</v>
      </c>
      <c r="E119" s="38">
        <f>SUM(Table15[[#This Row],[Health]])</f>
        <v>112.1</v>
      </c>
      <c r="F119" s="38">
        <f>SUM(Table15[[#This Row],[Recreation and amusement]],Table15[[#This Row],[Education]])/2</f>
        <v>112</v>
      </c>
      <c r="G119" s="63">
        <f>SUM(Table15[[#This Row],[Miscellaneous]],Table15[[#This Row],[Personal care and effects]])/2</f>
        <v>110.35</v>
      </c>
      <c r="H119" s="64">
        <f t="shared" si="7"/>
        <v>-5.3161548564638368</v>
      </c>
      <c r="I119" s="64">
        <f t="shared" si="8"/>
        <v>-1.3054830287206265</v>
      </c>
      <c r="J119" s="64">
        <f t="shared" si="9"/>
        <v>0.54151624548737232</v>
      </c>
      <c r="K119" s="64">
        <f t="shared" si="10"/>
        <v>-9.9454469156525445</v>
      </c>
      <c r="L119" s="64">
        <f t="shared" si="11"/>
        <v>-2.4369016536118462</v>
      </c>
      <c r="M119" s="64">
        <f t="shared" si="12"/>
        <v>-5.8823529411764701</v>
      </c>
      <c r="N119" s="64">
        <f t="shared" si="13"/>
        <v>-3.0316344463972027</v>
      </c>
    </row>
    <row r="120" spans="1:14" x14ac:dyDescent="0.3">
      <c r="A120" s="37">
        <f>SUM(Table15[[#This Row],[Cereals and products]:[Food and beverages]])/13</f>
        <v>116.80769230769235</v>
      </c>
      <c r="B120" s="37">
        <f>SUM(Table15[[#This Row],[Fuel and light]])</f>
        <v>112.5</v>
      </c>
      <c r="C120" s="37">
        <f>SUM(Table15[[#This Row],[Transport and communication]])</f>
        <v>111.3</v>
      </c>
      <c r="D120" s="37">
        <f>SUM(Table15[[#This Row],[Housing]],Table15[[#This Row],[Household goods and services]])/2</f>
        <v>114.19999999999999</v>
      </c>
      <c r="E120" s="37">
        <f>SUM(Table15[[#This Row],[Health]])</f>
        <v>111.8</v>
      </c>
      <c r="F120" s="37">
        <f>SUM(Table15[[#This Row],[Recreation and amusement]],Table15[[#This Row],[Education]])/2</f>
        <v>112.1</v>
      </c>
      <c r="G120" s="62">
        <f>SUM(Table15[[#This Row],[Miscellaneous]],Table15[[#This Row],[Personal care and effects]])/2</f>
        <v>110.44999999999999</v>
      </c>
      <c r="H120" s="64">
        <f t="shared" si="7"/>
        <v>0.30385098091027657</v>
      </c>
      <c r="I120" s="64">
        <f t="shared" si="8"/>
        <v>-0.7936507936507986</v>
      </c>
      <c r="J120" s="64">
        <f t="shared" si="9"/>
        <v>-8.9766606822269765E-2</v>
      </c>
      <c r="K120" s="64">
        <f t="shared" si="10"/>
        <v>6.4305684995340089</v>
      </c>
      <c r="L120" s="64">
        <f t="shared" si="11"/>
        <v>-0.26761819803746401</v>
      </c>
      <c r="M120" s="64">
        <f t="shared" si="12"/>
        <v>8.9285714285709208E-2</v>
      </c>
      <c r="N120" s="64">
        <f t="shared" si="13"/>
        <v>9.0620752152237721E-2</v>
      </c>
    </row>
    <row r="121" spans="1:14" x14ac:dyDescent="0.3">
      <c r="A121" s="38">
        <f>SUM(Table15[[#This Row],[Cereals and products]:[Food and beverages]])/13</f>
        <v>117.33076923076925</v>
      </c>
      <c r="B121" s="38">
        <f>SUM(Table15[[#This Row],[Fuel and light]])</f>
        <v>111.1</v>
      </c>
      <c r="C121" s="38">
        <f>SUM(Table15[[#This Row],[Transport and communication]])</f>
        <v>111.3</v>
      </c>
      <c r="D121" s="38">
        <f>SUM(Table15[[#This Row],[Housing]],Table15[[#This Row],[Household goods and services]])/2</f>
        <v>114.19999999999999</v>
      </c>
      <c r="E121" s="38">
        <f>SUM(Table15[[#This Row],[Health]])</f>
        <v>111.2</v>
      </c>
      <c r="F121" s="38">
        <f>SUM(Table15[[#This Row],[Recreation and amusement]],Table15[[#This Row],[Education]])/2</f>
        <v>112.2</v>
      </c>
      <c r="G121" s="63">
        <f>SUM(Table15[[#This Row],[Miscellaneous]],Table15[[#This Row],[Personal care and effects]])/2</f>
        <v>110.5</v>
      </c>
      <c r="H121" s="64">
        <f t="shared" si="7"/>
        <v>0.44781033915045743</v>
      </c>
      <c r="I121" s="64">
        <f t="shared" si="8"/>
        <v>-1.2444444444444496</v>
      </c>
      <c r="J121" s="64">
        <f t="shared" si="9"/>
        <v>0</v>
      </c>
      <c r="K121" s="64">
        <f t="shared" si="10"/>
        <v>0</v>
      </c>
      <c r="L121" s="64">
        <f t="shared" si="11"/>
        <v>-0.53667262969588048</v>
      </c>
      <c r="M121" s="64">
        <f t="shared" si="12"/>
        <v>8.9206066012496463E-2</v>
      </c>
      <c r="N121" s="64">
        <f t="shared" si="13"/>
        <v>4.5269352648267432E-2</v>
      </c>
    </row>
    <row r="122" spans="1:14" x14ac:dyDescent="0.3">
      <c r="A122" s="37">
        <f>SUM(Table15[[#This Row],[Cereals and products]:[Food and beverages]])/13</f>
        <v>107.23076923076923</v>
      </c>
      <c r="B122" s="37">
        <f>SUM(Table15[[#This Row],[Fuel and light]])</f>
        <v>107.5</v>
      </c>
      <c r="C122" s="37">
        <f>SUM(Table15[[#This Row],[Transport and communication]])</f>
        <v>104.1</v>
      </c>
      <c r="D122" s="37">
        <f>SUM(Table15[[#This Row],[Housing]],Table15[[#This Row],[Household goods and services]])/2</f>
        <v>139.30000000000001</v>
      </c>
      <c r="E122" s="37">
        <f>SUM(Table15[[#This Row],[Health]])</f>
        <v>105.7</v>
      </c>
      <c r="F122" s="37">
        <f>SUM(Table15[[#This Row],[Recreation and amusement]],Table15[[#This Row],[Education]])/2</f>
        <v>105.25</v>
      </c>
      <c r="G122" s="62">
        <f>SUM(Table15[[#This Row],[Miscellaneous]],Table15[[#This Row],[Personal care and effects]])/2</f>
        <v>103.44999999999999</v>
      </c>
      <c r="H122" s="64">
        <f t="shared" si="7"/>
        <v>-8.6081426604602544</v>
      </c>
      <c r="I122" s="64">
        <f t="shared" si="8"/>
        <v>-3.2403240324032359</v>
      </c>
      <c r="J122" s="64">
        <f t="shared" si="9"/>
        <v>-6.4690026954177933</v>
      </c>
      <c r="K122" s="64">
        <f t="shared" si="10"/>
        <v>21.978984238178654</v>
      </c>
      <c r="L122" s="64">
        <f t="shared" si="11"/>
        <v>-4.9460431654676258</v>
      </c>
      <c r="M122" s="64">
        <f t="shared" si="12"/>
        <v>-6.1942959001782549</v>
      </c>
      <c r="N122" s="64">
        <f t="shared" si="13"/>
        <v>-6.3800904977375676</v>
      </c>
    </row>
    <row r="123" spans="1:14" x14ac:dyDescent="0.3">
      <c r="A123" s="38">
        <f>SUM(Table15[[#This Row],[Cereals and products]:[Food and beverages]])/13</f>
        <v>107.86153846153844</v>
      </c>
      <c r="B123" s="38">
        <f>SUM(Table15[[#This Row],[Fuel and light]])</f>
        <v>107.4</v>
      </c>
      <c r="C123" s="38">
        <f>SUM(Table15[[#This Row],[Transport and communication]])</f>
        <v>104</v>
      </c>
      <c r="D123" s="38">
        <f>SUM(Table15[[#This Row],[Housing]],Table15[[#This Row],[Household goods and services]])/2</f>
        <v>103.7</v>
      </c>
      <c r="E123" s="38">
        <f>SUM(Table15[[#This Row],[Health]])</f>
        <v>105.9</v>
      </c>
      <c r="F123" s="38">
        <f>SUM(Table15[[#This Row],[Recreation and amusement]],Table15[[#This Row],[Education]])/2</f>
        <v>105.19999999999999</v>
      </c>
      <c r="G123" s="63">
        <f>SUM(Table15[[#This Row],[Miscellaneous]],Table15[[#This Row],[Personal care and effects]])/2</f>
        <v>103.55</v>
      </c>
      <c r="H123" s="64">
        <f t="shared" si="7"/>
        <v>0.58823529411763509</v>
      </c>
      <c r="I123" s="64">
        <f t="shared" si="8"/>
        <v>-9.30232558139482E-2</v>
      </c>
      <c r="J123" s="64">
        <f t="shared" si="9"/>
        <v>-9.6061479346776488E-2</v>
      </c>
      <c r="K123" s="64">
        <f t="shared" si="10"/>
        <v>-25.556353194544151</v>
      </c>
      <c r="L123" s="64">
        <f t="shared" si="11"/>
        <v>0.18921475875118529</v>
      </c>
      <c r="M123" s="64">
        <f t="shared" si="12"/>
        <v>-4.7505938242291088E-2</v>
      </c>
      <c r="N123" s="64">
        <f t="shared" si="13"/>
        <v>9.6665055582415213E-2</v>
      </c>
    </row>
    <row r="124" spans="1:14" x14ac:dyDescent="0.3">
      <c r="A124" s="37">
        <f>SUM(Table15[[#This Row],[Cereals and products]:[Food and beverages]])/13</f>
        <v>109.0153846153846</v>
      </c>
      <c r="B124" s="37">
        <f>SUM(Table15[[#This Row],[Fuel and light]])</f>
        <v>107.2</v>
      </c>
      <c r="C124" s="37">
        <f>SUM(Table15[[#This Row],[Transport and communication]])</f>
        <v>103.9</v>
      </c>
      <c r="D124" s="37">
        <f>SUM(Table15[[#This Row],[Housing]],Table15[[#This Row],[Household goods and services]])/2</f>
        <v>103.8</v>
      </c>
      <c r="E124" s="37">
        <f>SUM(Table15[[#This Row],[Health]])</f>
        <v>106.2</v>
      </c>
      <c r="F124" s="37">
        <f>SUM(Table15[[#This Row],[Recreation and amusement]],Table15[[#This Row],[Education]])/2</f>
        <v>105.15</v>
      </c>
      <c r="G124" s="62">
        <f>SUM(Table15[[#This Row],[Miscellaneous]],Table15[[#This Row],[Personal care and effects]])/2</f>
        <v>103.75</v>
      </c>
      <c r="H124" s="64">
        <f t="shared" si="7"/>
        <v>1.0697475395806653</v>
      </c>
      <c r="I124" s="64">
        <f t="shared" si="8"/>
        <v>-0.18621973929236763</v>
      </c>
      <c r="J124" s="64">
        <f t="shared" si="9"/>
        <v>-9.6153846153840677E-2</v>
      </c>
      <c r="K124" s="64">
        <f t="shared" si="10"/>
        <v>9.6432015429116988E-2</v>
      </c>
      <c r="L124" s="64">
        <f t="shared" si="11"/>
        <v>0.28328611898016726</v>
      </c>
      <c r="M124" s="64">
        <f t="shared" si="12"/>
        <v>-4.7528517110249954E-2</v>
      </c>
      <c r="N124" s="64">
        <f t="shared" si="13"/>
        <v>0.19314340898117127</v>
      </c>
    </row>
    <row r="125" spans="1:14" x14ac:dyDescent="0.3">
      <c r="A125" s="38">
        <f>SUM(Table15[[#This Row],[Cereals and products]:[Food and beverages]])/13</f>
        <v>114.48461538461537</v>
      </c>
      <c r="B125" s="38">
        <f>SUM(Table15[[#This Row],[Fuel and light]])</f>
        <v>112.5</v>
      </c>
      <c r="C125" s="38">
        <f>SUM(Table15[[#This Row],[Transport and communication]])</f>
        <v>111.4</v>
      </c>
      <c r="D125" s="38">
        <f>SUM(Table15[[#This Row],[Housing]],Table15[[#This Row],[Household goods and services]])/2</f>
        <v>113.2</v>
      </c>
      <c r="E125" s="38">
        <f>SUM(Table15[[#This Row],[Health]])</f>
        <v>111.2</v>
      </c>
      <c r="F125" s="38">
        <f>SUM(Table15[[#This Row],[Recreation and amusement]],Table15[[#This Row],[Education]])/2</f>
        <v>111.3</v>
      </c>
      <c r="G125" s="63">
        <f>SUM(Table15[[#This Row],[Miscellaneous]],Table15[[#This Row],[Personal care and effects]])/2</f>
        <v>110.15</v>
      </c>
      <c r="H125" s="64">
        <f t="shared" si="7"/>
        <v>5.0169348010160819</v>
      </c>
      <c r="I125" s="64">
        <f t="shared" si="8"/>
        <v>4.9440298507462659</v>
      </c>
      <c r="J125" s="64">
        <f t="shared" si="9"/>
        <v>7.2184793070259863</v>
      </c>
      <c r="K125" s="64">
        <f t="shared" si="10"/>
        <v>9.0558766859344964</v>
      </c>
      <c r="L125" s="64">
        <f t="shared" si="11"/>
        <v>4.7080979284369118</v>
      </c>
      <c r="M125" s="64">
        <f t="shared" si="12"/>
        <v>5.8487874465049838</v>
      </c>
      <c r="N125" s="64">
        <f t="shared" si="13"/>
        <v>6.1686746987951864</v>
      </c>
    </row>
    <row r="126" spans="1:14" x14ac:dyDescent="0.3">
      <c r="A126" s="37">
        <f>SUM(Table15[[#This Row],[Cereals and products]:[Food and beverages]])/13</f>
        <v>174.2923076923077</v>
      </c>
      <c r="B126" s="37">
        <f>SUM(Table15[[#This Row],[Fuel and light]])</f>
        <v>181.4</v>
      </c>
      <c r="C126" s="37">
        <f>SUM(Table15[[#This Row],[Transport and communication]])</f>
        <v>169</v>
      </c>
      <c r="D126" s="37">
        <f>SUM(Table15[[#This Row],[Housing]],Table15[[#This Row],[Household goods and services]])/2</f>
        <v>176.05</v>
      </c>
      <c r="E126" s="37">
        <f>SUM(Table15[[#This Row],[Health]])</f>
        <v>186.6</v>
      </c>
      <c r="F126" s="37">
        <f>SUM(Table15[[#This Row],[Recreation and amusement]],Table15[[#This Row],[Education]])/2</f>
        <v>175.65</v>
      </c>
      <c r="G126" s="62">
        <f>SUM(Table15[[#This Row],[Miscellaneous]],Table15[[#This Row],[Personal care and effects]])/2</f>
        <v>179.3</v>
      </c>
      <c r="H126" s="64">
        <f t="shared" si="7"/>
        <v>52.240811664315025</v>
      </c>
      <c r="I126" s="64">
        <f t="shared" si="8"/>
        <v>61.244444444444447</v>
      </c>
      <c r="J126" s="64">
        <f t="shared" si="9"/>
        <v>51.705565529622973</v>
      </c>
      <c r="K126" s="64">
        <f t="shared" si="10"/>
        <v>55.521201413427569</v>
      </c>
      <c r="L126" s="64">
        <f t="shared" si="11"/>
        <v>67.805755395683448</v>
      </c>
      <c r="M126" s="64">
        <f t="shared" si="12"/>
        <v>57.816711590296507</v>
      </c>
      <c r="N126" s="64">
        <f t="shared" si="13"/>
        <v>62.778029959146622</v>
      </c>
    </row>
    <row r="127" spans="1:14" x14ac:dyDescent="0.3">
      <c r="A127" s="38">
        <f>SUM(Table15[[#This Row],[Cereals and products]:[Food and beverages]])/13</f>
        <v>175.32307692307691</v>
      </c>
      <c r="B127" s="38">
        <f>SUM(Table15[[#This Row],[Fuel and light]])</f>
        <v>181.9</v>
      </c>
      <c r="C127" s="38">
        <f>SUM(Table15[[#This Row],[Transport and communication]])</f>
        <v>164.2</v>
      </c>
      <c r="D127" s="38">
        <f>SUM(Table15[[#This Row],[Housing]],Table15[[#This Row],[Household goods and services]])/2</f>
        <v>173.85</v>
      </c>
      <c r="E127" s="38">
        <f>SUM(Table15[[#This Row],[Health]])</f>
        <v>184.4</v>
      </c>
      <c r="F127" s="38">
        <f>SUM(Table15[[#This Row],[Recreation and amusement]],Table15[[#This Row],[Education]])/2</f>
        <v>172.65</v>
      </c>
      <c r="G127" s="63">
        <f>SUM(Table15[[#This Row],[Miscellaneous]],Table15[[#This Row],[Personal care and effects]])/2</f>
        <v>177.55</v>
      </c>
      <c r="H127" s="64">
        <f t="shared" si="7"/>
        <v>0.59140259510988258</v>
      </c>
      <c r="I127" s="64">
        <f t="shared" si="8"/>
        <v>0.27563395810363833</v>
      </c>
      <c r="J127" s="64">
        <f t="shared" si="9"/>
        <v>-2.8402366863905395</v>
      </c>
      <c r="K127" s="64">
        <f t="shared" si="10"/>
        <v>-1.2496449872195494</v>
      </c>
      <c r="L127" s="64">
        <f t="shared" si="11"/>
        <v>-1.1789924973204655</v>
      </c>
      <c r="M127" s="64">
        <f t="shared" si="12"/>
        <v>-1.7079419299743808</v>
      </c>
      <c r="N127" s="64">
        <f t="shared" si="13"/>
        <v>-0.97601784718349127</v>
      </c>
    </row>
    <row r="128" spans="1:14" x14ac:dyDescent="0.3">
      <c r="A128" s="37">
        <f>SUM(Table15[[#This Row],[Cereals and products]:[Food and beverages]])/13</f>
        <v>177.1846153846154</v>
      </c>
      <c r="B128" s="37">
        <f>SUM(Table15[[#This Row],[Fuel and light]])</f>
        <v>182.6</v>
      </c>
      <c r="C128" s="37">
        <f>SUM(Table15[[#This Row],[Transport and communication]])</f>
        <v>159.80000000000001</v>
      </c>
      <c r="D128" s="37">
        <f>SUM(Table15[[#This Row],[Housing]],Table15[[#This Row],[Household goods and services]])/2</f>
        <v>171.35</v>
      </c>
      <c r="E128" s="37">
        <f>SUM(Table15[[#This Row],[Health]])</f>
        <v>180.8</v>
      </c>
      <c r="F128" s="37">
        <f>SUM(Table15[[#This Row],[Recreation and amusement]],Table15[[#This Row],[Education]])/2</f>
        <v>170.45</v>
      </c>
      <c r="G128" s="62">
        <f>SUM(Table15[[#This Row],[Miscellaneous]],Table15[[#This Row],[Personal care and effects]])/2</f>
        <v>175.75</v>
      </c>
      <c r="H128" s="64">
        <f t="shared" si="7"/>
        <v>1.0617760617760763</v>
      </c>
      <c r="I128" s="64">
        <f t="shared" si="8"/>
        <v>0.3848268279274264</v>
      </c>
      <c r="J128" s="64">
        <f t="shared" si="9"/>
        <v>-2.6796589524969416</v>
      </c>
      <c r="K128" s="64">
        <f t="shared" si="10"/>
        <v>-1.4380212827149841</v>
      </c>
      <c r="L128" s="64">
        <f t="shared" si="11"/>
        <v>-1.9522776572668081</v>
      </c>
      <c r="M128" s="64">
        <f t="shared" si="12"/>
        <v>-1.2742542716478522</v>
      </c>
      <c r="N128" s="64">
        <f t="shared" si="13"/>
        <v>-1.0137989298789138</v>
      </c>
    </row>
    <row r="129" spans="1:14" x14ac:dyDescent="0.3">
      <c r="A129" s="38">
        <f>SUM(Table15[[#This Row],[Cereals and products]:[Food and beverages]])/13</f>
        <v>167.62307692307695</v>
      </c>
      <c r="B129" s="38">
        <f>SUM(Table15[[#This Row],[Fuel and light]])</f>
        <v>168.9</v>
      </c>
      <c r="C129" s="38">
        <f>SUM(Table15[[#This Row],[Transport and communication]])</f>
        <v>162</v>
      </c>
      <c r="D129" s="38">
        <f>SUM(Table15[[#This Row],[Housing]],Table15[[#This Row],[Household goods and services]])/2</f>
        <v>165.9</v>
      </c>
      <c r="E129" s="38">
        <f>SUM(Table15[[#This Row],[Health]])</f>
        <v>176</v>
      </c>
      <c r="F129" s="38">
        <f>SUM(Table15[[#This Row],[Recreation and amusement]],Table15[[#This Row],[Education]])/2</f>
        <v>168.6</v>
      </c>
      <c r="G129" s="63">
        <f>SUM(Table15[[#This Row],[Miscellaneous]],Table15[[#This Row],[Personal care and effects]])/2</f>
        <v>167.85000000000002</v>
      </c>
      <c r="H129" s="64">
        <f t="shared" si="7"/>
        <v>-5.3963705826169921</v>
      </c>
      <c r="I129" s="64">
        <f t="shared" si="8"/>
        <v>-7.5027382256297859</v>
      </c>
      <c r="J129" s="64">
        <f t="shared" si="9"/>
        <v>1.3767209011264008</v>
      </c>
      <c r="K129" s="64">
        <f t="shared" si="10"/>
        <v>-3.1806244528742278</v>
      </c>
      <c r="L129" s="64">
        <f t="shared" si="11"/>
        <v>-2.6548672566371745</v>
      </c>
      <c r="M129" s="64">
        <f t="shared" si="12"/>
        <v>-1.0853622763273654</v>
      </c>
      <c r="N129" s="64">
        <f t="shared" si="13"/>
        <v>-4.4950213371265875</v>
      </c>
    </row>
    <row r="130" spans="1:14" x14ac:dyDescent="0.3">
      <c r="A130" s="37">
        <f>SUM(Table15[[#This Row],[Cereals and products]:[Food and beverages]])/13</f>
        <v>168.01538461538465</v>
      </c>
      <c r="B130" s="37">
        <f>SUM(Table15[[#This Row],[Fuel and light]])</f>
        <v>167.2</v>
      </c>
      <c r="C130" s="37">
        <f>SUM(Table15[[#This Row],[Transport and communication]])</f>
        <v>157.9</v>
      </c>
      <c r="D130" s="37">
        <f>SUM(Table15[[#This Row],[Housing]],Table15[[#This Row],[Household goods and services]])/2</f>
        <v>164.05</v>
      </c>
      <c r="E130" s="37">
        <f>SUM(Table15[[#This Row],[Health]])</f>
        <v>173</v>
      </c>
      <c r="F130" s="37">
        <f>SUM(Table15[[#This Row],[Recreation and amusement]],Table15[[#This Row],[Education]])/2</f>
        <v>164.65</v>
      </c>
      <c r="G130" s="62">
        <f>SUM(Table15[[#This Row],[Miscellaneous]],Table15[[#This Row],[Personal care and effects]])/2</f>
        <v>165.89999999999998</v>
      </c>
      <c r="H130" s="64">
        <f t="shared" si="7"/>
        <v>0.23404157679776283</v>
      </c>
      <c r="I130" s="64">
        <f t="shared" si="8"/>
        <v>-1.0065127294257059</v>
      </c>
      <c r="J130" s="64">
        <f t="shared" si="9"/>
        <v>-2.5308641975308608</v>
      </c>
      <c r="K130" s="64">
        <f t="shared" si="10"/>
        <v>-1.1151295961422509</v>
      </c>
      <c r="L130" s="64">
        <f t="shared" si="11"/>
        <v>-1.7045454545454544</v>
      </c>
      <c r="M130" s="64">
        <f t="shared" si="12"/>
        <v>-2.3428232502965534</v>
      </c>
      <c r="N130" s="64">
        <f t="shared" si="13"/>
        <v>-1.1617515638963629</v>
      </c>
    </row>
    <row r="131" spans="1:14" x14ac:dyDescent="0.3">
      <c r="A131" s="38">
        <f>SUM(Table15[[#This Row],[Cereals and products]:[Food and beverages]])/13</f>
        <v>168.94615384615386</v>
      </c>
      <c r="B131" s="38">
        <f>SUM(Table15[[#This Row],[Fuel and light]])</f>
        <v>164.5</v>
      </c>
      <c r="C131" s="38">
        <f>SUM(Table15[[#This Row],[Transport and communication]])</f>
        <v>154.19999999999999</v>
      </c>
      <c r="D131" s="38">
        <f>SUM(Table15[[#This Row],[Housing]],Table15[[#This Row],[Household goods and services]])/2</f>
        <v>161.94999999999999</v>
      </c>
      <c r="E131" s="38">
        <f>SUM(Table15[[#This Row],[Health]])</f>
        <v>168.2</v>
      </c>
      <c r="F131" s="38">
        <f>SUM(Table15[[#This Row],[Recreation and amusement]],Table15[[#This Row],[Education]])/2</f>
        <v>161.75</v>
      </c>
      <c r="G131" s="63">
        <f>SUM(Table15[[#This Row],[Miscellaneous]],Table15[[#This Row],[Personal care and effects]])/2</f>
        <v>163.69999999999999</v>
      </c>
      <c r="H131" s="64">
        <f t="shared" si="7"/>
        <v>0.55397857339070566</v>
      </c>
      <c r="I131" s="64">
        <f t="shared" si="8"/>
        <v>-1.6148325358851605</v>
      </c>
      <c r="J131" s="64">
        <f t="shared" si="9"/>
        <v>-2.34325522482585</v>
      </c>
      <c r="K131" s="64">
        <f t="shared" si="10"/>
        <v>-1.2800975312404892</v>
      </c>
      <c r="L131" s="64">
        <f t="shared" si="11"/>
        <v>-2.7745664739884459</v>
      </c>
      <c r="M131" s="64">
        <f t="shared" si="12"/>
        <v>-1.7613118736714277</v>
      </c>
      <c r="N131" s="64">
        <f t="shared" si="13"/>
        <v>-1.3261000602772688</v>
      </c>
    </row>
    <row r="132" spans="1:14" x14ac:dyDescent="0.3">
      <c r="A132" s="37">
        <f>SUM(Table15[[#This Row],[Cereals and products]:[Food and beverages]])/13</f>
        <v>152.19999999999999</v>
      </c>
      <c r="B132" s="37">
        <f>SUM(Table15[[#This Row],[Fuel and light]])</f>
        <v>145.80000000000001</v>
      </c>
      <c r="C132" s="37">
        <f>SUM(Table15[[#This Row],[Transport and communication]])</f>
        <v>143.6</v>
      </c>
      <c r="D132" s="37">
        <f>SUM(Table15[[#This Row],[Housing]],Table15[[#This Row],[Household goods and services]])/2</f>
        <v>153.69999999999999</v>
      </c>
      <c r="E132" s="37">
        <f>SUM(Table15[[#This Row],[Health]])</f>
        <v>158.80000000000001</v>
      </c>
      <c r="F132" s="37">
        <f>SUM(Table15[[#This Row],[Recreation and amusement]],Table15[[#This Row],[Education]])/2</f>
        <v>157.44999999999999</v>
      </c>
      <c r="G132" s="62">
        <f>SUM(Table15[[#This Row],[Miscellaneous]],Table15[[#This Row],[Personal care and effects]])/2</f>
        <v>153.30000000000001</v>
      </c>
      <c r="H132" s="64">
        <f t="shared" ref="H132:H195" si="14">((A132-A131)/A131* 100)</f>
        <v>-9.912124937394724</v>
      </c>
      <c r="I132" s="64">
        <f t="shared" ref="I132:I195" si="15">((B132-B131)/B131 *100)</f>
        <v>-11.367781155015191</v>
      </c>
      <c r="J132" s="64">
        <f t="shared" ref="J132:J195" si="16">((C132-C131)/C131 * 100)</f>
        <v>-6.874189364461734</v>
      </c>
      <c r="K132" s="64">
        <f t="shared" ref="K132:K195" si="17">((D132-D131)/D131 * 100)</f>
        <v>-5.0941648656992902</v>
      </c>
      <c r="L132" s="64">
        <f t="shared" ref="L132:L195" si="18">((E132-E131)/E131 * 100)</f>
        <v>-5.5885850178358965</v>
      </c>
      <c r="M132" s="64">
        <f t="shared" ref="M132:M195" si="19">((F132-F131)/F131 * 100)</f>
        <v>-2.6584234930448294</v>
      </c>
      <c r="N132" s="64">
        <f t="shared" ref="N132:N195" si="20">((G132-G131)/G131 *100)</f>
        <v>-6.3530849114233217</v>
      </c>
    </row>
    <row r="133" spans="1:14" x14ac:dyDescent="0.3">
      <c r="A133" s="38">
        <f>SUM(Table15[[#This Row],[Cereals and products]:[Food and beverages]])/13</f>
        <v>153.47692307692307</v>
      </c>
      <c r="B133" s="38">
        <f>SUM(Table15[[#This Row],[Fuel and light]])</f>
        <v>143</v>
      </c>
      <c r="C133" s="38">
        <f>SUM(Table15[[#This Row],[Transport and communication]])</f>
        <v>138.5</v>
      </c>
      <c r="D133" s="38">
        <f>SUM(Table15[[#This Row],[Housing]],Table15[[#This Row],[Household goods and services]])/2</f>
        <v>151.94999999999999</v>
      </c>
      <c r="E133" s="38">
        <f>SUM(Table15[[#This Row],[Health]])</f>
        <v>155</v>
      </c>
      <c r="F133" s="38">
        <f>SUM(Table15[[#This Row],[Recreation and amusement]],Table15[[#This Row],[Education]])/2</f>
        <v>152.25</v>
      </c>
      <c r="G133" s="63">
        <f>SUM(Table15[[#This Row],[Miscellaneous]],Table15[[#This Row],[Personal care and effects]])/2</f>
        <v>151.65</v>
      </c>
      <c r="H133" s="64">
        <f t="shared" si="14"/>
        <v>0.83897705448297188</v>
      </c>
      <c r="I133" s="64">
        <f t="shared" si="15"/>
        <v>-1.9204389574760024</v>
      </c>
      <c r="J133" s="64">
        <f t="shared" si="16"/>
        <v>-3.55153203342618</v>
      </c>
      <c r="K133" s="64">
        <f t="shared" si="17"/>
        <v>-1.1385816525699415</v>
      </c>
      <c r="L133" s="64">
        <f t="shared" si="18"/>
        <v>-2.3929471032745662</v>
      </c>
      <c r="M133" s="64">
        <f t="shared" si="19"/>
        <v>-3.302635757383289</v>
      </c>
      <c r="N133" s="64">
        <f t="shared" si="20"/>
        <v>-1.0763209393346416</v>
      </c>
    </row>
    <row r="134" spans="1:14" x14ac:dyDescent="0.3">
      <c r="A134" s="37">
        <f>SUM(Table15[[#This Row],[Cereals and products]:[Food and beverages]])/13</f>
        <v>155.76153846153846</v>
      </c>
      <c r="B134" s="37">
        <f>SUM(Table15[[#This Row],[Fuel and light]])</f>
        <v>138.30000000000001</v>
      </c>
      <c r="C134" s="37">
        <f>SUM(Table15[[#This Row],[Transport and communication]])</f>
        <v>133.9</v>
      </c>
      <c r="D134" s="37">
        <f>SUM(Table15[[#This Row],[Housing]],Table15[[#This Row],[Household goods and services]])/2</f>
        <v>150</v>
      </c>
      <c r="E134" s="37">
        <f>SUM(Table15[[#This Row],[Health]])</f>
        <v>148.69999999999999</v>
      </c>
      <c r="F134" s="37">
        <f>SUM(Table15[[#This Row],[Recreation and amusement]],Table15[[#This Row],[Education]])/2</f>
        <v>148.35</v>
      </c>
      <c r="G134" s="62">
        <f>SUM(Table15[[#This Row],[Miscellaneous]],Table15[[#This Row],[Personal care and effects]])/2</f>
        <v>150</v>
      </c>
      <c r="H134" s="64">
        <f t="shared" si="14"/>
        <v>1.4885725741780325</v>
      </c>
      <c r="I134" s="64">
        <f t="shared" si="15"/>
        <v>-3.2867132867132791</v>
      </c>
      <c r="J134" s="64">
        <f t="shared" si="16"/>
        <v>-3.3212996389891654</v>
      </c>
      <c r="K134" s="64">
        <f t="shared" si="17"/>
        <v>-1.2833168805528059</v>
      </c>
      <c r="L134" s="64">
        <f t="shared" si="18"/>
        <v>-4.0645161290322651</v>
      </c>
      <c r="M134" s="64">
        <f t="shared" si="19"/>
        <v>-2.5615763546798069</v>
      </c>
      <c r="N134" s="64">
        <f t="shared" si="20"/>
        <v>-1.0880316518298749</v>
      </c>
    </row>
    <row r="135" spans="1:14" x14ac:dyDescent="0.3">
      <c r="A135" s="38">
        <f>SUM(Table15[[#This Row],[Cereals and products]:[Food and beverages]])/13</f>
        <v>161.57692307692307</v>
      </c>
      <c r="B135" s="38">
        <f>SUM(Table15[[#This Row],[Fuel and light]])</f>
        <v>148.69999999999999</v>
      </c>
      <c r="C135" s="38">
        <f>SUM(Table15[[#This Row],[Transport and communication]])</f>
        <v>146.4</v>
      </c>
      <c r="D135" s="38">
        <f>SUM(Table15[[#This Row],[Housing]],Table15[[#This Row],[Household goods and services]])/2</f>
        <v>155.9</v>
      </c>
      <c r="E135" s="38">
        <f>SUM(Table15[[#This Row],[Health]])</f>
        <v>161.6</v>
      </c>
      <c r="F135" s="38">
        <f>SUM(Table15[[#This Row],[Recreation and amusement]],Table15[[#This Row],[Education]])/2</f>
        <v>158.4</v>
      </c>
      <c r="G135" s="63">
        <f>SUM(Table15[[#This Row],[Miscellaneous]],Table15[[#This Row],[Personal care and effects]])/2</f>
        <v>155.89999999999998</v>
      </c>
      <c r="H135" s="64">
        <f t="shared" si="14"/>
        <v>3.7335177045779955</v>
      </c>
      <c r="I135" s="64">
        <f t="shared" si="15"/>
        <v>7.519884309472145</v>
      </c>
      <c r="J135" s="64">
        <f t="shared" si="16"/>
        <v>9.3353248693054525</v>
      </c>
      <c r="K135" s="64">
        <f t="shared" si="17"/>
        <v>3.9333333333333371</v>
      </c>
      <c r="L135" s="64">
        <f t="shared" si="18"/>
        <v>8.6751849361129842</v>
      </c>
      <c r="M135" s="64">
        <f t="shared" si="19"/>
        <v>6.7745197168857505</v>
      </c>
      <c r="N135" s="64">
        <f t="shared" si="20"/>
        <v>3.933333333333318</v>
      </c>
    </row>
    <row r="136" spans="1:14" x14ac:dyDescent="0.3">
      <c r="A136" s="37">
        <f>SUM(Table15[[#This Row],[Cereals and products]:[Food and beverages]])/13</f>
        <v>162.23846153846154</v>
      </c>
      <c r="B136" s="37">
        <f>SUM(Table15[[#This Row],[Fuel and light]])</f>
        <v>144.6</v>
      </c>
      <c r="C136" s="37">
        <f>SUM(Table15[[#This Row],[Transport and communication]])</f>
        <v>140.69999999999999</v>
      </c>
      <c r="D136" s="37">
        <f>SUM(Table15[[#This Row],[Housing]],Table15[[#This Row],[Household goods and services]])/2</f>
        <v>154.05000000000001</v>
      </c>
      <c r="E136" s="37">
        <f>SUM(Table15[[#This Row],[Health]])</f>
        <v>158.30000000000001</v>
      </c>
      <c r="F136" s="37">
        <f>SUM(Table15[[#This Row],[Recreation and amusement]],Table15[[#This Row],[Education]])/2</f>
        <v>153.94999999999999</v>
      </c>
      <c r="G136" s="62">
        <f>SUM(Table15[[#This Row],[Miscellaneous]],Table15[[#This Row],[Personal care and effects]])/2</f>
        <v>154.14999999999998</v>
      </c>
      <c r="H136" s="64">
        <f t="shared" si="14"/>
        <v>0.40942632706498971</v>
      </c>
      <c r="I136" s="64">
        <f t="shared" si="15"/>
        <v>-2.7572293207800906</v>
      </c>
      <c r="J136" s="64">
        <f t="shared" si="16"/>
        <v>-3.8934426229508308</v>
      </c>
      <c r="K136" s="64">
        <f t="shared" si="17"/>
        <v>-1.18665811417575</v>
      </c>
      <c r="L136" s="64">
        <f t="shared" si="18"/>
        <v>-2.0420792079207817</v>
      </c>
      <c r="M136" s="64">
        <f t="shared" si="19"/>
        <v>-2.8093434343434454</v>
      </c>
      <c r="N136" s="64">
        <f t="shared" si="20"/>
        <v>-1.1225144323284157</v>
      </c>
    </row>
    <row r="137" spans="1:14" x14ac:dyDescent="0.3">
      <c r="A137" s="38">
        <f>SUM(Table15[[#This Row],[Cereals and products]:[Food and beverages]])/13</f>
        <v>163.49230769230769</v>
      </c>
      <c r="B137" s="38">
        <f>SUM(Table15[[#This Row],[Fuel and light]])</f>
        <v>137.9</v>
      </c>
      <c r="C137" s="38">
        <f>SUM(Table15[[#This Row],[Transport and communication]])</f>
        <v>135.5</v>
      </c>
      <c r="D137" s="38">
        <f>SUM(Table15[[#This Row],[Housing]],Table15[[#This Row],[Household goods and services]])/2</f>
        <v>151.94999999999999</v>
      </c>
      <c r="E137" s="38">
        <f>SUM(Table15[[#This Row],[Health]])</f>
        <v>152.9</v>
      </c>
      <c r="F137" s="38">
        <f>SUM(Table15[[#This Row],[Recreation and amusement]],Table15[[#This Row],[Education]])/2</f>
        <v>150.60000000000002</v>
      </c>
      <c r="G137" s="63">
        <f>SUM(Table15[[#This Row],[Miscellaneous]],Table15[[#This Row],[Personal care and effects]])/2</f>
        <v>152.4</v>
      </c>
      <c r="H137" s="64">
        <f t="shared" si="14"/>
        <v>0.77284149637286104</v>
      </c>
      <c r="I137" s="64">
        <f t="shared" si="15"/>
        <v>-4.6334716459197711</v>
      </c>
      <c r="J137" s="64">
        <f t="shared" si="16"/>
        <v>-3.6958066808812999</v>
      </c>
      <c r="K137" s="64">
        <f t="shared" si="17"/>
        <v>-1.3631937682570741</v>
      </c>
      <c r="L137" s="64">
        <f t="shared" si="18"/>
        <v>-3.4112444725205338</v>
      </c>
      <c r="M137" s="64">
        <f t="shared" si="19"/>
        <v>-2.176031178954184</v>
      </c>
      <c r="N137" s="64">
        <f t="shared" si="20"/>
        <v>-1.1352578657151942</v>
      </c>
    </row>
    <row r="138" spans="1:14" x14ac:dyDescent="0.3">
      <c r="A138" s="37">
        <f>SUM(Table15[[#This Row],[Cereals and products]:[Food and beverages]])/13</f>
        <v>146.90769230769229</v>
      </c>
      <c r="B138" s="37">
        <f>SUM(Table15[[#This Row],[Fuel and light]])</f>
        <v>152.30000000000001</v>
      </c>
      <c r="C138" s="37">
        <f>SUM(Table15[[#This Row],[Transport and communication]])</f>
        <v>136</v>
      </c>
      <c r="D138" s="37">
        <f>SUM(Table15[[#This Row],[Housing]],Table15[[#This Row],[Household goods and services]])/2</f>
        <v>153.30000000000001</v>
      </c>
      <c r="E138" s="37">
        <f>SUM(Table15[[#This Row],[Health]])</f>
        <v>156.19999999999999</v>
      </c>
      <c r="F138" s="37">
        <f>SUM(Table15[[#This Row],[Recreation and amusement]],Table15[[#This Row],[Education]])/2</f>
        <v>156.15</v>
      </c>
      <c r="G138" s="62">
        <f>SUM(Table15[[#This Row],[Miscellaneous]],Table15[[#This Row],[Personal care and effects]])/2</f>
        <v>145.9</v>
      </c>
      <c r="H138" s="64">
        <f t="shared" si="14"/>
        <v>-10.143972899218982</v>
      </c>
      <c r="I138" s="64">
        <f t="shared" si="15"/>
        <v>10.442349528643948</v>
      </c>
      <c r="J138" s="64">
        <f t="shared" si="16"/>
        <v>0.36900369003690037</v>
      </c>
      <c r="K138" s="64">
        <f t="shared" si="17"/>
        <v>0.88845014807503975</v>
      </c>
      <c r="L138" s="64">
        <f t="shared" si="18"/>
        <v>2.1582733812949528</v>
      </c>
      <c r="M138" s="64">
        <f t="shared" si="19"/>
        <v>3.6852589641434146</v>
      </c>
      <c r="N138" s="64">
        <f t="shared" si="20"/>
        <v>-4.2650918635170596</v>
      </c>
    </row>
    <row r="139" spans="1:14" x14ac:dyDescent="0.3">
      <c r="A139" s="38">
        <f>SUM(Table15[[#This Row],[Cereals and products]:[Food and beverages]])/13</f>
        <v>147.04615384615383</v>
      </c>
      <c r="B139" s="38">
        <f>SUM(Table15[[#This Row],[Fuel and light]])</f>
        <v>147.19999999999999</v>
      </c>
      <c r="C139" s="38">
        <f>SUM(Table15[[#This Row],[Transport and communication]])</f>
        <v>130.30000000000001</v>
      </c>
      <c r="D139" s="38">
        <f>SUM(Table15[[#This Row],[Housing]],Table15[[#This Row],[Household goods and services]])/2</f>
        <v>150.60000000000002</v>
      </c>
      <c r="E139" s="38">
        <f>SUM(Table15[[#This Row],[Health]])</f>
        <v>151.69999999999999</v>
      </c>
      <c r="F139" s="38">
        <f>SUM(Table15[[#This Row],[Recreation and amusement]],Table15[[#This Row],[Education]])/2</f>
        <v>149.69999999999999</v>
      </c>
      <c r="G139" s="63">
        <f>SUM(Table15[[#This Row],[Miscellaneous]],Table15[[#This Row],[Personal care and effects]])/2</f>
        <v>143.5</v>
      </c>
      <c r="H139" s="64">
        <f t="shared" si="14"/>
        <v>9.4250706880303708E-2</v>
      </c>
      <c r="I139" s="64">
        <f t="shared" si="15"/>
        <v>-3.3486539724228646</v>
      </c>
      <c r="J139" s="64">
        <f t="shared" si="16"/>
        <v>-4.1911764705882266</v>
      </c>
      <c r="K139" s="64">
        <f t="shared" si="17"/>
        <v>-1.7612524461839456</v>
      </c>
      <c r="L139" s="64">
        <f t="shared" si="18"/>
        <v>-2.8809218950064022</v>
      </c>
      <c r="M139" s="64">
        <f t="shared" si="19"/>
        <v>-4.1306436119116343</v>
      </c>
      <c r="N139" s="64">
        <f t="shared" si="20"/>
        <v>-1.6449623029472278</v>
      </c>
    </row>
    <row r="140" spans="1:14" x14ac:dyDescent="0.3">
      <c r="A140" s="37">
        <f>SUM(Table15[[#This Row],[Cereals and products]:[Food and beverages]])/13</f>
        <v>147.43076923076922</v>
      </c>
      <c r="B140" s="37">
        <f>SUM(Table15[[#This Row],[Fuel and light]])</f>
        <v>138.9</v>
      </c>
      <c r="C140" s="37">
        <f>SUM(Table15[[#This Row],[Transport and communication]])</f>
        <v>125.2</v>
      </c>
      <c r="D140" s="37">
        <f>SUM(Table15[[#This Row],[Housing]],Table15[[#This Row],[Household goods and services]])/2</f>
        <v>147.60000000000002</v>
      </c>
      <c r="E140" s="37">
        <f>SUM(Table15[[#This Row],[Health]])</f>
        <v>144.4</v>
      </c>
      <c r="F140" s="37">
        <f>SUM(Table15[[#This Row],[Recreation and amusement]],Table15[[#This Row],[Education]])/2</f>
        <v>144.94999999999999</v>
      </c>
      <c r="G140" s="62">
        <f>SUM(Table15[[#This Row],[Miscellaneous]],Table15[[#This Row],[Personal care and effects]])/2</f>
        <v>140.94999999999999</v>
      </c>
      <c r="H140" s="64">
        <f t="shared" si="14"/>
        <v>0.26156099602427441</v>
      </c>
      <c r="I140" s="64">
        <f t="shared" si="15"/>
        <v>-5.6385869565217277</v>
      </c>
      <c r="J140" s="64">
        <f t="shared" si="16"/>
        <v>-3.9140445126630916</v>
      </c>
      <c r="K140" s="64">
        <f t="shared" si="17"/>
        <v>-1.9920318725099597</v>
      </c>
      <c r="L140" s="64">
        <f t="shared" si="18"/>
        <v>-4.8121292023730939</v>
      </c>
      <c r="M140" s="64">
        <f t="shared" si="19"/>
        <v>-3.1730126920507682</v>
      </c>
      <c r="N140" s="64">
        <f t="shared" si="20"/>
        <v>-1.7770034843205655</v>
      </c>
    </row>
    <row r="141" spans="1:14" x14ac:dyDescent="0.3">
      <c r="A141" s="38">
        <f>SUM(Table15[[#This Row],[Cereals and products]:[Food and beverages]])/13</f>
        <v>131.96153846153845</v>
      </c>
      <c r="B141" s="38">
        <f>SUM(Table15[[#This Row],[Fuel and light]])</f>
        <v>126.4</v>
      </c>
      <c r="C141" s="38">
        <f>SUM(Table15[[#This Row],[Transport and communication]])</f>
        <v>117.8</v>
      </c>
      <c r="D141" s="38">
        <f>SUM(Table15[[#This Row],[Housing]],Table15[[#This Row],[Household goods and services]])/2</f>
        <v>136.4</v>
      </c>
      <c r="E141" s="38">
        <f>SUM(Table15[[#This Row],[Health]])</f>
        <v>130.5</v>
      </c>
      <c r="F141" s="38">
        <f>SUM(Table15[[#This Row],[Recreation and amusement]],Table15[[#This Row],[Education]])/2</f>
        <v>132.30000000000001</v>
      </c>
      <c r="G141" s="63">
        <f>SUM(Table15[[#This Row],[Miscellaneous]],Table15[[#This Row],[Personal care and effects]])/2</f>
        <v>126.9</v>
      </c>
      <c r="H141" s="64">
        <f t="shared" si="14"/>
        <v>-10.492538870917246</v>
      </c>
      <c r="I141" s="64">
        <f t="shared" si="15"/>
        <v>-8.9992800575953922</v>
      </c>
      <c r="J141" s="64">
        <f t="shared" si="16"/>
        <v>-5.9105431309904199</v>
      </c>
      <c r="K141" s="64">
        <f t="shared" si="17"/>
        <v>-7.5880758807588187</v>
      </c>
      <c r="L141" s="64">
        <f t="shared" si="18"/>
        <v>-9.6260387811634391</v>
      </c>
      <c r="M141" s="64">
        <f t="shared" si="19"/>
        <v>-8.7271472921696986</v>
      </c>
      <c r="N141" s="64">
        <f t="shared" si="20"/>
        <v>-9.9680737850301426</v>
      </c>
    </row>
    <row r="142" spans="1:14" x14ac:dyDescent="0.3">
      <c r="A142" s="37">
        <f>SUM(Table15[[#This Row],[Cereals and products]:[Food and beverages]])/13</f>
        <v>135.07692307692307</v>
      </c>
      <c r="B142" s="37">
        <f>SUM(Table15[[#This Row],[Fuel and light]])</f>
        <v>136.5</v>
      </c>
      <c r="C142" s="37">
        <f>SUM(Table15[[#This Row],[Transport and communication]])</f>
        <v>121</v>
      </c>
      <c r="D142" s="37">
        <f>SUM(Table15[[#This Row],[Housing]],Table15[[#This Row],[Household goods and services]])/2</f>
        <v>138.80000000000001</v>
      </c>
      <c r="E142" s="37">
        <f>SUM(Table15[[#This Row],[Health]])</f>
        <v>134.30000000000001</v>
      </c>
      <c r="F142" s="37">
        <f>SUM(Table15[[#This Row],[Recreation and amusement]],Table15[[#This Row],[Education]])/2</f>
        <v>135.10000000000002</v>
      </c>
      <c r="G142" s="62">
        <f>SUM(Table15[[#This Row],[Miscellaneous]],Table15[[#This Row],[Personal care and effects]])/2</f>
        <v>129.25</v>
      </c>
      <c r="H142" s="64">
        <f t="shared" si="14"/>
        <v>2.3608277470125314</v>
      </c>
      <c r="I142" s="64">
        <f t="shared" si="15"/>
        <v>7.9905063291139191</v>
      </c>
      <c r="J142" s="64">
        <f t="shared" si="16"/>
        <v>2.716468590831921</v>
      </c>
      <c r="K142" s="64">
        <f t="shared" si="17"/>
        <v>1.7595307917888603</v>
      </c>
      <c r="L142" s="64">
        <f t="shared" si="18"/>
        <v>2.9118773946360239</v>
      </c>
      <c r="M142" s="64">
        <f t="shared" si="19"/>
        <v>2.1164021164021252</v>
      </c>
      <c r="N142" s="64">
        <f t="shared" si="20"/>
        <v>1.8518518518518472</v>
      </c>
    </row>
    <row r="143" spans="1:14" x14ac:dyDescent="0.3">
      <c r="A143" s="38">
        <f>SUM(Table15[[#This Row],[Cereals and products]:[Food and beverages]])/13</f>
        <v>137.07692307692307</v>
      </c>
      <c r="B143" s="38">
        <f>SUM(Table15[[#This Row],[Fuel and light]])</f>
        <v>142.6</v>
      </c>
      <c r="C143" s="38">
        <f>SUM(Table15[[#This Row],[Transport and communication]])</f>
        <v>124.6</v>
      </c>
      <c r="D143" s="38">
        <f>SUM(Table15[[#This Row],[Housing]],Table15[[#This Row],[Household goods and services]])/2</f>
        <v>140.94999999999999</v>
      </c>
      <c r="E143" s="38">
        <f>SUM(Table15[[#This Row],[Health]])</f>
        <v>136.69999999999999</v>
      </c>
      <c r="F143" s="38">
        <f>SUM(Table15[[#This Row],[Recreation and amusement]],Table15[[#This Row],[Education]])/2</f>
        <v>138.89999999999998</v>
      </c>
      <c r="G143" s="63">
        <f>SUM(Table15[[#This Row],[Miscellaneous]],Table15[[#This Row],[Personal care and effects]])/2</f>
        <v>131.30000000000001</v>
      </c>
      <c r="H143" s="64">
        <f t="shared" si="14"/>
        <v>1.4806378132118452</v>
      </c>
      <c r="I143" s="64">
        <f t="shared" si="15"/>
        <v>4.4688644688644645</v>
      </c>
      <c r="J143" s="64">
        <f t="shared" si="16"/>
        <v>2.9752066115702429</v>
      </c>
      <c r="K143" s="64">
        <f t="shared" si="17"/>
        <v>1.5489913544668423</v>
      </c>
      <c r="L143" s="64">
        <f t="shared" si="18"/>
        <v>1.7870439314966322</v>
      </c>
      <c r="M143" s="64">
        <f t="shared" si="19"/>
        <v>2.8127313101406024</v>
      </c>
      <c r="N143" s="64">
        <f t="shared" si="20"/>
        <v>1.5860735009671267</v>
      </c>
    </row>
    <row r="144" spans="1:14" x14ac:dyDescent="0.3">
      <c r="A144" s="37">
        <f>SUM(Table15[[#This Row],[Cereals and products]:[Food and beverages]])/13</f>
        <v>131.2076923076923</v>
      </c>
      <c r="B144" s="37">
        <f>SUM(Table15[[#This Row],[Fuel and light]])</f>
        <v>120.8</v>
      </c>
      <c r="C144" s="37">
        <f>SUM(Table15[[#This Row],[Transport and communication]])</f>
        <v>115.6</v>
      </c>
      <c r="D144" s="37">
        <f>SUM(Table15[[#This Row],[Housing]],Table15[[#This Row],[Household goods and services]])/2</f>
        <v>128.35</v>
      </c>
      <c r="E144" s="37">
        <f>SUM(Table15[[#This Row],[Health]])</f>
        <v>123.1</v>
      </c>
      <c r="F144" s="37">
        <f>SUM(Table15[[#This Row],[Recreation and amusement]],Table15[[#This Row],[Education]])/2</f>
        <v>127.60000000000001</v>
      </c>
      <c r="G144" s="62">
        <f>SUM(Table15[[#This Row],[Miscellaneous]],Table15[[#This Row],[Personal care and effects]])/2</f>
        <v>122.15</v>
      </c>
      <c r="H144" s="64">
        <f t="shared" si="14"/>
        <v>-4.2817059483726148</v>
      </c>
      <c r="I144" s="64">
        <f t="shared" si="15"/>
        <v>-15.287517531556801</v>
      </c>
      <c r="J144" s="64">
        <f t="shared" si="16"/>
        <v>-7.2231139646869984</v>
      </c>
      <c r="K144" s="64">
        <f t="shared" si="17"/>
        <v>-8.939340191557287</v>
      </c>
      <c r="L144" s="64">
        <f t="shared" si="18"/>
        <v>-9.9487929773226007</v>
      </c>
      <c r="M144" s="64">
        <f t="shared" si="19"/>
        <v>-8.1353491720662134</v>
      </c>
      <c r="N144" s="64">
        <f t="shared" si="20"/>
        <v>-6.9687738004569715</v>
      </c>
    </row>
    <row r="145" spans="1:14" x14ac:dyDescent="0.3">
      <c r="A145" s="38">
        <f>SUM(Table15[[#This Row],[Cereals and products]:[Food and beverages]])/13</f>
        <v>132.22307692307692</v>
      </c>
      <c r="B145" s="38">
        <f>SUM(Table15[[#This Row],[Fuel and light]])</f>
        <v>129.1</v>
      </c>
      <c r="C145" s="38">
        <f>SUM(Table15[[#This Row],[Transport and communication]])</f>
        <v>117.6</v>
      </c>
      <c r="D145" s="38">
        <f>SUM(Table15[[#This Row],[Housing]],Table15[[#This Row],[Household goods and services]])/2</f>
        <v>130.6</v>
      </c>
      <c r="E145" s="38">
        <f>SUM(Table15[[#This Row],[Health]])</f>
        <v>127.8</v>
      </c>
      <c r="F145" s="38">
        <f>SUM(Table15[[#This Row],[Recreation and amusement]],Table15[[#This Row],[Education]])/2</f>
        <v>129.4</v>
      </c>
      <c r="G145" s="63">
        <f>SUM(Table15[[#This Row],[Miscellaneous]],Table15[[#This Row],[Personal care and effects]])/2</f>
        <v>123.85</v>
      </c>
      <c r="H145" s="64">
        <f t="shared" si="14"/>
        <v>0.77387582810576572</v>
      </c>
      <c r="I145" s="64">
        <f t="shared" si="15"/>
        <v>6.8708609271523153</v>
      </c>
      <c r="J145" s="64">
        <f t="shared" si="16"/>
        <v>1.7301038062283738</v>
      </c>
      <c r="K145" s="64">
        <f t="shared" si="17"/>
        <v>1.753019088430074</v>
      </c>
      <c r="L145" s="64">
        <f t="shared" si="18"/>
        <v>3.8180341186027644</v>
      </c>
      <c r="M145" s="64">
        <f t="shared" si="19"/>
        <v>1.4106583072100289</v>
      </c>
      <c r="N145" s="64">
        <f t="shared" si="20"/>
        <v>1.3917314776913536</v>
      </c>
    </row>
    <row r="146" spans="1:14" x14ac:dyDescent="0.3">
      <c r="A146" s="37">
        <f>SUM(Table15[[#This Row],[Cereals and products]:[Food and beverages]])/13</f>
        <v>132.96153846153848</v>
      </c>
      <c r="B146" s="37">
        <f>SUM(Table15[[#This Row],[Fuel and light]])</f>
        <v>134.19999999999999</v>
      </c>
      <c r="C146" s="37">
        <f>SUM(Table15[[#This Row],[Transport and communication]])</f>
        <v>119.8</v>
      </c>
      <c r="D146" s="37">
        <f>SUM(Table15[[#This Row],[Housing]],Table15[[#This Row],[Household goods and services]])/2</f>
        <v>132.6</v>
      </c>
      <c r="E146" s="37">
        <f>SUM(Table15[[#This Row],[Health]])</f>
        <v>130.6</v>
      </c>
      <c r="F146" s="37">
        <f>SUM(Table15[[#This Row],[Recreation and amusement]],Table15[[#This Row],[Education]])/2</f>
        <v>131.75</v>
      </c>
      <c r="G146" s="62">
        <f>SUM(Table15[[#This Row],[Miscellaneous]],Table15[[#This Row],[Personal care and effects]])/2</f>
        <v>125.35</v>
      </c>
      <c r="H146" s="64">
        <f t="shared" si="14"/>
        <v>0.55849671301415649</v>
      </c>
      <c r="I146" s="64">
        <f t="shared" si="15"/>
        <v>3.9504260263361695</v>
      </c>
      <c r="J146" s="64">
        <f t="shared" si="16"/>
        <v>1.8707482993197304</v>
      </c>
      <c r="K146" s="64">
        <f t="shared" si="17"/>
        <v>1.5313935681470139</v>
      </c>
      <c r="L146" s="64">
        <f t="shared" si="18"/>
        <v>2.1909233176838789</v>
      </c>
      <c r="M146" s="64">
        <f t="shared" si="19"/>
        <v>1.8160741885625922</v>
      </c>
      <c r="N146" s="64">
        <f t="shared" si="20"/>
        <v>1.2111425111021397</v>
      </c>
    </row>
    <row r="147" spans="1:14" x14ac:dyDescent="0.3">
      <c r="A147" s="38">
        <f>SUM(Table15[[#This Row],[Cereals and products]:[Food and beverages]])/13</f>
        <v>128.27692307692308</v>
      </c>
      <c r="B147" s="38">
        <f>SUM(Table15[[#This Row],[Fuel and light]])</f>
        <v>114.8</v>
      </c>
      <c r="C147" s="38">
        <f>SUM(Table15[[#This Row],[Transport and communication]])</f>
        <v>108.5</v>
      </c>
      <c r="D147" s="38">
        <f>SUM(Table15[[#This Row],[Housing]],Table15[[#This Row],[Household goods and services]])/2</f>
        <v>123.6</v>
      </c>
      <c r="E147" s="38">
        <f>SUM(Table15[[#This Row],[Health]])</f>
        <v>119.7</v>
      </c>
      <c r="F147" s="38">
        <f>SUM(Table15[[#This Row],[Recreation and amusement]],Table15[[#This Row],[Education]])/2</f>
        <v>122.75</v>
      </c>
      <c r="G147" s="63">
        <f>SUM(Table15[[#This Row],[Miscellaneous]],Table15[[#This Row],[Personal care and effects]])/2</f>
        <v>117.19999999999999</v>
      </c>
      <c r="H147" s="64">
        <f t="shared" si="14"/>
        <v>-3.5232860862019191</v>
      </c>
      <c r="I147" s="64">
        <f t="shared" si="15"/>
        <v>-14.456035767511171</v>
      </c>
      <c r="J147" s="64">
        <f t="shared" si="16"/>
        <v>-9.432387312186977</v>
      </c>
      <c r="K147" s="64">
        <f t="shared" si="17"/>
        <v>-6.7873303167420822</v>
      </c>
      <c r="L147" s="64">
        <f t="shared" si="18"/>
        <v>-8.3460949464012195</v>
      </c>
      <c r="M147" s="64">
        <f t="shared" si="19"/>
        <v>-6.8311195445920303</v>
      </c>
      <c r="N147" s="64">
        <f t="shared" si="20"/>
        <v>-6.5017949740726015</v>
      </c>
    </row>
    <row r="148" spans="1:14" x14ac:dyDescent="0.3">
      <c r="A148" s="37">
        <f>SUM(Table15[[#This Row],[Cereals and products]:[Food and beverages]])/13</f>
        <v>128.86153846153846</v>
      </c>
      <c r="B148" s="37">
        <f>SUM(Table15[[#This Row],[Fuel and light]])</f>
        <v>122.4</v>
      </c>
      <c r="C148" s="37">
        <f>SUM(Table15[[#This Row],[Transport and communication]])</f>
        <v>110.9</v>
      </c>
      <c r="D148" s="37">
        <f>SUM(Table15[[#This Row],[Housing]],Table15[[#This Row],[Household goods and services]])/2</f>
        <v>125</v>
      </c>
      <c r="E148" s="37">
        <f>SUM(Table15[[#This Row],[Health]])</f>
        <v>122.9</v>
      </c>
      <c r="F148" s="37">
        <f>SUM(Table15[[#This Row],[Recreation and amusement]],Table15[[#This Row],[Education]])/2</f>
        <v>123.75</v>
      </c>
      <c r="G148" s="62">
        <f>SUM(Table15[[#This Row],[Miscellaneous]],Table15[[#This Row],[Personal care and effects]])/2</f>
        <v>118.3</v>
      </c>
      <c r="H148" s="64">
        <f t="shared" si="14"/>
        <v>0.45574478292155679</v>
      </c>
      <c r="I148" s="64">
        <f t="shared" si="15"/>
        <v>6.6202090592334573</v>
      </c>
      <c r="J148" s="64">
        <f t="shared" si="16"/>
        <v>2.2119815668202816</v>
      </c>
      <c r="K148" s="64">
        <f t="shared" si="17"/>
        <v>1.1326860841423994</v>
      </c>
      <c r="L148" s="64">
        <f t="shared" si="18"/>
        <v>2.6733500417710965</v>
      </c>
      <c r="M148" s="64">
        <f t="shared" si="19"/>
        <v>0.81466395112016288</v>
      </c>
      <c r="N148" s="64">
        <f t="shared" si="20"/>
        <v>0.9385665529010313</v>
      </c>
    </row>
    <row r="149" spans="1:14" x14ac:dyDescent="0.3">
      <c r="A149" s="38">
        <f>SUM(Table15[[#This Row],[Cereals and products]:[Food and beverages]])/13</f>
        <v>129.43846153846155</v>
      </c>
      <c r="B149" s="38">
        <f>SUM(Table15[[#This Row],[Fuel and light]])</f>
        <v>127</v>
      </c>
      <c r="C149" s="38">
        <f>SUM(Table15[[#This Row],[Transport and communication]])</f>
        <v>113.6</v>
      </c>
      <c r="D149" s="38">
        <f>SUM(Table15[[#This Row],[Housing]],Table15[[#This Row],[Household goods and services]])/2</f>
        <v>126.30000000000001</v>
      </c>
      <c r="E149" s="38">
        <f>SUM(Table15[[#This Row],[Health]])</f>
        <v>124.8</v>
      </c>
      <c r="F149" s="38">
        <f>SUM(Table15[[#This Row],[Recreation and amusement]],Table15[[#This Row],[Education]])/2</f>
        <v>125</v>
      </c>
      <c r="G149" s="63">
        <f>SUM(Table15[[#This Row],[Miscellaneous]],Table15[[#This Row],[Personal care and effects]])/2</f>
        <v>119.25</v>
      </c>
      <c r="H149" s="64">
        <f t="shared" si="14"/>
        <v>0.44770773638969841</v>
      </c>
      <c r="I149" s="64">
        <f t="shared" si="15"/>
        <v>3.758169934640518</v>
      </c>
      <c r="J149" s="64">
        <f t="shared" si="16"/>
        <v>2.4346257889990879</v>
      </c>
      <c r="K149" s="64">
        <f t="shared" si="17"/>
        <v>1.0400000000000091</v>
      </c>
      <c r="L149" s="64">
        <f t="shared" si="18"/>
        <v>1.5459723352318888</v>
      </c>
      <c r="M149" s="64">
        <f t="shared" si="19"/>
        <v>1.0101010101010102</v>
      </c>
      <c r="N149" s="64">
        <f t="shared" si="20"/>
        <v>0.80304311073542078</v>
      </c>
    </row>
    <row r="150" spans="1:14" x14ac:dyDescent="0.3">
      <c r="A150" s="37">
        <f>SUM(Table15[[#This Row],[Cereals and products]:[Food and beverages]])/13</f>
        <v>120.88461538461539</v>
      </c>
      <c r="B150" s="37">
        <f>SUM(Table15[[#This Row],[Fuel and light]])</f>
        <v>120.6</v>
      </c>
      <c r="C150" s="37">
        <f>SUM(Table15[[#This Row],[Transport and communication]])</f>
        <v>111.6</v>
      </c>
      <c r="D150" s="37">
        <f>SUM(Table15[[#This Row],[Housing]],Table15[[#This Row],[Household goods and services]])/2</f>
        <v>119.4</v>
      </c>
      <c r="E150" s="37">
        <f>SUM(Table15[[#This Row],[Health]])</f>
        <v>118.2</v>
      </c>
      <c r="F150" s="37">
        <f>SUM(Table15[[#This Row],[Recreation and amusement]],Table15[[#This Row],[Education]])/2</f>
        <v>117.45</v>
      </c>
      <c r="G150" s="62">
        <f>SUM(Table15[[#This Row],[Miscellaneous]],Table15[[#This Row],[Personal care and effects]])/2</f>
        <v>113.15</v>
      </c>
      <c r="H150" s="64">
        <f t="shared" si="14"/>
        <v>-6.6084269329054575</v>
      </c>
      <c r="I150" s="64">
        <f t="shared" si="15"/>
        <v>-5.0393700787401619</v>
      </c>
      <c r="J150" s="64">
        <f t="shared" si="16"/>
        <v>-1.7605633802816902</v>
      </c>
      <c r="K150" s="64">
        <f t="shared" si="17"/>
        <v>-5.4631828978622368</v>
      </c>
      <c r="L150" s="64">
        <f t="shared" si="18"/>
        <v>-5.2884615384615339</v>
      </c>
      <c r="M150" s="64">
        <f t="shared" si="19"/>
        <v>-6.0399999999999974</v>
      </c>
      <c r="N150" s="64">
        <f t="shared" si="20"/>
        <v>-5.1153039832285065</v>
      </c>
    </row>
    <row r="151" spans="1:14" x14ac:dyDescent="0.3">
      <c r="A151" s="38">
        <f>SUM(Table15[[#This Row],[Cereals and products]:[Food and beverages]])/13</f>
        <v>120.69999999999999</v>
      </c>
      <c r="B151" s="38">
        <f>SUM(Table15[[#This Row],[Fuel and light]])</f>
        <v>118.3</v>
      </c>
      <c r="C151" s="38">
        <f>SUM(Table15[[#This Row],[Transport and communication]])</f>
        <v>109.9</v>
      </c>
      <c r="D151" s="38">
        <f>SUM(Table15[[#This Row],[Housing]],Table15[[#This Row],[Household goods and services]])/2</f>
        <v>118.9</v>
      </c>
      <c r="E151" s="38">
        <f>SUM(Table15[[#This Row],[Health]])</f>
        <v>116.7</v>
      </c>
      <c r="F151" s="38">
        <f>SUM(Table15[[#This Row],[Recreation and amusement]],Table15[[#This Row],[Education]])/2</f>
        <v>117.75</v>
      </c>
      <c r="G151" s="63">
        <f>SUM(Table15[[#This Row],[Miscellaneous]],Table15[[#This Row],[Personal care and effects]])/2</f>
        <v>112.85</v>
      </c>
      <c r="H151" s="64">
        <f t="shared" si="14"/>
        <v>-0.15272033089406148</v>
      </c>
      <c r="I151" s="64">
        <f t="shared" si="15"/>
        <v>-1.9071310116086211</v>
      </c>
      <c r="J151" s="64">
        <f t="shared" si="16"/>
        <v>-1.5232974910394164</v>
      </c>
      <c r="K151" s="64">
        <f t="shared" si="17"/>
        <v>-0.41876046901172526</v>
      </c>
      <c r="L151" s="64">
        <f t="shared" si="18"/>
        <v>-1.2690355329949239</v>
      </c>
      <c r="M151" s="64">
        <f t="shared" si="19"/>
        <v>0.25542784163473575</v>
      </c>
      <c r="N151" s="64">
        <f t="shared" si="20"/>
        <v>-0.26513477684490616</v>
      </c>
    </row>
    <row r="152" spans="1:14" x14ac:dyDescent="0.3">
      <c r="A152" s="37">
        <f>SUM(Table15[[#This Row],[Cereals and products]:[Food and beverages]])/13</f>
        <v>120.61538461538463</v>
      </c>
      <c r="B152" s="37">
        <f>SUM(Table15[[#This Row],[Fuel and light]])</f>
        <v>114.4</v>
      </c>
      <c r="C152" s="37">
        <f>SUM(Table15[[#This Row],[Transport and communication]])</f>
        <v>108.4</v>
      </c>
      <c r="D152" s="37">
        <f>SUM(Table15[[#This Row],[Housing]],Table15[[#This Row],[Household goods and services]])/2</f>
        <v>118.3</v>
      </c>
      <c r="E152" s="37">
        <f>SUM(Table15[[#This Row],[Health]])</f>
        <v>114.3</v>
      </c>
      <c r="F152" s="37">
        <f>SUM(Table15[[#This Row],[Recreation and amusement]],Table15[[#This Row],[Education]])/2</f>
        <v>118</v>
      </c>
      <c r="G152" s="62">
        <f>SUM(Table15[[#This Row],[Miscellaneous]],Table15[[#This Row],[Personal care and effects]])/2</f>
        <v>112.55</v>
      </c>
      <c r="H152" s="64">
        <f t="shared" si="14"/>
        <v>-7.0103881205767382E-2</v>
      </c>
      <c r="I152" s="64">
        <f t="shared" si="15"/>
        <v>-3.2967032967032899</v>
      </c>
      <c r="J152" s="64">
        <f t="shared" si="16"/>
        <v>-1.3648771610555051</v>
      </c>
      <c r="K152" s="64">
        <f t="shared" si="17"/>
        <v>-0.50462573591253868</v>
      </c>
      <c r="L152" s="64">
        <f t="shared" si="18"/>
        <v>-2.056555269922884</v>
      </c>
      <c r="M152" s="64">
        <f t="shared" si="19"/>
        <v>0.21231422505307856</v>
      </c>
      <c r="N152" s="64">
        <f t="shared" si="20"/>
        <v>-0.26583961010190271</v>
      </c>
    </row>
    <row r="153" spans="1:14" x14ac:dyDescent="0.3">
      <c r="A153" s="38">
        <f>SUM(Table15[[#This Row],[Cereals and products]:[Food and beverages]])/13</f>
        <v>114.72307692307693</v>
      </c>
      <c r="B153" s="38">
        <f>SUM(Table15[[#This Row],[Fuel and light]])</f>
        <v>113.4</v>
      </c>
      <c r="C153" s="38">
        <f>SUM(Table15[[#This Row],[Transport and communication]])</f>
        <v>111.2</v>
      </c>
      <c r="D153" s="38">
        <f>SUM(Table15[[#This Row],[Housing]],Table15[[#This Row],[Household goods and services]])/2</f>
        <v>113.30000000000001</v>
      </c>
      <c r="E153" s="38">
        <f>SUM(Table15[[#This Row],[Health]])</f>
        <v>111.4</v>
      </c>
      <c r="F153" s="38">
        <f>SUM(Table15[[#This Row],[Recreation and amusement]],Table15[[#This Row],[Education]])/2</f>
        <v>111.30000000000001</v>
      </c>
      <c r="G153" s="63">
        <f>SUM(Table15[[#This Row],[Miscellaneous]],Table15[[#This Row],[Personal care and effects]])/2</f>
        <v>110.1</v>
      </c>
      <c r="H153" s="64">
        <f t="shared" si="14"/>
        <v>-4.8852040816326561</v>
      </c>
      <c r="I153" s="64">
        <f t="shared" si="15"/>
        <v>-0.87412587412587406</v>
      </c>
      <c r="J153" s="64">
        <f t="shared" si="16"/>
        <v>2.5830258302583</v>
      </c>
      <c r="K153" s="64">
        <f t="shared" si="17"/>
        <v>-4.2265426880811381</v>
      </c>
      <c r="L153" s="64">
        <f t="shared" si="18"/>
        <v>-2.5371828521434745</v>
      </c>
      <c r="M153" s="64">
        <f t="shared" si="19"/>
        <v>-5.6779661016949055</v>
      </c>
      <c r="N153" s="64">
        <f t="shared" si="20"/>
        <v>-2.1768103065304336</v>
      </c>
    </row>
    <row r="154" spans="1:14" x14ac:dyDescent="0.3">
      <c r="A154" s="37">
        <f>SUM(Table15[[#This Row],[Cereals and products]:[Food and beverages]])/13</f>
        <v>114.07692307692308</v>
      </c>
      <c r="B154" s="37">
        <f>SUM(Table15[[#This Row],[Fuel and light]])</f>
        <v>110.9</v>
      </c>
      <c r="C154" s="37">
        <f>SUM(Table15[[#This Row],[Transport and communication]])</f>
        <v>111.6</v>
      </c>
      <c r="D154" s="37">
        <f>SUM(Table15[[#This Row],[Housing]],Table15[[#This Row],[Household goods and services]])/2</f>
        <v>113.1</v>
      </c>
      <c r="E154" s="37">
        <f>SUM(Table15[[#This Row],[Health]])</f>
        <v>110.8</v>
      </c>
      <c r="F154" s="37">
        <f>SUM(Table15[[#This Row],[Recreation and amusement]],Table15[[#This Row],[Education]])/2</f>
        <v>111.35</v>
      </c>
      <c r="G154" s="62">
        <f>SUM(Table15[[#This Row],[Miscellaneous]],Table15[[#This Row],[Personal care and effects]])/2</f>
        <v>110.30000000000001</v>
      </c>
      <c r="H154" s="64">
        <f t="shared" si="14"/>
        <v>-0.56322918063564853</v>
      </c>
      <c r="I154" s="64">
        <f t="shared" si="15"/>
        <v>-2.204585537918871</v>
      </c>
      <c r="J154" s="64">
        <f t="shared" si="16"/>
        <v>0.35971223021581966</v>
      </c>
      <c r="K154" s="64">
        <f t="shared" si="17"/>
        <v>-0.17652250661960903</v>
      </c>
      <c r="L154" s="64">
        <f t="shared" si="18"/>
        <v>-0.53859964093358037</v>
      </c>
      <c r="M154" s="64">
        <f t="shared" si="19"/>
        <v>4.4923629829274878E-2</v>
      </c>
      <c r="N154" s="64">
        <f t="shared" si="20"/>
        <v>0.18165304268848054</v>
      </c>
    </row>
    <row r="155" spans="1:14" x14ac:dyDescent="0.3">
      <c r="A155" s="38">
        <f>SUM(Table15[[#This Row],[Cereals and products]:[Food and beverages]])/13</f>
        <v>106.32307692307693</v>
      </c>
      <c r="B155" s="38">
        <f>SUM(Table15[[#This Row],[Fuel and light]])</f>
        <v>106.1</v>
      </c>
      <c r="C155" s="38">
        <f>SUM(Table15[[#This Row],[Transport and communication]])</f>
        <v>104.6</v>
      </c>
      <c r="D155" s="38">
        <f>SUM(Table15[[#This Row],[Housing]],Table15[[#This Row],[Household goods and services]])/2</f>
        <v>103</v>
      </c>
      <c r="E155" s="38">
        <f>SUM(Table15[[#This Row],[Health]])</f>
        <v>104.7</v>
      </c>
      <c r="F155" s="38">
        <f>SUM(Table15[[#This Row],[Recreation and amusement]],Table15[[#This Row],[Education]])/2</f>
        <v>104.15</v>
      </c>
      <c r="G155" s="63">
        <f>SUM(Table15[[#This Row],[Miscellaneous]],Table15[[#This Row],[Personal care and effects]])/2</f>
        <v>104.44999999999999</v>
      </c>
      <c r="H155" s="64">
        <f t="shared" si="14"/>
        <v>-6.7970330411328401</v>
      </c>
      <c r="I155" s="64">
        <f t="shared" si="15"/>
        <v>-4.3282236248872961</v>
      </c>
      <c r="J155" s="64">
        <f t="shared" si="16"/>
        <v>-6.2724014336917575</v>
      </c>
      <c r="K155" s="64">
        <f t="shared" si="17"/>
        <v>-8.9301503094606502</v>
      </c>
      <c r="L155" s="64">
        <f t="shared" si="18"/>
        <v>-5.5054151624548684</v>
      </c>
      <c r="M155" s="64">
        <f t="shared" si="19"/>
        <v>-6.466097889537485</v>
      </c>
      <c r="N155" s="64">
        <f t="shared" si="20"/>
        <v>-5.3037171350861483</v>
      </c>
    </row>
    <row r="156" spans="1:14" x14ac:dyDescent="0.3">
      <c r="A156" s="37">
        <f>SUM(Table15[[#This Row],[Cereals and products]:[Food and beverages]])/13</f>
        <v>106.46153846153848</v>
      </c>
      <c r="B156" s="37">
        <f>SUM(Table15[[#This Row],[Fuel and light]])</f>
        <v>106.1</v>
      </c>
      <c r="C156" s="37">
        <f>SUM(Table15[[#This Row],[Transport and communication]])</f>
        <v>105.1</v>
      </c>
      <c r="D156" s="37">
        <f>SUM(Table15[[#This Row],[Housing]],Table15[[#This Row],[Household goods and services]])/2</f>
        <v>103</v>
      </c>
      <c r="E156" s="37">
        <f>SUM(Table15[[#This Row],[Health]])</f>
        <v>104.9</v>
      </c>
      <c r="F156" s="37">
        <f>SUM(Table15[[#This Row],[Recreation and amusement]],Table15[[#This Row],[Education]])/2</f>
        <v>103.85</v>
      </c>
      <c r="G156" s="62">
        <f>SUM(Table15[[#This Row],[Miscellaneous]],Table15[[#This Row],[Personal care and effects]])/2</f>
        <v>104.5</v>
      </c>
      <c r="H156" s="64">
        <f t="shared" si="14"/>
        <v>0.1302271740703389</v>
      </c>
      <c r="I156" s="64">
        <f t="shared" si="15"/>
        <v>0</v>
      </c>
      <c r="J156" s="64">
        <f t="shared" si="16"/>
        <v>0.47801147227533464</v>
      </c>
      <c r="K156" s="64">
        <f t="shared" si="17"/>
        <v>0</v>
      </c>
      <c r="L156" s="64">
        <f t="shared" si="18"/>
        <v>0.19102196752626824</v>
      </c>
      <c r="M156" s="64">
        <f t="shared" si="19"/>
        <v>-0.28804608737399073</v>
      </c>
      <c r="N156" s="64">
        <f t="shared" si="20"/>
        <v>4.7869794159896006E-2</v>
      </c>
    </row>
    <row r="157" spans="1:14" x14ac:dyDescent="0.3">
      <c r="A157" s="38">
        <f>SUM(Table15[[#This Row],[Cereals and products]:[Food and beverages]])/13</f>
        <v>106.67692307692307</v>
      </c>
      <c r="B157" s="38">
        <f>SUM(Table15[[#This Row],[Fuel and light]])</f>
        <v>106</v>
      </c>
      <c r="C157" s="38">
        <f>SUM(Table15[[#This Row],[Transport and communication]])</f>
        <v>105.5</v>
      </c>
      <c r="D157" s="38">
        <f>SUM(Table15[[#This Row],[Housing]],Table15[[#This Row],[Household goods and services]])/2</f>
        <v>103.05000000000001</v>
      </c>
      <c r="E157" s="38">
        <f>SUM(Table15[[#This Row],[Health]])</f>
        <v>105.2</v>
      </c>
      <c r="F157" s="38">
        <f>SUM(Table15[[#This Row],[Recreation and amusement]],Table15[[#This Row],[Education]])/2</f>
        <v>103.65</v>
      </c>
      <c r="G157" s="63">
        <f>SUM(Table15[[#This Row],[Miscellaneous]],Table15[[#This Row],[Personal care and effects]])/2</f>
        <v>104.55000000000001</v>
      </c>
      <c r="H157" s="64">
        <f t="shared" si="14"/>
        <v>0.20231213872830292</v>
      </c>
      <c r="I157" s="64">
        <f t="shared" si="15"/>
        <v>-9.4250706880296256E-2</v>
      </c>
      <c r="J157" s="64">
        <f t="shared" si="16"/>
        <v>0.38058991436727468</v>
      </c>
      <c r="K157" s="64">
        <f t="shared" si="17"/>
        <v>4.8543689320399382E-2</v>
      </c>
      <c r="L157" s="64">
        <f t="shared" si="18"/>
        <v>0.28598665395614598</v>
      </c>
      <c r="M157" s="64">
        <f t="shared" si="19"/>
        <v>-0.19258545979777433</v>
      </c>
      <c r="N157" s="64">
        <f t="shared" si="20"/>
        <v>4.784688995216399E-2</v>
      </c>
    </row>
    <row r="158" spans="1:14" x14ac:dyDescent="0.3">
      <c r="A158" s="37">
        <f>SUM(Table15[[#This Row],[Cereals and products]:[Food and beverages]])/13</f>
        <v>172.94615384615386</v>
      </c>
      <c r="B158" s="37">
        <f>SUM(Table15[[#This Row],[Fuel and light]])</f>
        <v>176.7</v>
      </c>
      <c r="C158" s="37">
        <f>SUM(Table15[[#This Row],[Transport and communication]])</f>
        <v>165.5</v>
      </c>
      <c r="D158" s="37">
        <f>SUM(Table15[[#This Row],[Housing]],Table15[[#This Row],[Household goods and services]])/2</f>
        <v>168.55</v>
      </c>
      <c r="E158" s="37">
        <f>SUM(Table15[[#This Row],[Health]])</f>
        <v>178.2</v>
      </c>
      <c r="F158" s="37">
        <f>SUM(Table15[[#This Row],[Recreation and amusement]],Table15[[#This Row],[Education]])/2</f>
        <v>170.3</v>
      </c>
      <c r="G158" s="62">
        <f>SUM(Table15[[#This Row],[Miscellaneous]],Table15[[#This Row],[Personal care and effects]])/2</f>
        <v>170.25</v>
      </c>
      <c r="H158" s="64">
        <f t="shared" si="14"/>
        <v>62.121430631670052</v>
      </c>
      <c r="I158" s="64">
        <f t="shared" si="15"/>
        <v>66.698113207547166</v>
      </c>
      <c r="J158" s="64">
        <f t="shared" si="16"/>
        <v>56.872037914691944</v>
      </c>
      <c r="K158" s="64">
        <f t="shared" si="17"/>
        <v>63.561377971858313</v>
      </c>
      <c r="L158" s="64">
        <f t="shared" si="18"/>
        <v>69.391634980988584</v>
      </c>
      <c r="M158" s="64">
        <f t="shared" si="19"/>
        <v>64.302942595272555</v>
      </c>
      <c r="N158" s="64">
        <f t="shared" si="20"/>
        <v>62.84074605451935</v>
      </c>
    </row>
    <row r="159" spans="1:14" x14ac:dyDescent="0.3">
      <c r="A159" s="38">
        <f>SUM(Table15[[#This Row],[Cereals and products]:[Food and beverages]])/13</f>
        <v>173.99230769230769</v>
      </c>
      <c r="B159" s="38">
        <f>SUM(Table15[[#This Row],[Fuel and light]])</f>
        <v>176</v>
      </c>
      <c r="C159" s="38">
        <f>SUM(Table15[[#This Row],[Transport and communication]])</f>
        <v>161.1</v>
      </c>
      <c r="D159" s="38">
        <f>SUM(Table15[[#This Row],[Housing]],Table15[[#This Row],[Household goods and services]])/2</f>
        <v>166.60000000000002</v>
      </c>
      <c r="E159" s="38">
        <f>SUM(Table15[[#This Row],[Health]])</f>
        <v>175.4</v>
      </c>
      <c r="F159" s="38">
        <f>SUM(Table15[[#This Row],[Recreation and amusement]],Table15[[#This Row],[Education]])/2</f>
        <v>167.4</v>
      </c>
      <c r="G159" s="63">
        <f>SUM(Table15[[#This Row],[Miscellaneous]],Table15[[#This Row],[Personal care and effects]])/2</f>
        <v>168.45</v>
      </c>
      <c r="H159" s="64">
        <f t="shared" si="14"/>
        <v>0.60490148111905728</v>
      </c>
      <c r="I159" s="64">
        <f t="shared" si="15"/>
        <v>-0.39615166949631503</v>
      </c>
      <c r="J159" s="64">
        <f t="shared" si="16"/>
        <v>-2.6586102719033269</v>
      </c>
      <c r="K159" s="64">
        <f t="shared" si="17"/>
        <v>-1.1569267279738882</v>
      </c>
      <c r="L159" s="64">
        <f t="shared" si="18"/>
        <v>-1.571268237934895</v>
      </c>
      <c r="M159" s="64">
        <f t="shared" si="19"/>
        <v>-1.7028772753963626</v>
      </c>
      <c r="N159" s="64">
        <f t="shared" si="20"/>
        <v>-1.057268722466967</v>
      </c>
    </row>
    <row r="160" spans="1:14" x14ac:dyDescent="0.3">
      <c r="A160" s="37">
        <f>SUM(Table15[[#This Row],[Cereals and products]:[Food and beverages]])/13</f>
        <v>175.96153846153845</v>
      </c>
      <c r="B160" s="37">
        <f>SUM(Table15[[#This Row],[Fuel and light]])</f>
        <v>174.9</v>
      </c>
      <c r="C160" s="37">
        <f>SUM(Table15[[#This Row],[Transport and communication]])</f>
        <v>157.19999999999999</v>
      </c>
      <c r="D160" s="37">
        <f>SUM(Table15[[#This Row],[Housing]],Table15[[#This Row],[Household goods and services]])/2</f>
        <v>164.45</v>
      </c>
      <c r="E160" s="37">
        <f>SUM(Table15[[#This Row],[Health]])</f>
        <v>170.9</v>
      </c>
      <c r="F160" s="37">
        <f>SUM(Table15[[#This Row],[Recreation and amusement]],Table15[[#This Row],[Education]])/2</f>
        <v>165.3</v>
      </c>
      <c r="G160" s="62">
        <f>SUM(Table15[[#This Row],[Miscellaneous]],Table15[[#This Row],[Personal care and effects]])/2</f>
        <v>166.5</v>
      </c>
      <c r="H160" s="64">
        <f t="shared" si="14"/>
        <v>1.1317918564039042</v>
      </c>
      <c r="I160" s="64">
        <f t="shared" si="15"/>
        <v>-0.62499999999999678</v>
      </c>
      <c r="J160" s="64">
        <f t="shared" si="16"/>
        <v>-2.4208566108007488</v>
      </c>
      <c r="K160" s="64">
        <f t="shared" si="17"/>
        <v>-1.2905162064826134</v>
      </c>
      <c r="L160" s="64">
        <f t="shared" si="18"/>
        <v>-2.565564424173318</v>
      </c>
      <c r="M160" s="64">
        <f t="shared" si="19"/>
        <v>-1.2544802867383478</v>
      </c>
      <c r="N160" s="64">
        <f t="shared" si="20"/>
        <v>-1.1576135351736354</v>
      </c>
    </row>
    <row r="161" spans="1:14" x14ac:dyDescent="0.3">
      <c r="A161" s="38">
        <f>SUM(Table15[[#This Row],[Cereals and products]:[Food and beverages]])/13</f>
        <v>149.12307692307692</v>
      </c>
      <c r="B161" s="38">
        <f>SUM(Table15[[#This Row],[Fuel and light]])</f>
        <v>150.4</v>
      </c>
      <c r="C161" s="38">
        <f>SUM(Table15[[#This Row],[Transport and communication]])</f>
        <v>136.30000000000001</v>
      </c>
      <c r="D161" s="38">
        <f>SUM(Table15[[#This Row],[Housing]],Table15[[#This Row],[Household goods and services]])/2</f>
        <v>152.80000000000001</v>
      </c>
      <c r="E161" s="38">
        <f>SUM(Table15[[#This Row],[Health]])</f>
        <v>155.69999999999999</v>
      </c>
      <c r="F161" s="38">
        <f>SUM(Table15[[#This Row],[Recreation and amusement]],Table15[[#This Row],[Education]])/2</f>
        <v>155.89999999999998</v>
      </c>
      <c r="G161" s="63">
        <f>SUM(Table15[[#This Row],[Miscellaneous]],Table15[[#This Row],[Personal care and effects]])/2</f>
        <v>145.30000000000001</v>
      </c>
      <c r="H161" s="64">
        <f t="shared" si="14"/>
        <v>-15.252459016393438</v>
      </c>
      <c r="I161" s="64">
        <f t="shared" si="15"/>
        <v>-14.00800457404231</v>
      </c>
      <c r="J161" s="64">
        <f t="shared" si="16"/>
        <v>-13.295165394402023</v>
      </c>
      <c r="K161" s="64">
        <f t="shared" si="17"/>
        <v>-7.0842201276983747</v>
      </c>
      <c r="L161" s="64">
        <f t="shared" si="18"/>
        <v>-8.894090111176137</v>
      </c>
      <c r="M161" s="64">
        <f t="shared" si="19"/>
        <v>-5.6866303690260338</v>
      </c>
      <c r="N161" s="64">
        <f t="shared" si="20"/>
        <v>-12.732732732732726</v>
      </c>
    </row>
    <row r="162" spans="1:14" x14ac:dyDescent="0.3">
      <c r="A162" s="37">
        <f>SUM(Table15[[#This Row],[Cereals and products]:[Food and beverages]])/13</f>
        <v>149.26153846153846</v>
      </c>
      <c r="B162" s="37">
        <f>SUM(Table15[[#This Row],[Fuel and light]])</f>
        <v>144.6</v>
      </c>
      <c r="C162" s="37">
        <f>SUM(Table15[[#This Row],[Transport and communication]])</f>
        <v>130.9</v>
      </c>
      <c r="D162" s="37">
        <f>SUM(Table15[[#This Row],[Housing]],Table15[[#This Row],[Household goods and services]])/2</f>
        <v>150.05000000000001</v>
      </c>
      <c r="E162" s="37">
        <f>SUM(Table15[[#This Row],[Health]])</f>
        <v>151.19999999999999</v>
      </c>
      <c r="F162" s="37">
        <f>SUM(Table15[[#This Row],[Recreation and amusement]],Table15[[#This Row],[Education]])/2</f>
        <v>149.44999999999999</v>
      </c>
      <c r="G162" s="62">
        <f>SUM(Table15[[#This Row],[Miscellaneous]],Table15[[#This Row],[Personal care and effects]])/2</f>
        <v>142.85000000000002</v>
      </c>
      <c r="H162" s="64">
        <f t="shared" si="14"/>
        <v>9.2850510677810777E-2</v>
      </c>
      <c r="I162" s="64">
        <f t="shared" si="15"/>
        <v>-3.8563829787234121</v>
      </c>
      <c r="J162" s="64">
        <f t="shared" si="16"/>
        <v>-3.9618488628026451</v>
      </c>
      <c r="K162" s="64">
        <f t="shared" si="17"/>
        <v>-1.7997382198952878</v>
      </c>
      <c r="L162" s="64">
        <f t="shared" si="18"/>
        <v>-2.8901734104046244</v>
      </c>
      <c r="M162" s="64">
        <f t="shared" si="19"/>
        <v>-4.1372674791532971</v>
      </c>
      <c r="N162" s="64">
        <f t="shared" si="20"/>
        <v>-1.6861665519614513</v>
      </c>
    </row>
    <row r="163" spans="1:14" x14ac:dyDescent="0.3">
      <c r="A163" s="38">
        <f>SUM(Table15[[#This Row],[Cereals and products]:[Food and beverages]])/13</f>
        <v>149.64615384615382</v>
      </c>
      <c r="B163" s="38">
        <f>SUM(Table15[[#This Row],[Fuel and light]])</f>
        <v>135.1</v>
      </c>
      <c r="C163" s="38">
        <f>SUM(Table15[[#This Row],[Transport and communication]])</f>
        <v>126.1</v>
      </c>
      <c r="D163" s="38">
        <f>SUM(Table15[[#This Row],[Housing]],Table15[[#This Row],[Household goods and services]])/2</f>
        <v>147</v>
      </c>
      <c r="E163" s="38">
        <f>SUM(Table15[[#This Row],[Health]])</f>
        <v>143.80000000000001</v>
      </c>
      <c r="F163" s="38">
        <f>SUM(Table15[[#This Row],[Recreation and amusement]],Table15[[#This Row],[Education]])/2</f>
        <v>144.64999999999998</v>
      </c>
      <c r="G163" s="63">
        <f>SUM(Table15[[#This Row],[Miscellaneous]],Table15[[#This Row],[Personal care and effects]])/2</f>
        <v>140.25</v>
      </c>
      <c r="H163" s="64">
        <f t="shared" si="14"/>
        <v>0.25767882910738293</v>
      </c>
      <c r="I163" s="64">
        <f t="shared" si="15"/>
        <v>-6.5698478561549107</v>
      </c>
      <c r="J163" s="64">
        <f t="shared" si="16"/>
        <v>-3.6669213139801462</v>
      </c>
      <c r="K163" s="64">
        <f t="shared" si="17"/>
        <v>-2.0326557814062052</v>
      </c>
      <c r="L163" s="64">
        <f t="shared" si="18"/>
        <v>-4.8941798941798798</v>
      </c>
      <c r="M163" s="64">
        <f t="shared" si="19"/>
        <v>-3.2117765138842498</v>
      </c>
      <c r="N163" s="64">
        <f t="shared" si="20"/>
        <v>-1.8200910045502432</v>
      </c>
    </row>
    <row r="164" spans="1:14" x14ac:dyDescent="0.3">
      <c r="A164" s="37">
        <f>SUM(Table15[[#This Row],[Cereals and products]:[Food and beverages]])/13</f>
        <v>150.07692307692307</v>
      </c>
      <c r="B164" s="37">
        <f>SUM(Table15[[#This Row],[Fuel and light]])</f>
        <v>144.9</v>
      </c>
      <c r="C164" s="37">
        <f>SUM(Table15[[#This Row],[Transport and communication]])</f>
        <v>141.4</v>
      </c>
      <c r="D164" s="37">
        <f>SUM(Table15[[#This Row],[Housing]],Table15[[#This Row],[Household goods and services]])/2</f>
        <v>153.19999999999999</v>
      </c>
      <c r="E164" s="37">
        <f>SUM(Table15[[#This Row],[Health]])</f>
        <v>158.19999999999999</v>
      </c>
      <c r="F164" s="37">
        <f>SUM(Table15[[#This Row],[Recreation and amusement]],Table15[[#This Row],[Education]])/2</f>
        <v>157.5</v>
      </c>
      <c r="G164" s="62">
        <f>SUM(Table15[[#This Row],[Miscellaneous]],Table15[[#This Row],[Personal care and effects]])/2</f>
        <v>151.44999999999999</v>
      </c>
      <c r="H164" s="64">
        <f t="shared" si="14"/>
        <v>0.2878585380898615</v>
      </c>
      <c r="I164" s="64">
        <f t="shared" si="15"/>
        <v>7.2538860103627032</v>
      </c>
      <c r="J164" s="64">
        <f t="shared" si="16"/>
        <v>12.133227597145133</v>
      </c>
      <c r="K164" s="64">
        <f t="shared" si="17"/>
        <v>4.2176870748299242</v>
      </c>
      <c r="L164" s="64">
        <f t="shared" si="18"/>
        <v>10.01390820584143</v>
      </c>
      <c r="M164" s="64">
        <f t="shared" si="19"/>
        <v>8.8835119253370376</v>
      </c>
      <c r="N164" s="64">
        <f t="shared" si="20"/>
        <v>7.9857397504456253</v>
      </c>
    </row>
    <row r="165" spans="1:14" x14ac:dyDescent="0.3">
      <c r="A165" s="38">
        <f>SUM(Table15[[#This Row],[Cereals and products]:[Food and beverages]])/13</f>
        <v>151.2923076923077</v>
      </c>
      <c r="B165" s="38">
        <f>SUM(Table15[[#This Row],[Fuel and light]])</f>
        <v>141.9</v>
      </c>
      <c r="C165" s="38">
        <f>SUM(Table15[[#This Row],[Transport and communication]])</f>
        <v>135</v>
      </c>
      <c r="D165" s="38">
        <f>SUM(Table15[[#This Row],[Housing]],Table15[[#This Row],[Household goods and services]])/2</f>
        <v>150.55000000000001</v>
      </c>
      <c r="E165" s="38">
        <f>SUM(Table15[[#This Row],[Health]])</f>
        <v>154.4</v>
      </c>
      <c r="F165" s="38">
        <f>SUM(Table15[[#This Row],[Recreation and amusement]],Table15[[#This Row],[Education]])/2</f>
        <v>152.35000000000002</v>
      </c>
      <c r="G165" s="63">
        <f>SUM(Table15[[#This Row],[Miscellaneous]],Table15[[#This Row],[Personal care and effects]])/2</f>
        <v>149.30000000000001</v>
      </c>
      <c r="H165" s="64">
        <f t="shared" si="14"/>
        <v>0.80984110712456536</v>
      </c>
      <c r="I165" s="64">
        <f t="shared" si="15"/>
        <v>-2.0703933747412009</v>
      </c>
      <c r="J165" s="64">
        <f t="shared" si="16"/>
        <v>-4.5261669024045297</v>
      </c>
      <c r="K165" s="64">
        <f t="shared" si="17"/>
        <v>-1.7297650130548157</v>
      </c>
      <c r="L165" s="64">
        <f t="shared" si="18"/>
        <v>-2.4020227560050462</v>
      </c>
      <c r="M165" s="64">
        <f t="shared" si="19"/>
        <v>-3.2698412698412551</v>
      </c>
      <c r="N165" s="64">
        <f t="shared" si="20"/>
        <v>-1.4196104324859542</v>
      </c>
    </row>
    <row r="166" spans="1:14" x14ac:dyDescent="0.3">
      <c r="A166" s="37">
        <f>SUM(Table15[[#This Row],[Cereals and products]:[Food and beverages]])/13</f>
        <v>153.46153846153845</v>
      </c>
      <c r="B166" s="37">
        <f>SUM(Table15[[#This Row],[Fuel and light]])</f>
        <v>137.1</v>
      </c>
      <c r="C166" s="37">
        <f>SUM(Table15[[#This Row],[Transport and communication]])</f>
        <v>129.30000000000001</v>
      </c>
      <c r="D166" s="37">
        <f>SUM(Table15[[#This Row],[Housing]],Table15[[#This Row],[Household goods and services]])/2</f>
        <v>147.55000000000001</v>
      </c>
      <c r="E166" s="37">
        <f>SUM(Table15[[#This Row],[Health]])</f>
        <v>148.1</v>
      </c>
      <c r="F166" s="37">
        <f>SUM(Table15[[#This Row],[Recreation and amusement]],Table15[[#This Row],[Education]])/2</f>
        <v>148.5</v>
      </c>
      <c r="G166" s="62">
        <f>SUM(Table15[[#This Row],[Miscellaneous]],Table15[[#This Row],[Personal care and effects]])/2</f>
        <v>147.1</v>
      </c>
      <c r="H166" s="64">
        <f t="shared" si="14"/>
        <v>1.4338010982306162</v>
      </c>
      <c r="I166" s="64">
        <f t="shared" si="15"/>
        <v>-3.3826638477801345</v>
      </c>
      <c r="J166" s="64">
        <f t="shared" si="16"/>
        <v>-4.2222222222222143</v>
      </c>
      <c r="K166" s="64">
        <f t="shared" si="17"/>
        <v>-1.9926934573231483</v>
      </c>
      <c r="L166" s="64">
        <f t="shared" si="18"/>
        <v>-4.0803108808290229</v>
      </c>
      <c r="M166" s="64">
        <f t="shared" si="19"/>
        <v>-2.5270758122743828</v>
      </c>
      <c r="N166" s="64">
        <f t="shared" si="20"/>
        <v>-1.473543201607513</v>
      </c>
    </row>
    <row r="167" spans="1:14" x14ac:dyDescent="0.3">
      <c r="A167" s="38">
        <f>SUM(Table15[[#This Row],[Cereals and products]:[Food and beverages]])/13</f>
        <v>150.07692307692307</v>
      </c>
      <c r="B167" s="38">
        <f>SUM(Table15[[#This Row],[Fuel and light]])</f>
        <v>144.9</v>
      </c>
      <c r="C167" s="38">
        <f>SUM(Table15[[#This Row],[Transport and communication]])</f>
        <v>141.4</v>
      </c>
      <c r="D167" s="38">
        <f>SUM(Table15[[#This Row],[Housing]],Table15[[#This Row],[Household goods and services]])/2</f>
        <v>153.19999999999999</v>
      </c>
      <c r="E167" s="38">
        <f>SUM(Table15[[#This Row],[Health]])</f>
        <v>158.19999999999999</v>
      </c>
      <c r="F167" s="38">
        <f>SUM(Table15[[#This Row],[Recreation and amusement]],Table15[[#This Row],[Education]])/2</f>
        <v>157.5</v>
      </c>
      <c r="G167" s="63">
        <f>SUM(Table15[[#This Row],[Miscellaneous]],Table15[[#This Row],[Personal care and effects]])/2</f>
        <v>151.44999999999999</v>
      </c>
      <c r="H167" s="64">
        <f t="shared" si="14"/>
        <v>-2.2055137844611541</v>
      </c>
      <c r="I167" s="64">
        <f t="shared" si="15"/>
        <v>5.6892778993435531</v>
      </c>
      <c r="J167" s="64">
        <f t="shared" si="16"/>
        <v>9.3580819798917183</v>
      </c>
      <c r="K167" s="64">
        <f t="shared" si="17"/>
        <v>3.8292104371399369</v>
      </c>
      <c r="L167" s="64">
        <f t="shared" si="18"/>
        <v>6.8197164078325416</v>
      </c>
      <c r="M167" s="64">
        <f t="shared" si="19"/>
        <v>6.0606060606060606</v>
      </c>
      <c r="N167" s="64">
        <f t="shared" si="20"/>
        <v>2.9571719918422801</v>
      </c>
    </row>
    <row r="168" spans="1:14" x14ac:dyDescent="0.3">
      <c r="A168" s="37">
        <f>SUM(Table15[[#This Row],[Cereals and products]:[Food and beverages]])/13</f>
        <v>151.2923076923077</v>
      </c>
      <c r="B168" s="37">
        <f>SUM(Table15[[#This Row],[Fuel and light]])</f>
        <v>141.9</v>
      </c>
      <c r="C168" s="37">
        <f>SUM(Table15[[#This Row],[Transport and communication]])</f>
        <v>135</v>
      </c>
      <c r="D168" s="37">
        <f>SUM(Table15[[#This Row],[Housing]],Table15[[#This Row],[Household goods and services]])/2</f>
        <v>150.55000000000001</v>
      </c>
      <c r="E168" s="37">
        <f>SUM(Table15[[#This Row],[Health]])</f>
        <v>154.4</v>
      </c>
      <c r="F168" s="37">
        <f>SUM(Table15[[#This Row],[Recreation and amusement]],Table15[[#This Row],[Education]])/2</f>
        <v>152.35000000000002</v>
      </c>
      <c r="G168" s="62">
        <f>SUM(Table15[[#This Row],[Miscellaneous]],Table15[[#This Row],[Personal care and effects]])/2</f>
        <v>149.30000000000001</v>
      </c>
      <c r="H168" s="64">
        <f t="shared" si="14"/>
        <v>0.80984110712456536</v>
      </c>
      <c r="I168" s="64">
        <f t="shared" si="15"/>
        <v>-2.0703933747412009</v>
      </c>
      <c r="J168" s="64">
        <f t="shared" si="16"/>
        <v>-4.5261669024045297</v>
      </c>
      <c r="K168" s="64">
        <f t="shared" si="17"/>
        <v>-1.7297650130548157</v>
      </c>
      <c r="L168" s="64">
        <f t="shared" si="18"/>
        <v>-2.4020227560050462</v>
      </c>
      <c r="M168" s="64">
        <f t="shared" si="19"/>
        <v>-3.2698412698412551</v>
      </c>
      <c r="N168" s="64">
        <f t="shared" si="20"/>
        <v>-1.4196104324859542</v>
      </c>
    </row>
    <row r="169" spans="1:14" x14ac:dyDescent="0.3">
      <c r="A169" s="38">
        <f>SUM(Table15[[#This Row],[Cereals and products]:[Food and beverages]])/13</f>
        <v>153.46153846153845</v>
      </c>
      <c r="B169" s="38">
        <f>SUM(Table15[[#This Row],[Fuel and light]])</f>
        <v>137.1</v>
      </c>
      <c r="C169" s="38">
        <f>SUM(Table15[[#This Row],[Transport and communication]])</f>
        <v>129.30000000000001</v>
      </c>
      <c r="D169" s="38">
        <f>SUM(Table15[[#This Row],[Housing]],Table15[[#This Row],[Household goods and services]])/2</f>
        <v>147.55000000000001</v>
      </c>
      <c r="E169" s="38">
        <f>SUM(Table15[[#This Row],[Health]])</f>
        <v>148.1</v>
      </c>
      <c r="F169" s="38">
        <f>SUM(Table15[[#This Row],[Recreation and amusement]],Table15[[#This Row],[Education]])/2</f>
        <v>148.5</v>
      </c>
      <c r="G169" s="63">
        <f>SUM(Table15[[#This Row],[Miscellaneous]],Table15[[#This Row],[Personal care and effects]])/2</f>
        <v>147.1</v>
      </c>
      <c r="H169" s="64">
        <f t="shared" si="14"/>
        <v>1.4338010982306162</v>
      </c>
      <c r="I169" s="64">
        <f t="shared" si="15"/>
        <v>-3.3826638477801345</v>
      </c>
      <c r="J169" s="64">
        <f t="shared" si="16"/>
        <v>-4.2222222222222143</v>
      </c>
      <c r="K169" s="64">
        <f t="shared" si="17"/>
        <v>-1.9926934573231483</v>
      </c>
      <c r="L169" s="64">
        <f t="shared" si="18"/>
        <v>-4.0803108808290229</v>
      </c>
      <c r="M169" s="64">
        <f t="shared" si="19"/>
        <v>-2.5270758122743828</v>
      </c>
      <c r="N169" s="64">
        <f t="shared" si="20"/>
        <v>-1.473543201607513</v>
      </c>
    </row>
    <row r="170" spans="1:14" x14ac:dyDescent="0.3">
      <c r="A170" s="37">
        <f>SUM(Table15[[#This Row],[Cereals and products]:[Food and beverages]])/13</f>
        <v>134.40769230769232</v>
      </c>
      <c r="B170" s="37">
        <f>SUM(Table15[[#This Row],[Fuel and light]])</f>
        <v>126.5</v>
      </c>
      <c r="C170" s="37">
        <f>SUM(Table15[[#This Row],[Transport and communication]])</f>
        <v>120.4</v>
      </c>
      <c r="D170" s="37">
        <f>SUM(Table15[[#This Row],[Housing]],Table15[[#This Row],[Household goods and services]])/2</f>
        <v>137.80000000000001</v>
      </c>
      <c r="E170" s="37">
        <f>SUM(Table15[[#This Row],[Health]])</f>
        <v>132.6</v>
      </c>
      <c r="F170" s="37">
        <f>SUM(Table15[[#This Row],[Recreation and amusement]],Table15[[#This Row],[Education]])/2</f>
        <v>134.85</v>
      </c>
      <c r="G170" s="62">
        <f>SUM(Table15[[#This Row],[Miscellaneous]],Table15[[#This Row],[Personal care and effects]])/2</f>
        <v>128.85</v>
      </c>
      <c r="H170" s="64">
        <f t="shared" si="14"/>
        <v>-12.416040100250617</v>
      </c>
      <c r="I170" s="64">
        <f t="shared" si="15"/>
        <v>-7.7315827862873778</v>
      </c>
      <c r="J170" s="64">
        <f t="shared" si="16"/>
        <v>-6.8832173240525947</v>
      </c>
      <c r="K170" s="64">
        <f t="shared" si="17"/>
        <v>-6.607929515418502</v>
      </c>
      <c r="L170" s="64">
        <f t="shared" si="18"/>
        <v>-10.465901417960838</v>
      </c>
      <c r="M170" s="64">
        <f t="shared" si="19"/>
        <v>-9.1919191919191956</v>
      </c>
      <c r="N170" s="64">
        <f t="shared" si="20"/>
        <v>-12.406526172671652</v>
      </c>
    </row>
    <row r="171" spans="1:14" x14ac:dyDescent="0.3">
      <c r="A171" s="38">
        <f>SUM(Table15[[#This Row],[Cereals and products]:[Food and beverages]])/13</f>
        <v>136.46923076923079</v>
      </c>
      <c r="B171" s="38">
        <f>SUM(Table15[[#This Row],[Fuel and light]])</f>
        <v>138.1</v>
      </c>
      <c r="C171" s="38">
        <f>SUM(Table15[[#This Row],[Transport and communication]])</f>
        <v>123.7</v>
      </c>
      <c r="D171" s="38">
        <f>SUM(Table15[[#This Row],[Housing]],Table15[[#This Row],[Household goods and services]])/2</f>
        <v>140.19999999999999</v>
      </c>
      <c r="E171" s="38">
        <f>SUM(Table15[[#This Row],[Health]])</f>
        <v>136.19999999999999</v>
      </c>
      <c r="F171" s="38">
        <f>SUM(Table15[[#This Row],[Recreation and amusement]],Table15[[#This Row],[Education]])/2</f>
        <v>137.69999999999999</v>
      </c>
      <c r="G171" s="63">
        <f>SUM(Table15[[#This Row],[Miscellaneous]],Table15[[#This Row],[Personal care and effects]])/2</f>
        <v>131.35</v>
      </c>
      <c r="H171" s="64">
        <f t="shared" si="14"/>
        <v>1.5337949979969199</v>
      </c>
      <c r="I171" s="64">
        <f t="shared" si="15"/>
        <v>9.1699604743082954</v>
      </c>
      <c r="J171" s="64">
        <f t="shared" si="16"/>
        <v>2.7408637873754129</v>
      </c>
      <c r="K171" s="64">
        <f t="shared" si="17"/>
        <v>1.7416545718432344</v>
      </c>
      <c r="L171" s="64">
        <f t="shared" si="18"/>
        <v>2.7149321266968283</v>
      </c>
      <c r="M171" s="64">
        <f t="shared" si="19"/>
        <v>2.1134593993325876</v>
      </c>
      <c r="N171" s="64">
        <f t="shared" si="20"/>
        <v>1.9402405898331394</v>
      </c>
    </row>
    <row r="172" spans="1:14" x14ac:dyDescent="0.3">
      <c r="A172" s="37">
        <f>SUM(Table15[[#This Row],[Cereals and products]:[Food and beverages]])/13</f>
        <v>137.71538461538461</v>
      </c>
      <c r="B172" s="37">
        <f>SUM(Table15[[#This Row],[Fuel and light]])</f>
        <v>145.1</v>
      </c>
      <c r="C172" s="37">
        <f>SUM(Table15[[#This Row],[Transport and communication]])</f>
        <v>127.4</v>
      </c>
      <c r="D172" s="37">
        <f>SUM(Table15[[#This Row],[Housing]],Table15[[#This Row],[Household goods and services]])/2</f>
        <v>142.35</v>
      </c>
      <c r="E172" s="37">
        <f>SUM(Table15[[#This Row],[Health]])</f>
        <v>138.4</v>
      </c>
      <c r="F172" s="37">
        <f>SUM(Table15[[#This Row],[Recreation and amusement]],Table15[[#This Row],[Education]])/2</f>
        <v>141.44999999999999</v>
      </c>
      <c r="G172" s="62">
        <f>SUM(Table15[[#This Row],[Miscellaneous]],Table15[[#This Row],[Personal care and effects]])/2</f>
        <v>133.5</v>
      </c>
      <c r="H172" s="64">
        <f t="shared" si="14"/>
        <v>0.91313905642295345</v>
      </c>
      <c r="I172" s="64">
        <f t="shared" si="15"/>
        <v>5.068790731354091</v>
      </c>
      <c r="J172" s="64">
        <f t="shared" si="16"/>
        <v>2.9911075181891693</v>
      </c>
      <c r="K172" s="64">
        <f t="shared" si="17"/>
        <v>1.5335235378031424</v>
      </c>
      <c r="L172" s="64">
        <f t="shared" si="18"/>
        <v>1.6152716593245353</v>
      </c>
      <c r="M172" s="64">
        <f t="shared" si="19"/>
        <v>2.7233115468409586</v>
      </c>
      <c r="N172" s="64">
        <f t="shared" si="20"/>
        <v>1.6368481157213597</v>
      </c>
    </row>
    <row r="173" spans="1:14" x14ac:dyDescent="0.3">
      <c r="A173" s="38">
        <f>SUM(Table15[[#This Row],[Cereals and products]:[Food and beverages]])/13</f>
        <v>133.15384615384616</v>
      </c>
      <c r="B173" s="38">
        <f>SUM(Table15[[#This Row],[Fuel and light]])</f>
        <v>119</v>
      </c>
      <c r="C173" s="38">
        <f>SUM(Table15[[#This Row],[Transport and communication]])</f>
        <v>113.9</v>
      </c>
      <c r="D173" s="38">
        <f>SUM(Table15[[#This Row],[Housing]],Table15[[#This Row],[Household goods and services]])/2</f>
        <v>129.1</v>
      </c>
      <c r="E173" s="38">
        <f>SUM(Table15[[#This Row],[Health]])</f>
        <v>123.8</v>
      </c>
      <c r="F173" s="38">
        <f>SUM(Table15[[#This Row],[Recreation and amusement]],Table15[[#This Row],[Education]])/2</f>
        <v>128.60000000000002</v>
      </c>
      <c r="G173" s="63">
        <f>SUM(Table15[[#This Row],[Miscellaneous]],Table15[[#This Row],[Personal care and effects]])/2</f>
        <v>122.6</v>
      </c>
      <c r="H173" s="64">
        <f t="shared" si="14"/>
        <v>-3.312294028933688</v>
      </c>
      <c r="I173" s="64">
        <f t="shared" si="15"/>
        <v>-17.987594762232938</v>
      </c>
      <c r="J173" s="64">
        <f t="shared" si="16"/>
        <v>-10.596546310832025</v>
      </c>
      <c r="K173" s="64">
        <f t="shared" si="17"/>
        <v>-9.308043554618898</v>
      </c>
      <c r="L173" s="64">
        <f t="shared" si="18"/>
        <v>-10.549132947976885</v>
      </c>
      <c r="M173" s="64">
        <f t="shared" si="19"/>
        <v>-9.0844821491692951</v>
      </c>
      <c r="N173" s="64">
        <f t="shared" si="20"/>
        <v>-8.1647940074906398</v>
      </c>
    </row>
    <row r="174" spans="1:14" x14ac:dyDescent="0.3">
      <c r="A174" s="37">
        <f>SUM(Table15[[#This Row],[Cereals and products]:[Food and beverages]])/13</f>
        <v>133.43846153846155</v>
      </c>
      <c r="B174" s="37">
        <f>SUM(Table15[[#This Row],[Fuel and light]])</f>
        <v>128.80000000000001</v>
      </c>
      <c r="C174" s="37">
        <f>SUM(Table15[[#This Row],[Transport and communication]])</f>
        <v>116.5</v>
      </c>
      <c r="D174" s="37">
        <f>SUM(Table15[[#This Row],[Housing]],Table15[[#This Row],[Household goods and services]])/2</f>
        <v>131.30000000000001</v>
      </c>
      <c r="E174" s="37">
        <f>SUM(Table15[[#This Row],[Health]])</f>
        <v>128.5</v>
      </c>
      <c r="F174" s="37">
        <f>SUM(Table15[[#This Row],[Recreation and amusement]],Table15[[#This Row],[Education]])/2</f>
        <v>130.65</v>
      </c>
      <c r="G174" s="62">
        <f>SUM(Table15[[#This Row],[Miscellaneous]],Table15[[#This Row],[Personal care and effects]])/2</f>
        <v>124.45</v>
      </c>
      <c r="H174" s="64">
        <f t="shared" si="14"/>
        <v>0.21374927787406714</v>
      </c>
      <c r="I174" s="64">
        <f t="shared" si="15"/>
        <v>8.2352941176470686</v>
      </c>
      <c r="J174" s="64">
        <f t="shared" si="16"/>
        <v>2.282704126426685</v>
      </c>
      <c r="K174" s="64">
        <f t="shared" si="17"/>
        <v>1.7041053446940488</v>
      </c>
      <c r="L174" s="64">
        <f t="shared" si="18"/>
        <v>3.7964458804523447</v>
      </c>
      <c r="M174" s="64">
        <f t="shared" si="19"/>
        <v>1.5940902021772805</v>
      </c>
      <c r="N174" s="64">
        <f t="shared" si="20"/>
        <v>1.5089722675367119</v>
      </c>
    </row>
    <row r="175" spans="1:14" x14ac:dyDescent="0.3">
      <c r="A175" s="38">
        <f>SUM(Table15[[#This Row],[Cereals and products]:[Food and beverages]])/13</f>
        <v>133.75384615384615</v>
      </c>
      <c r="B175" s="38">
        <f>SUM(Table15[[#This Row],[Fuel and light]])</f>
        <v>134.80000000000001</v>
      </c>
      <c r="C175" s="38">
        <f>SUM(Table15[[#This Row],[Transport and communication]])</f>
        <v>119.4</v>
      </c>
      <c r="D175" s="38">
        <f>SUM(Table15[[#This Row],[Housing]],Table15[[#This Row],[Household goods and services]])/2</f>
        <v>133.30000000000001</v>
      </c>
      <c r="E175" s="38">
        <f>SUM(Table15[[#This Row],[Health]])</f>
        <v>131.30000000000001</v>
      </c>
      <c r="F175" s="38">
        <f>SUM(Table15[[#This Row],[Recreation and amusement]],Table15[[#This Row],[Education]])/2</f>
        <v>133.35000000000002</v>
      </c>
      <c r="G175" s="63">
        <f>SUM(Table15[[#This Row],[Miscellaneous]],Table15[[#This Row],[Personal care and effects]])/2</f>
        <v>126.1</v>
      </c>
      <c r="H175" s="64">
        <f t="shared" si="14"/>
        <v>0.23635210699255335</v>
      </c>
      <c r="I175" s="64">
        <f t="shared" si="15"/>
        <v>4.658385093167702</v>
      </c>
      <c r="J175" s="64">
        <f t="shared" si="16"/>
        <v>2.4892703862660994</v>
      </c>
      <c r="K175" s="64">
        <f t="shared" si="17"/>
        <v>1.5232292460015231</v>
      </c>
      <c r="L175" s="64">
        <f t="shared" si="18"/>
        <v>2.1789883268482582</v>
      </c>
      <c r="M175" s="64">
        <f t="shared" si="19"/>
        <v>2.066590126291632</v>
      </c>
      <c r="N175" s="64">
        <f t="shared" si="20"/>
        <v>1.3258336681398082</v>
      </c>
    </row>
    <row r="176" spans="1:14" x14ac:dyDescent="0.3">
      <c r="A176" s="37">
        <f>SUM(Table15[[#This Row],[Cereals and products]:[Food and beverages]])/13</f>
        <v>137.46153846153848</v>
      </c>
      <c r="B176" s="37">
        <f>SUM(Table15[[#This Row],[Fuel and light]])</f>
        <v>115.5</v>
      </c>
      <c r="C176" s="37">
        <f>SUM(Table15[[#This Row],[Transport and communication]])</f>
        <v>112.3</v>
      </c>
      <c r="D176" s="37">
        <f>SUM(Table15[[#This Row],[Housing]],Table15[[#This Row],[Household goods and services]])/2</f>
        <v>124.35</v>
      </c>
      <c r="E176" s="37">
        <f>SUM(Table15[[#This Row],[Health]])</f>
        <v>120.6</v>
      </c>
      <c r="F176" s="37">
        <f>SUM(Table15[[#This Row],[Recreation and amusement]],Table15[[#This Row],[Education]])/2</f>
        <v>124.60000000000001</v>
      </c>
      <c r="G176" s="62">
        <f>SUM(Table15[[#This Row],[Miscellaneous]],Table15[[#This Row],[Personal care and effects]])/2</f>
        <v>119.19999999999999</v>
      </c>
      <c r="H176" s="64">
        <f t="shared" si="14"/>
        <v>2.7720266850701774</v>
      </c>
      <c r="I176" s="64">
        <f t="shared" si="15"/>
        <v>-14.317507418397632</v>
      </c>
      <c r="J176" s="64">
        <f t="shared" si="16"/>
        <v>-5.9463986599665057</v>
      </c>
      <c r="K176" s="64">
        <f t="shared" si="17"/>
        <v>-6.7141785446361704</v>
      </c>
      <c r="L176" s="64">
        <f t="shared" si="18"/>
        <v>-8.1492764661081623</v>
      </c>
      <c r="M176" s="64">
        <f t="shared" si="19"/>
        <v>-6.5616797900262567</v>
      </c>
      <c r="N176" s="64">
        <f t="shared" si="20"/>
        <v>-5.4718477398889815</v>
      </c>
    </row>
    <row r="177" spans="1:14" x14ac:dyDescent="0.3">
      <c r="A177" s="38">
        <f>SUM(Table15[[#This Row],[Cereals and products]:[Food and beverages]])/13</f>
        <v>135.43076923076922</v>
      </c>
      <c r="B177" s="38">
        <f>SUM(Table15[[#This Row],[Fuel and light]])</f>
        <v>123.3</v>
      </c>
      <c r="C177" s="38">
        <f>SUM(Table15[[#This Row],[Transport and communication]])</f>
        <v>114.2</v>
      </c>
      <c r="D177" s="38">
        <f>SUM(Table15[[#This Row],[Housing]],Table15[[#This Row],[Household goods and services]])/2</f>
        <v>125.95</v>
      </c>
      <c r="E177" s="38">
        <f>SUM(Table15[[#This Row],[Health]])</f>
        <v>124.1</v>
      </c>
      <c r="F177" s="38">
        <f>SUM(Table15[[#This Row],[Recreation and amusement]],Table15[[#This Row],[Education]])/2</f>
        <v>125.69999999999999</v>
      </c>
      <c r="G177" s="63">
        <f>SUM(Table15[[#This Row],[Miscellaneous]],Table15[[#This Row],[Personal care and effects]])/2</f>
        <v>120.45</v>
      </c>
      <c r="H177" s="64">
        <f t="shared" si="14"/>
        <v>-1.4773363178511727</v>
      </c>
      <c r="I177" s="64">
        <f t="shared" si="15"/>
        <v>6.7532467532467511</v>
      </c>
      <c r="J177" s="64">
        <f t="shared" si="16"/>
        <v>1.6918967052537899</v>
      </c>
      <c r="K177" s="64">
        <f t="shared" si="17"/>
        <v>1.2866907921190258</v>
      </c>
      <c r="L177" s="64">
        <f t="shared" si="18"/>
        <v>2.902155887230514</v>
      </c>
      <c r="M177" s="64">
        <f t="shared" si="19"/>
        <v>0.8828250401283948</v>
      </c>
      <c r="N177" s="64">
        <f t="shared" si="20"/>
        <v>1.0486577181208174</v>
      </c>
    </row>
    <row r="178" spans="1:14" x14ac:dyDescent="0.3">
      <c r="A178" s="37">
        <f>SUM(Table15[[#This Row],[Cereals and products]:[Food and beverages]])/13</f>
        <v>134.50769230769231</v>
      </c>
      <c r="B178" s="37">
        <f>SUM(Table15[[#This Row],[Fuel and light]])</f>
        <v>128</v>
      </c>
      <c r="C178" s="37">
        <f>SUM(Table15[[#This Row],[Transport and communication]])</f>
        <v>116.3</v>
      </c>
      <c r="D178" s="37">
        <f>SUM(Table15[[#This Row],[Housing]],Table15[[#This Row],[Household goods and services]])/2</f>
        <v>127.4</v>
      </c>
      <c r="E178" s="37">
        <f>SUM(Table15[[#This Row],[Health]])</f>
        <v>126.2</v>
      </c>
      <c r="F178" s="37">
        <f>SUM(Table15[[#This Row],[Recreation and amusement]],Table15[[#This Row],[Education]])/2</f>
        <v>127.14999999999999</v>
      </c>
      <c r="G178" s="62">
        <f>SUM(Table15[[#This Row],[Miscellaneous]],Table15[[#This Row],[Personal care and effects]])/2</f>
        <v>121.6</v>
      </c>
      <c r="H178" s="64">
        <f t="shared" si="14"/>
        <v>-0.68158582301486836</v>
      </c>
      <c r="I178" s="64">
        <f t="shared" si="15"/>
        <v>3.8118410381184122</v>
      </c>
      <c r="J178" s="64">
        <f t="shared" si="16"/>
        <v>1.838879159369522</v>
      </c>
      <c r="K178" s="64">
        <f t="shared" si="17"/>
        <v>1.1512504962286645</v>
      </c>
      <c r="L178" s="64">
        <f t="shared" si="18"/>
        <v>1.6921837228041974</v>
      </c>
      <c r="M178" s="64">
        <f t="shared" si="19"/>
        <v>1.153540175019891</v>
      </c>
      <c r="N178" s="64">
        <f t="shared" si="20"/>
        <v>0.95475300954752307</v>
      </c>
    </row>
    <row r="179" spans="1:14" x14ac:dyDescent="0.3">
      <c r="A179" s="38">
        <f>SUM(Table15[[#This Row],[Cereals and products]:[Food and beverages]])/13</f>
        <v>125.89230769230768</v>
      </c>
      <c r="B179" s="38">
        <f>SUM(Table15[[#This Row],[Fuel and light]])</f>
        <v>115.1</v>
      </c>
      <c r="C179" s="38">
        <f>SUM(Table15[[#This Row],[Transport and communication]])</f>
        <v>111.7</v>
      </c>
      <c r="D179" s="38">
        <f>SUM(Table15[[#This Row],[Housing]],Table15[[#This Row],[Household goods and services]])/2</f>
        <v>119.1</v>
      </c>
      <c r="E179" s="38">
        <f>SUM(Table15[[#This Row],[Health]])</f>
        <v>115.4</v>
      </c>
      <c r="F179" s="38">
        <f>SUM(Table15[[#This Row],[Recreation and amusement]],Table15[[#This Row],[Education]])/2</f>
        <v>120</v>
      </c>
      <c r="G179" s="63">
        <f>SUM(Table15[[#This Row],[Miscellaneous]],Table15[[#This Row],[Personal care and effects]])/2</f>
        <v>114.25</v>
      </c>
      <c r="H179" s="64">
        <f t="shared" si="14"/>
        <v>-6.4051240992794325</v>
      </c>
      <c r="I179" s="64">
        <f t="shared" si="15"/>
        <v>-10.078125000000004</v>
      </c>
      <c r="J179" s="64">
        <f t="shared" si="16"/>
        <v>-3.9552880481513277</v>
      </c>
      <c r="K179" s="64">
        <f t="shared" si="17"/>
        <v>-6.5149136577708084</v>
      </c>
      <c r="L179" s="64">
        <f t="shared" si="18"/>
        <v>-8.5578446909667178</v>
      </c>
      <c r="M179" s="64">
        <f t="shared" si="19"/>
        <v>-5.6232795910342057</v>
      </c>
      <c r="N179" s="64">
        <f t="shared" si="20"/>
        <v>-6.044407894736838</v>
      </c>
    </row>
    <row r="180" spans="1:14" x14ac:dyDescent="0.3">
      <c r="A180" s="37">
        <f>SUM(Table15[[#This Row],[Cereals and products]:[Food and beverages]])/13</f>
        <v>124.88461538461539</v>
      </c>
      <c r="B180" s="37">
        <f>SUM(Table15[[#This Row],[Fuel and light]])</f>
        <v>119.8</v>
      </c>
      <c r="C180" s="37">
        <f>SUM(Table15[[#This Row],[Transport and communication]])</f>
        <v>112.9</v>
      </c>
      <c r="D180" s="37">
        <f>SUM(Table15[[#This Row],[Housing]],Table15[[#This Row],[Household goods and services]])/2</f>
        <v>120.05</v>
      </c>
      <c r="E180" s="37">
        <f>SUM(Table15[[#This Row],[Health]])</f>
        <v>118.5</v>
      </c>
      <c r="F180" s="37">
        <f>SUM(Table15[[#This Row],[Recreation and amusement]],Table15[[#This Row],[Education]])/2</f>
        <v>120</v>
      </c>
      <c r="G180" s="62">
        <f>SUM(Table15[[#This Row],[Miscellaneous]],Table15[[#This Row],[Personal care and effects]])/2</f>
        <v>114.9</v>
      </c>
      <c r="H180" s="64">
        <f t="shared" si="14"/>
        <v>-0.80043993645361344</v>
      </c>
      <c r="I180" s="64">
        <f t="shared" si="15"/>
        <v>4.0834057341442254</v>
      </c>
      <c r="J180" s="64">
        <f t="shared" si="16"/>
        <v>1.0743061772605218</v>
      </c>
      <c r="K180" s="64">
        <f t="shared" si="17"/>
        <v>0.79764903442485546</v>
      </c>
      <c r="L180" s="64">
        <f t="shared" si="18"/>
        <v>2.686308492201035</v>
      </c>
      <c r="M180" s="64">
        <f t="shared" si="19"/>
        <v>0</v>
      </c>
      <c r="N180" s="64">
        <f t="shared" si="20"/>
        <v>0.56892778993435944</v>
      </c>
    </row>
    <row r="181" spans="1:14" x14ac:dyDescent="0.3">
      <c r="A181" s="38">
        <f>SUM(Table15[[#This Row],[Cereals and products]:[Food and beverages]])/13</f>
        <v>124.45384615384614</v>
      </c>
      <c r="B181" s="38">
        <f>SUM(Table15[[#This Row],[Fuel and light]])</f>
        <v>122.6</v>
      </c>
      <c r="C181" s="38">
        <f>SUM(Table15[[#This Row],[Transport and communication]])</f>
        <v>114.2</v>
      </c>
      <c r="D181" s="38">
        <f>SUM(Table15[[#This Row],[Housing]],Table15[[#This Row],[Household goods and services]])/2</f>
        <v>120.9</v>
      </c>
      <c r="E181" s="38">
        <f>SUM(Table15[[#This Row],[Health]])</f>
        <v>120.4</v>
      </c>
      <c r="F181" s="38">
        <f>SUM(Table15[[#This Row],[Recreation and amusement]],Table15[[#This Row],[Education]])/2</f>
        <v>119.95</v>
      </c>
      <c r="G181" s="63">
        <f>SUM(Table15[[#This Row],[Miscellaneous]],Table15[[#This Row],[Personal care and effects]])/2</f>
        <v>115.45</v>
      </c>
      <c r="H181" s="64">
        <f t="shared" si="14"/>
        <v>-0.34493378503234767</v>
      </c>
      <c r="I181" s="64">
        <f t="shared" si="15"/>
        <v>2.3372287145242048</v>
      </c>
      <c r="J181" s="64">
        <f t="shared" si="16"/>
        <v>1.1514614703277211</v>
      </c>
      <c r="K181" s="64">
        <f t="shared" si="17"/>
        <v>0.70803831736777056</v>
      </c>
      <c r="L181" s="64">
        <f t="shared" si="18"/>
        <v>1.6033755274261652</v>
      </c>
      <c r="M181" s="64">
        <f t="shared" si="19"/>
        <v>-4.1666666666664298E-2</v>
      </c>
      <c r="N181" s="64">
        <f t="shared" si="20"/>
        <v>0.4786771105308939</v>
      </c>
    </row>
    <row r="182" spans="1:14" x14ac:dyDescent="0.3">
      <c r="A182" s="37">
        <f>SUM(Table15[[#This Row],[Cereals and products]:[Food and beverages]])/13</f>
        <v>117.36153846153844</v>
      </c>
      <c r="B182" s="37">
        <f>SUM(Table15[[#This Row],[Fuel and light]])</f>
        <v>114.4</v>
      </c>
      <c r="C182" s="37">
        <f>SUM(Table15[[#This Row],[Transport and communication]])</f>
        <v>112.2</v>
      </c>
      <c r="D182" s="37">
        <f>SUM(Table15[[#This Row],[Housing]],Table15[[#This Row],[Household goods and services]])/2</f>
        <v>114.4</v>
      </c>
      <c r="E182" s="37">
        <f>SUM(Table15[[#This Row],[Health]])</f>
        <v>112.8</v>
      </c>
      <c r="F182" s="37">
        <f>SUM(Table15[[#This Row],[Recreation and amusement]],Table15[[#This Row],[Education]])/2</f>
        <v>112.85</v>
      </c>
      <c r="G182" s="62">
        <f>SUM(Table15[[#This Row],[Miscellaneous]],Table15[[#This Row],[Personal care and effects]])/2</f>
        <v>110.15</v>
      </c>
      <c r="H182" s="64">
        <f t="shared" si="14"/>
        <v>-5.6987452871005688</v>
      </c>
      <c r="I182" s="64">
        <f t="shared" si="15"/>
        <v>-6.6884176182707904</v>
      </c>
      <c r="J182" s="64">
        <f t="shared" si="16"/>
        <v>-1.7513134851138354</v>
      </c>
      <c r="K182" s="64">
        <f t="shared" si="17"/>
        <v>-5.376344086021505</v>
      </c>
      <c r="L182" s="64">
        <f t="shared" si="18"/>
        <v>-6.312292358803993</v>
      </c>
      <c r="M182" s="64">
        <f t="shared" si="19"/>
        <v>-5.9191329720717034</v>
      </c>
      <c r="N182" s="64">
        <f t="shared" si="20"/>
        <v>-4.5907319185794684</v>
      </c>
    </row>
    <row r="183" spans="1:14" x14ac:dyDescent="0.3">
      <c r="A183" s="38">
        <f>SUM(Table15[[#This Row],[Cereals and products]:[Food and beverages]])/13</f>
        <v>117.9769230769231</v>
      </c>
      <c r="B183" s="38">
        <f>SUM(Table15[[#This Row],[Fuel and light]])</f>
        <v>113.2</v>
      </c>
      <c r="C183" s="38">
        <f>SUM(Table15[[#This Row],[Transport and communication]])</f>
        <v>111.8</v>
      </c>
      <c r="D183" s="38">
        <f>SUM(Table15[[#This Row],[Housing]],Table15[[#This Row],[Household goods and services]])/2</f>
        <v>114.25</v>
      </c>
      <c r="E183" s="38">
        <f>SUM(Table15[[#This Row],[Health]])</f>
        <v>112.3</v>
      </c>
      <c r="F183" s="38">
        <f>SUM(Table15[[#This Row],[Recreation and amusement]],Table15[[#This Row],[Education]])/2</f>
        <v>113.19999999999999</v>
      </c>
      <c r="G183" s="63">
        <f>SUM(Table15[[#This Row],[Miscellaneous]],Table15[[#This Row],[Personal care and effects]])/2</f>
        <v>110.3</v>
      </c>
      <c r="H183" s="64">
        <f t="shared" si="14"/>
        <v>0.52434947892773986</v>
      </c>
      <c r="I183" s="64">
        <f t="shared" si="15"/>
        <v>-1.0489510489510514</v>
      </c>
      <c r="J183" s="64">
        <f t="shared" si="16"/>
        <v>-0.35650623885918509</v>
      </c>
      <c r="K183" s="64">
        <f t="shared" si="17"/>
        <v>-0.13111888111888609</v>
      </c>
      <c r="L183" s="64">
        <f t="shared" si="18"/>
        <v>-0.44326241134751776</v>
      </c>
      <c r="M183" s="64">
        <f t="shared" si="19"/>
        <v>0.31014621178555102</v>
      </c>
      <c r="N183" s="64">
        <f t="shared" si="20"/>
        <v>0.1361779391738461</v>
      </c>
    </row>
    <row r="184" spans="1:14" x14ac:dyDescent="0.3">
      <c r="A184" s="37">
        <f>SUM(Table15[[#This Row],[Cereals and products]:[Food and beverages]])/13</f>
        <v>119</v>
      </c>
      <c r="B184" s="37">
        <f>SUM(Table15[[#This Row],[Fuel and light]])</f>
        <v>111.2</v>
      </c>
      <c r="C184" s="37">
        <f>SUM(Table15[[#This Row],[Transport and communication]])</f>
        <v>111.5</v>
      </c>
      <c r="D184" s="37">
        <f>SUM(Table15[[#This Row],[Housing]],Table15[[#This Row],[Household goods and services]])/2</f>
        <v>114.1</v>
      </c>
      <c r="E184" s="37">
        <f>SUM(Table15[[#This Row],[Health]])</f>
        <v>111.4</v>
      </c>
      <c r="F184" s="37">
        <f>SUM(Table15[[#This Row],[Recreation and amusement]],Table15[[#This Row],[Education]])/2</f>
        <v>113.44999999999999</v>
      </c>
      <c r="G184" s="62">
        <f>SUM(Table15[[#This Row],[Miscellaneous]],Table15[[#This Row],[Personal care and effects]])/2</f>
        <v>110.45</v>
      </c>
      <c r="H184" s="64">
        <f t="shared" si="14"/>
        <v>0.86718393427656615</v>
      </c>
      <c r="I184" s="64">
        <f t="shared" si="15"/>
        <v>-1.7667844522968199</v>
      </c>
      <c r="J184" s="64">
        <f t="shared" si="16"/>
        <v>-0.26833631484794024</v>
      </c>
      <c r="K184" s="64">
        <f t="shared" si="17"/>
        <v>-0.13129102844639445</v>
      </c>
      <c r="L184" s="64">
        <f t="shared" si="18"/>
        <v>-0.80142475512020617</v>
      </c>
      <c r="M184" s="64">
        <f t="shared" si="19"/>
        <v>0.22084805653710249</v>
      </c>
      <c r="N184" s="64">
        <f t="shared" si="20"/>
        <v>0.13599274705349565</v>
      </c>
    </row>
    <row r="185" spans="1:14" x14ac:dyDescent="0.3">
      <c r="A185" s="38">
        <f>SUM(Table15[[#This Row],[Cereals and products]:[Food and beverages]])/13</f>
        <v>109.23076923076923</v>
      </c>
      <c r="B185" s="38">
        <f>SUM(Table15[[#This Row],[Fuel and light]])</f>
        <v>108.5</v>
      </c>
      <c r="C185" s="38">
        <f>SUM(Table15[[#This Row],[Transport and communication]])</f>
        <v>105</v>
      </c>
      <c r="D185" s="38">
        <f>SUM(Table15[[#This Row],[Housing]],Table15[[#This Row],[Household goods and services]])/2</f>
        <v>107.05</v>
      </c>
      <c r="E185" s="38">
        <f>SUM(Table15[[#This Row],[Health]])</f>
        <v>106.3</v>
      </c>
      <c r="F185" s="38">
        <f>SUM(Table15[[#This Row],[Recreation and amusement]],Table15[[#This Row],[Education]])/2</f>
        <v>106.05</v>
      </c>
      <c r="G185" s="63">
        <f>SUM(Table15[[#This Row],[Miscellaneous]],Table15[[#This Row],[Personal care and effects]])/2</f>
        <v>104</v>
      </c>
      <c r="H185" s="64">
        <f t="shared" si="14"/>
        <v>-8.2094376212023317</v>
      </c>
      <c r="I185" s="64">
        <f t="shared" si="15"/>
        <v>-2.4280575539568372</v>
      </c>
      <c r="J185" s="64">
        <f t="shared" si="16"/>
        <v>-5.8295964125560538</v>
      </c>
      <c r="K185" s="64">
        <f t="shared" si="17"/>
        <v>-6.178790534618753</v>
      </c>
      <c r="L185" s="64">
        <f t="shared" si="18"/>
        <v>-4.5780969479353759</v>
      </c>
      <c r="M185" s="64">
        <f t="shared" si="19"/>
        <v>-6.5226972234464453</v>
      </c>
      <c r="N185" s="64">
        <f t="shared" si="20"/>
        <v>-5.8397464916251725</v>
      </c>
    </row>
    <row r="186" spans="1:14" x14ac:dyDescent="0.3">
      <c r="A186" s="37">
        <f>SUM(Table15[[#This Row],[Cereals and products]:[Food and beverages]])/13</f>
        <v>110.46153846153847</v>
      </c>
      <c r="B186" s="37">
        <f>SUM(Table15[[#This Row],[Fuel and light]])</f>
        <v>108.3</v>
      </c>
      <c r="C186" s="37">
        <f>SUM(Table15[[#This Row],[Transport and communication]])</f>
        <v>105.1</v>
      </c>
      <c r="D186" s="37">
        <f>SUM(Table15[[#This Row],[Housing]],Table15[[#This Row],[Household goods and services]])/2</f>
        <v>107.1</v>
      </c>
      <c r="E186" s="37">
        <f>SUM(Table15[[#This Row],[Health]])</f>
        <v>106.4</v>
      </c>
      <c r="F186" s="37">
        <f>SUM(Table15[[#This Row],[Recreation and amusement]],Table15[[#This Row],[Education]])/2</f>
        <v>106.4</v>
      </c>
      <c r="G186" s="62">
        <f>SUM(Table15[[#This Row],[Miscellaneous]],Table15[[#This Row],[Personal care and effects]])/2</f>
        <v>104.3</v>
      </c>
      <c r="H186" s="64">
        <f t="shared" si="14"/>
        <v>1.1267605633802908</v>
      </c>
      <c r="I186" s="64">
        <f t="shared" si="15"/>
        <v>-0.18433179723502566</v>
      </c>
      <c r="J186" s="64">
        <f t="shared" si="16"/>
        <v>9.5238095238089834E-2</v>
      </c>
      <c r="K186" s="64">
        <f t="shared" si="17"/>
        <v>4.6707146193364933E-2</v>
      </c>
      <c r="L186" s="64">
        <f t="shared" si="18"/>
        <v>9.407337723425073E-2</v>
      </c>
      <c r="M186" s="64">
        <f t="shared" si="19"/>
        <v>0.33003300330033808</v>
      </c>
      <c r="N186" s="64">
        <f t="shared" si="20"/>
        <v>0.28846153846153577</v>
      </c>
    </row>
    <row r="187" spans="1:14" x14ac:dyDescent="0.3">
      <c r="A187" s="38">
        <f>SUM(Table15[[#This Row],[Cereals and products]:[Food and beverages]])/13</f>
        <v>112.66153846153847</v>
      </c>
      <c r="B187" s="38">
        <f>SUM(Table15[[#This Row],[Fuel and light]])</f>
        <v>108</v>
      </c>
      <c r="C187" s="38">
        <f>SUM(Table15[[#This Row],[Transport and communication]])</f>
        <v>105.2</v>
      </c>
      <c r="D187" s="38">
        <f>SUM(Table15[[#This Row],[Housing]],Table15[[#This Row],[Household goods and services]])/2</f>
        <v>107.15</v>
      </c>
      <c r="E187" s="38">
        <f>SUM(Table15[[#This Row],[Health]])</f>
        <v>106.5</v>
      </c>
      <c r="F187" s="38">
        <f>SUM(Table15[[#This Row],[Recreation and amusement]],Table15[[#This Row],[Education]])/2</f>
        <v>106.65</v>
      </c>
      <c r="G187" s="63">
        <f>SUM(Table15[[#This Row],[Miscellaneous]],Table15[[#This Row],[Personal care and effects]])/2</f>
        <v>104.69999999999999</v>
      </c>
      <c r="H187" s="64">
        <f t="shared" si="14"/>
        <v>1.9916434540389998</v>
      </c>
      <c r="I187" s="64">
        <f t="shared" si="15"/>
        <v>-0.27700831024930489</v>
      </c>
      <c r="J187" s="64">
        <f t="shared" si="16"/>
        <v>9.514747859182543E-2</v>
      </c>
      <c r="K187" s="64">
        <f t="shared" si="17"/>
        <v>4.6685340802998479E-2</v>
      </c>
      <c r="L187" s="64">
        <f t="shared" si="18"/>
        <v>9.3984962406009689E-2</v>
      </c>
      <c r="M187" s="64">
        <f t="shared" si="19"/>
        <v>0.23496240601503759</v>
      </c>
      <c r="N187" s="64">
        <f t="shared" si="20"/>
        <v>0.38350910834131491</v>
      </c>
    </row>
    <row r="188" spans="1:14" x14ac:dyDescent="0.3">
      <c r="A188" s="37">
        <f>SUM(Table15[[#This Row],[Cereals and products]:[Food and beverages]])/13</f>
        <v>173.26923076923077</v>
      </c>
      <c r="B188" s="37">
        <f>SUM(Table15[[#This Row],[Fuel and light]])</f>
        <v>179.6</v>
      </c>
      <c r="C188" s="37">
        <f>SUM(Table15[[#This Row],[Transport and communication]])</f>
        <v>166.3</v>
      </c>
      <c r="D188" s="37">
        <f>SUM(Table15[[#This Row],[Housing]],Table15[[#This Row],[Household goods and services]])/2</f>
        <v>169.55</v>
      </c>
      <c r="E188" s="37">
        <f>SUM(Table15[[#This Row],[Health]])</f>
        <v>178.8</v>
      </c>
      <c r="F188" s="37">
        <f>SUM(Table15[[#This Row],[Recreation and amusement]],Table15[[#This Row],[Education]])/2</f>
        <v>171.64999999999998</v>
      </c>
      <c r="G188" s="62">
        <f>SUM(Table15[[#This Row],[Miscellaneous]],Table15[[#This Row],[Personal care and effects]])/2</f>
        <v>170.75</v>
      </c>
      <c r="H188" s="64">
        <f t="shared" si="14"/>
        <v>53.796258364058438</v>
      </c>
      <c r="I188" s="64">
        <f t="shared" si="15"/>
        <v>66.296296296296291</v>
      </c>
      <c r="J188" s="64">
        <f t="shared" si="16"/>
        <v>58.079847908745251</v>
      </c>
      <c r="K188" s="64">
        <f t="shared" si="17"/>
        <v>58.236117592160532</v>
      </c>
      <c r="L188" s="64">
        <f t="shared" si="18"/>
        <v>67.887323943661983</v>
      </c>
      <c r="M188" s="64">
        <f t="shared" si="19"/>
        <v>60.94702297233939</v>
      </c>
      <c r="N188" s="64">
        <f t="shared" si="20"/>
        <v>63.085004775549201</v>
      </c>
    </row>
    <row r="189" spans="1:14" x14ac:dyDescent="0.3">
      <c r="A189" s="38">
        <f>SUM(Table15[[#This Row],[Cereals and products]:[Food and beverages]])/13</f>
        <v>174.33076923076925</v>
      </c>
      <c r="B189" s="38">
        <f>SUM(Table15[[#This Row],[Fuel and light]])</f>
        <v>179.6</v>
      </c>
      <c r="C189" s="38">
        <f>SUM(Table15[[#This Row],[Transport and communication]])</f>
        <v>161.6</v>
      </c>
      <c r="D189" s="38">
        <f>SUM(Table15[[#This Row],[Housing]],Table15[[#This Row],[Household goods and services]])/2</f>
        <v>167.60000000000002</v>
      </c>
      <c r="E189" s="38">
        <f>SUM(Table15[[#This Row],[Health]])</f>
        <v>176.1</v>
      </c>
      <c r="F189" s="38">
        <f>SUM(Table15[[#This Row],[Recreation and amusement]],Table15[[#This Row],[Education]])/2</f>
        <v>168.85000000000002</v>
      </c>
      <c r="G189" s="63">
        <f>SUM(Table15[[#This Row],[Miscellaneous]],Table15[[#This Row],[Personal care and effects]])/2</f>
        <v>169.05</v>
      </c>
      <c r="H189" s="64">
        <f t="shared" si="14"/>
        <v>0.61265260821310463</v>
      </c>
      <c r="I189" s="64">
        <f t="shared" si="15"/>
        <v>0</v>
      </c>
      <c r="J189" s="64">
        <f t="shared" si="16"/>
        <v>-2.8262176788935762</v>
      </c>
      <c r="K189" s="64">
        <f t="shared" si="17"/>
        <v>-1.1501032143910284</v>
      </c>
      <c r="L189" s="64">
        <f t="shared" si="18"/>
        <v>-1.5100671140939692</v>
      </c>
      <c r="M189" s="64">
        <f t="shared" si="19"/>
        <v>-1.6312263326536296</v>
      </c>
      <c r="N189" s="64">
        <f t="shared" si="20"/>
        <v>-0.99560761346997873</v>
      </c>
    </row>
    <row r="190" spans="1:14" x14ac:dyDescent="0.3">
      <c r="A190" s="37">
        <f>SUM(Table15[[#This Row],[Cereals and products]:[Food and beverages]])/13</f>
        <v>176.27692307692308</v>
      </c>
      <c r="B190" s="37">
        <f>SUM(Table15[[#This Row],[Fuel and light]])</f>
        <v>179.5</v>
      </c>
      <c r="C190" s="37">
        <f>SUM(Table15[[#This Row],[Transport and communication]])</f>
        <v>157.4</v>
      </c>
      <c r="D190" s="37">
        <f>SUM(Table15[[#This Row],[Housing]],Table15[[#This Row],[Household goods and services]])/2</f>
        <v>165.45</v>
      </c>
      <c r="E190" s="37">
        <f>SUM(Table15[[#This Row],[Health]])</f>
        <v>171.7</v>
      </c>
      <c r="F190" s="37">
        <f>SUM(Table15[[#This Row],[Recreation and amusement]],Table15[[#This Row],[Education]])/2</f>
        <v>166.85</v>
      </c>
      <c r="G190" s="62">
        <f>SUM(Table15[[#This Row],[Miscellaneous]],Table15[[#This Row],[Personal care and effects]])/2</f>
        <v>167.25</v>
      </c>
      <c r="H190" s="64">
        <f t="shared" si="14"/>
        <v>1.1163570577593362</v>
      </c>
      <c r="I190" s="64">
        <f t="shared" si="15"/>
        <v>-5.5679287305119327E-2</v>
      </c>
      <c r="J190" s="64">
        <f t="shared" si="16"/>
        <v>-2.599009900990092</v>
      </c>
      <c r="K190" s="64">
        <f t="shared" si="17"/>
        <v>-1.2828162291169654</v>
      </c>
      <c r="L190" s="64">
        <f t="shared" si="18"/>
        <v>-2.4985803520726892</v>
      </c>
      <c r="M190" s="64">
        <f t="shared" si="19"/>
        <v>-1.1844832691738396</v>
      </c>
      <c r="N190" s="64">
        <f t="shared" si="20"/>
        <v>-1.0647737355811957</v>
      </c>
    </row>
    <row r="191" spans="1:14" x14ac:dyDescent="0.3">
      <c r="A191" s="38">
        <f>SUM(Table15[[#This Row],[Cereals and products]:[Food and beverages]])/13</f>
        <v>145.73846153846151</v>
      </c>
      <c r="B191" s="38">
        <f>SUM(Table15[[#This Row],[Fuel and light]])</f>
        <v>153.4</v>
      </c>
      <c r="C191" s="38">
        <f>SUM(Table15[[#This Row],[Transport and communication]])</f>
        <v>135.80000000000001</v>
      </c>
      <c r="D191" s="38">
        <f>SUM(Table15[[#This Row],[Housing]],Table15[[#This Row],[Household goods and services]])/2</f>
        <v>153</v>
      </c>
      <c r="E191" s="38">
        <f>SUM(Table15[[#This Row],[Health]])</f>
        <v>156.69999999999999</v>
      </c>
      <c r="F191" s="38">
        <f>SUM(Table15[[#This Row],[Recreation and amusement]],Table15[[#This Row],[Education]])/2</f>
        <v>156.19999999999999</v>
      </c>
      <c r="G191" s="63">
        <f>SUM(Table15[[#This Row],[Miscellaneous]],Table15[[#This Row],[Personal care and effects]])/2</f>
        <v>146.85</v>
      </c>
      <c r="H191" s="64">
        <f t="shared" si="14"/>
        <v>-17.324140338628052</v>
      </c>
      <c r="I191" s="64">
        <f t="shared" si="15"/>
        <v>-14.540389972144844</v>
      </c>
      <c r="J191" s="64">
        <f t="shared" si="16"/>
        <v>-13.722998729351964</v>
      </c>
      <c r="K191" s="64">
        <f t="shared" si="17"/>
        <v>-7.5249320036264669</v>
      </c>
      <c r="L191" s="64">
        <f t="shared" si="18"/>
        <v>-8.7361677344205013</v>
      </c>
      <c r="M191" s="64">
        <f t="shared" si="19"/>
        <v>-6.3829787234042588</v>
      </c>
      <c r="N191" s="64">
        <f t="shared" si="20"/>
        <v>-12.197309417040362</v>
      </c>
    </row>
    <row r="192" spans="1:14" x14ac:dyDescent="0.3">
      <c r="A192" s="37">
        <f>SUM(Table15[[#This Row],[Cereals and products]:[Food and beverages]])/13</f>
        <v>145.80000000000001</v>
      </c>
      <c r="B192" s="37">
        <f>SUM(Table15[[#This Row],[Fuel and light]])</f>
        <v>148.9</v>
      </c>
      <c r="C192" s="37">
        <f>SUM(Table15[[#This Row],[Transport and communication]])</f>
        <v>129.9</v>
      </c>
      <c r="D192" s="37">
        <f>SUM(Table15[[#This Row],[Housing]],Table15[[#This Row],[Household goods and services]])/2</f>
        <v>150.44999999999999</v>
      </c>
      <c r="E192" s="37">
        <f>SUM(Table15[[#This Row],[Health]])</f>
        <v>152.30000000000001</v>
      </c>
      <c r="F192" s="37">
        <f>SUM(Table15[[#This Row],[Recreation and amusement]],Table15[[#This Row],[Education]])/2</f>
        <v>149.89999999999998</v>
      </c>
      <c r="G192" s="62">
        <f>SUM(Table15[[#This Row],[Miscellaneous]],Table15[[#This Row],[Personal care and effects]])/2</f>
        <v>144.5</v>
      </c>
      <c r="H192" s="64">
        <f t="shared" si="14"/>
        <v>4.2225271825216487E-2</v>
      </c>
      <c r="I192" s="64">
        <f t="shared" si="15"/>
        <v>-2.933507170795306</v>
      </c>
      <c r="J192" s="64">
        <f t="shared" si="16"/>
        <v>-4.3446244477172353</v>
      </c>
      <c r="K192" s="64">
        <f t="shared" si="17"/>
        <v>-1.6666666666666738</v>
      </c>
      <c r="L192" s="64">
        <f t="shared" si="18"/>
        <v>-2.8079132099553141</v>
      </c>
      <c r="M192" s="64">
        <f t="shared" si="19"/>
        <v>-4.0332906530089705</v>
      </c>
      <c r="N192" s="64">
        <f t="shared" si="20"/>
        <v>-1.600272386789237</v>
      </c>
    </row>
    <row r="193" spans="1:14" x14ac:dyDescent="0.3">
      <c r="A193" s="38">
        <f>SUM(Table15[[#This Row],[Cereals and products]:[Food and beverages]])/13</f>
        <v>146.03846153846155</v>
      </c>
      <c r="B193" s="38">
        <f>SUM(Table15[[#This Row],[Fuel and light]])</f>
        <v>141.4</v>
      </c>
      <c r="C193" s="38">
        <f>SUM(Table15[[#This Row],[Transport and communication]])</f>
        <v>124.6</v>
      </c>
      <c r="D193" s="38">
        <f>SUM(Table15[[#This Row],[Housing]],Table15[[#This Row],[Household goods and services]])/2</f>
        <v>147.65</v>
      </c>
      <c r="E193" s="38">
        <f>SUM(Table15[[#This Row],[Health]])</f>
        <v>145</v>
      </c>
      <c r="F193" s="38">
        <f>SUM(Table15[[#This Row],[Recreation and amusement]],Table15[[#This Row],[Education]])/2</f>
        <v>145.19999999999999</v>
      </c>
      <c r="G193" s="63">
        <f>SUM(Table15[[#This Row],[Miscellaneous]],Table15[[#This Row],[Personal care and effects]])/2</f>
        <v>142</v>
      </c>
      <c r="H193" s="64">
        <f t="shared" si="14"/>
        <v>0.16355386725756915</v>
      </c>
      <c r="I193" s="64">
        <f t="shared" si="15"/>
        <v>-5.0369375419744795</v>
      </c>
      <c r="J193" s="64">
        <f t="shared" si="16"/>
        <v>-4.0800615858352662</v>
      </c>
      <c r="K193" s="64">
        <f t="shared" si="17"/>
        <v>-1.8610834164174033</v>
      </c>
      <c r="L193" s="64">
        <f t="shared" si="18"/>
        <v>-4.7931713722915363</v>
      </c>
      <c r="M193" s="64">
        <f t="shared" si="19"/>
        <v>-3.1354236157438224</v>
      </c>
      <c r="N193" s="64">
        <f t="shared" si="20"/>
        <v>-1.7301038062283738</v>
      </c>
    </row>
    <row r="194" spans="1:14" x14ac:dyDescent="0.3">
      <c r="A194" s="37">
        <f>SUM(Table15[[#This Row],[Cereals and products]:[Food and beverages]])/13</f>
        <v>138.61153846153846</v>
      </c>
      <c r="B194" s="37">
        <f>SUM(Table15[[#This Row],[Fuel and light]])</f>
        <v>145.35000000000002</v>
      </c>
      <c r="C194" s="37">
        <f>SUM(Table15[[#This Row],[Transport and communication]])</f>
        <v>135.33333333333334</v>
      </c>
      <c r="D194" s="37">
        <f>SUM(Table15[[#This Row],[Housing]],Table15[[#This Row],[Household goods and services]])/2</f>
        <v>148.86666666666667</v>
      </c>
      <c r="E194" s="37">
        <f>SUM(Table15[[#This Row],[Health]])</f>
        <v>153.93333333333331</v>
      </c>
      <c r="F194" s="37">
        <f>SUM(Table15[[#This Row],[Recreation and amusement]],Table15[[#This Row],[Education]])/2</f>
        <v>152.13333333333333</v>
      </c>
      <c r="G194" s="62">
        <f>SUM(Table15[[#This Row],[Miscellaneous]],Table15[[#This Row],[Personal care and effects]])/2</f>
        <v>149.125</v>
      </c>
      <c r="H194" s="64">
        <f t="shared" si="14"/>
        <v>-5.0855938899130964</v>
      </c>
      <c r="I194" s="64">
        <f t="shared" si="15"/>
        <v>2.7934936350778052</v>
      </c>
      <c r="J194" s="64">
        <f t="shared" si="16"/>
        <v>8.6142322097378408</v>
      </c>
      <c r="K194" s="64">
        <f t="shared" si="17"/>
        <v>0.82402076983858352</v>
      </c>
      <c r="L194" s="64">
        <f t="shared" si="18"/>
        <v>6.1609195402298678</v>
      </c>
      <c r="M194" s="64">
        <f t="shared" si="19"/>
        <v>4.7750229568411413</v>
      </c>
      <c r="N194" s="64">
        <f t="shared" si="20"/>
        <v>5.017605633802817</v>
      </c>
    </row>
    <row r="195" spans="1:14" x14ac:dyDescent="0.3">
      <c r="A195" s="38">
        <f>SUM(Table15[[#This Row],[Cereals and products]:[Food and beverages]])/13</f>
        <v>138.9826923076923</v>
      </c>
      <c r="B195" s="38">
        <f>SUM(Table15[[#This Row],[Fuel and light]])</f>
        <v>140.77500000000001</v>
      </c>
      <c r="C195" s="38">
        <f>SUM(Table15[[#This Row],[Transport and communication]])</f>
        <v>130.92222222222225</v>
      </c>
      <c r="D195" s="38">
        <f>SUM(Table15[[#This Row],[Housing]],Table15[[#This Row],[Household goods and services]])/2</f>
        <v>146.94444444444446</v>
      </c>
      <c r="E195" s="38">
        <f>SUM(Table15[[#This Row],[Health]])</f>
        <v>149.00555555555556</v>
      </c>
      <c r="F195" s="38">
        <f>SUM(Table15[[#This Row],[Recreation and amusement]],Table15[[#This Row],[Education]])/2</f>
        <v>147.93888888888887</v>
      </c>
      <c r="G195" s="63">
        <f>SUM(Table15[[#This Row],[Miscellaneous]],Table15[[#This Row],[Personal care and effects]])/2</f>
        <v>145.14583333333331</v>
      </c>
      <c r="H195" s="64">
        <f t="shared" si="14"/>
        <v>0.26776547628957453</v>
      </c>
      <c r="I195" s="64">
        <f t="shared" si="15"/>
        <v>-3.1475748194014561</v>
      </c>
      <c r="J195" s="64">
        <f t="shared" si="16"/>
        <v>-3.2594417077175595</v>
      </c>
      <c r="K195" s="64">
        <f t="shared" si="17"/>
        <v>-1.2912374981340464</v>
      </c>
      <c r="L195" s="64">
        <f t="shared" si="18"/>
        <v>-3.201241518694943</v>
      </c>
      <c r="M195" s="64">
        <f t="shared" si="19"/>
        <v>-2.7570844288635783</v>
      </c>
      <c r="N195" s="64">
        <f t="shared" si="20"/>
        <v>-2.6683431126012978</v>
      </c>
    </row>
    <row r="196" spans="1:14" x14ac:dyDescent="0.3">
      <c r="A196" s="37">
        <f>SUM(Table15[[#This Row],[Cereals and products]:[Food and beverages]])/13</f>
        <v>138.78173076923079</v>
      </c>
      <c r="B196" s="37">
        <f>SUM(Table15[[#This Row],[Fuel and light]])</f>
        <v>138.77083333333334</v>
      </c>
      <c r="C196" s="37">
        <f>SUM(Table15[[#This Row],[Transport and communication]])</f>
        <v>128.29259259259263</v>
      </c>
      <c r="D196" s="37">
        <f>SUM(Table15[[#This Row],[Housing]],Table15[[#This Row],[Household goods and services]])/2</f>
        <v>145.84351851851852</v>
      </c>
      <c r="E196" s="37">
        <f>SUM(Table15[[#This Row],[Health]])</f>
        <v>145.08981481481482</v>
      </c>
      <c r="F196" s="37">
        <f>SUM(Table15[[#This Row],[Recreation and amusement]],Table15[[#This Row],[Education]])/2</f>
        <v>145.17870370370372</v>
      </c>
      <c r="G196" s="62">
        <f>SUM(Table15[[#This Row],[Miscellaneous]],Table15[[#This Row],[Personal care and effects]])/2</f>
        <v>141.56180555555557</v>
      </c>
      <c r="H196" s="64">
        <f t="shared" ref="H196:H259" si="21">((A196-A195)/A195* 100)</f>
        <v>-0.14459465068974667</v>
      </c>
      <c r="I196" s="64">
        <f t="shared" ref="I196:I259" si="22">((B196-B195)/B195 *100)</f>
        <v>-1.4236666074705471</v>
      </c>
      <c r="J196" s="64">
        <f t="shared" ref="J196:J259" si="23">((C196-C195)/C195 * 100)</f>
        <v>-2.008543381708102</v>
      </c>
      <c r="K196" s="64">
        <f t="shared" ref="K196:K259" si="24">((D196-D195)/D195 * 100)</f>
        <v>-0.74921235034657208</v>
      </c>
      <c r="L196" s="64">
        <f t="shared" ref="L196:L259" si="25">((E196-E195)/E195 * 100)</f>
        <v>-2.6279159365174083</v>
      </c>
      <c r="M196" s="64">
        <f t="shared" ref="M196:M259" si="26">((F196-F195)/F195 * 100)</f>
        <v>-1.8657603865459731</v>
      </c>
      <c r="N196" s="64">
        <f t="shared" ref="N196:N259" si="27">((G196-G195)/G195 *100)</f>
        <v>-2.4692598440265821</v>
      </c>
    </row>
    <row r="197" spans="1:14" x14ac:dyDescent="0.3">
      <c r="A197" s="38">
        <f>SUM(Table15[[#This Row],[Cereals and products]:[Food and beverages]])/13</f>
        <v>160.1846153846154</v>
      </c>
      <c r="B197" s="38">
        <f>SUM(Table15[[#This Row],[Fuel and light]])</f>
        <v>147.5</v>
      </c>
      <c r="C197" s="38">
        <f>SUM(Table15[[#This Row],[Transport and communication]])</f>
        <v>146.1</v>
      </c>
      <c r="D197" s="38">
        <f>SUM(Table15[[#This Row],[Housing]],Table15[[#This Row],[Household goods and services]])/2</f>
        <v>153.15</v>
      </c>
      <c r="E197" s="38">
        <f>SUM(Table15[[#This Row],[Health]])</f>
        <v>160.4</v>
      </c>
      <c r="F197" s="38">
        <f>SUM(Table15[[#This Row],[Recreation and amusement]],Table15[[#This Row],[Education]])/2</f>
        <v>157.6</v>
      </c>
      <c r="G197" s="63">
        <f>SUM(Table15[[#This Row],[Miscellaneous]],Table15[[#This Row],[Personal care and effects]])/2</f>
        <v>155.35</v>
      </c>
      <c r="H197" s="64">
        <f t="shared" si="21"/>
        <v>15.42197557038237</v>
      </c>
      <c r="I197" s="64">
        <f t="shared" si="22"/>
        <v>6.2903467947755516</v>
      </c>
      <c r="J197" s="64">
        <f t="shared" si="23"/>
        <v>13.880308322988505</v>
      </c>
      <c r="K197" s="64">
        <f t="shared" si="24"/>
        <v>5.0098088387477713</v>
      </c>
      <c r="L197" s="64">
        <f t="shared" si="25"/>
        <v>10.552212231248848</v>
      </c>
      <c r="M197" s="64">
        <f t="shared" si="26"/>
        <v>8.5558666522102236</v>
      </c>
      <c r="N197" s="64">
        <f t="shared" si="27"/>
        <v>9.7400526860568242</v>
      </c>
    </row>
    <row r="198" spans="1:14" x14ac:dyDescent="0.3">
      <c r="A198" s="37">
        <f>SUM(Table15[[#This Row],[Cereals and products]:[Food and beverages]])/13</f>
        <v>161.19999999999999</v>
      </c>
      <c r="B198" s="37">
        <f>SUM(Table15[[#This Row],[Fuel and light]])</f>
        <v>143.6</v>
      </c>
      <c r="C198" s="37">
        <f>SUM(Table15[[#This Row],[Transport and communication]])</f>
        <v>140.4</v>
      </c>
      <c r="D198" s="37">
        <f>SUM(Table15[[#This Row],[Housing]],Table15[[#This Row],[Household goods and services]])/2</f>
        <v>153.6</v>
      </c>
      <c r="E198" s="37">
        <f>SUM(Table15[[#This Row],[Health]])</f>
        <v>157.19999999999999</v>
      </c>
      <c r="F198" s="37">
        <f>SUM(Table15[[#This Row],[Recreation and amusement]],Table15[[#This Row],[Education]])/2</f>
        <v>153.5</v>
      </c>
      <c r="G198" s="62">
        <f>SUM(Table15[[#This Row],[Miscellaneous]],Table15[[#This Row],[Personal care and effects]])/2</f>
        <v>153.80000000000001</v>
      </c>
      <c r="H198" s="64">
        <f t="shared" si="21"/>
        <v>0.6338839800230347</v>
      </c>
      <c r="I198" s="64">
        <f t="shared" si="22"/>
        <v>-2.6440677966101731</v>
      </c>
      <c r="J198" s="64">
        <f t="shared" si="23"/>
        <v>-3.9014373716632371</v>
      </c>
      <c r="K198" s="64">
        <f t="shared" si="24"/>
        <v>0.29382957884426292</v>
      </c>
      <c r="L198" s="64">
        <f t="shared" si="25"/>
        <v>-1.9950124688279409</v>
      </c>
      <c r="M198" s="64">
        <f t="shared" si="26"/>
        <v>-2.6015228426395902</v>
      </c>
      <c r="N198" s="64">
        <f t="shared" si="27"/>
        <v>-0.99774702285161443</v>
      </c>
    </row>
    <row r="199" spans="1:14" x14ac:dyDescent="0.3">
      <c r="A199" s="38">
        <f>SUM(Table15[[#This Row],[Cereals and products]:[Food and beverages]])/13</f>
        <v>163.1307692307692</v>
      </c>
      <c r="B199" s="38">
        <f>SUM(Table15[[#This Row],[Fuel and light]])</f>
        <v>137.30000000000001</v>
      </c>
      <c r="C199" s="38">
        <f>SUM(Table15[[#This Row],[Transport and communication]])</f>
        <v>135.19999999999999</v>
      </c>
      <c r="D199" s="38">
        <f>SUM(Table15[[#This Row],[Housing]],Table15[[#This Row],[Household goods and services]])/2</f>
        <v>151.55000000000001</v>
      </c>
      <c r="E199" s="38">
        <f>SUM(Table15[[#This Row],[Health]])</f>
        <v>152</v>
      </c>
      <c r="F199" s="38">
        <f>SUM(Table15[[#This Row],[Recreation and amusement]],Table15[[#This Row],[Education]])/2</f>
        <v>150.4</v>
      </c>
      <c r="G199" s="63">
        <f>SUM(Table15[[#This Row],[Miscellaneous]],Table15[[#This Row],[Personal care and effects]])/2</f>
        <v>152.25</v>
      </c>
      <c r="H199" s="64">
        <f t="shared" si="21"/>
        <v>1.1977476617675031</v>
      </c>
      <c r="I199" s="64">
        <f t="shared" si="22"/>
        <v>-4.3871866295264512</v>
      </c>
      <c r="J199" s="64">
        <f t="shared" si="23"/>
        <v>-3.7037037037037162</v>
      </c>
      <c r="K199" s="64">
        <f t="shared" si="24"/>
        <v>-1.3346354166666556</v>
      </c>
      <c r="L199" s="64">
        <f t="shared" si="25"/>
        <v>-3.3078880407124611</v>
      </c>
      <c r="M199" s="64">
        <f t="shared" si="26"/>
        <v>-2.0195439739413645</v>
      </c>
      <c r="N199" s="64">
        <f t="shared" si="27"/>
        <v>-1.0078023407022181</v>
      </c>
    </row>
    <row r="200" spans="1:14" x14ac:dyDescent="0.3">
      <c r="A200" s="37">
        <f>SUM(Table15[[#This Row],[Cereals and products]:[Food and beverages]])/13</f>
        <v>136.23846153846154</v>
      </c>
      <c r="B200" s="37">
        <f>SUM(Table15[[#This Row],[Fuel and light]])</f>
        <v>128.1</v>
      </c>
      <c r="C200" s="37">
        <f>SUM(Table15[[#This Row],[Transport and communication]])</f>
        <v>120.1</v>
      </c>
      <c r="D200" s="37">
        <f>SUM(Table15[[#This Row],[Housing]],Table15[[#This Row],[Household goods and services]])/2</f>
        <v>138.6</v>
      </c>
      <c r="E200" s="37">
        <f>SUM(Table15[[#This Row],[Health]])</f>
        <v>133.6</v>
      </c>
      <c r="F200" s="37">
        <f>SUM(Table15[[#This Row],[Recreation and amusement]],Table15[[#This Row],[Education]])/2</f>
        <v>136.5</v>
      </c>
      <c r="G200" s="62">
        <f>SUM(Table15[[#This Row],[Miscellaneous]],Table15[[#This Row],[Personal care and effects]])/2</f>
        <v>129.19999999999999</v>
      </c>
      <c r="H200" s="64">
        <f t="shared" si="21"/>
        <v>-16.485122836799157</v>
      </c>
      <c r="I200" s="64">
        <f t="shared" si="22"/>
        <v>-6.7006554989075138</v>
      </c>
      <c r="J200" s="64">
        <f t="shared" si="23"/>
        <v>-11.168639053254434</v>
      </c>
      <c r="K200" s="64">
        <f t="shared" si="24"/>
        <v>-8.5450346420323431</v>
      </c>
      <c r="L200" s="64">
        <f t="shared" si="25"/>
        <v>-12.105263157894742</v>
      </c>
      <c r="M200" s="64">
        <f t="shared" si="26"/>
        <v>-9.2420212765957483</v>
      </c>
      <c r="N200" s="64">
        <f t="shared" si="27"/>
        <v>-15.139573070607563</v>
      </c>
    </row>
    <row r="201" spans="1:14" x14ac:dyDescent="0.3">
      <c r="A201" s="38">
        <f>SUM(Table15[[#This Row],[Cereals and products]:[Food and beverages]])/13</f>
        <v>138.1</v>
      </c>
      <c r="B201" s="38">
        <f>SUM(Table15[[#This Row],[Fuel and light]])</f>
        <v>139.69999999999999</v>
      </c>
      <c r="C201" s="38">
        <f>SUM(Table15[[#This Row],[Transport and communication]])</f>
        <v>123.6</v>
      </c>
      <c r="D201" s="38">
        <f>SUM(Table15[[#This Row],[Housing]],Table15[[#This Row],[Household goods and services]])/2</f>
        <v>141.1</v>
      </c>
      <c r="E201" s="38">
        <f>SUM(Table15[[#This Row],[Health]])</f>
        <v>137</v>
      </c>
      <c r="F201" s="38">
        <f>SUM(Table15[[#This Row],[Recreation and amusement]],Table15[[#This Row],[Education]])/2</f>
        <v>138.89999999999998</v>
      </c>
      <c r="G201" s="63">
        <f>SUM(Table15[[#This Row],[Miscellaneous]],Table15[[#This Row],[Personal care and effects]])/2</f>
        <v>131.64999999999998</v>
      </c>
      <c r="H201" s="64">
        <f t="shared" si="21"/>
        <v>1.3663824741685937</v>
      </c>
      <c r="I201" s="64">
        <f t="shared" si="22"/>
        <v>9.0554254488680677</v>
      </c>
      <c r="J201" s="64">
        <f t="shared" si="23"/>
        <v>2.9142381348875936</v>
      </c>
      <c r="K201" s="64">
        <f t="shared" si="24"/>
        <v>1.8037518037518039</v>
      </c>
      <c r="L201" s="64">
        <f t="shared" si="25"/>
        <v>2.544910179640723</v>
      </c>
      <c r="M201" s="64">
        <f t="shared" si="26"/>
        <v>1.7582417582417416</v>
      </c>
      <c r="N201" s="64">
        <f t="shared" si="27"/>
        <v>1.8962848297213535</v>
      </c>
    </row>
    <row r="202" spans="1:14" x14ac:dyDescent="0.3">
      <c r="A202" s="37">
        <f>SUM(Table15[[#This Row],[Cereals and products]:[Food and beverages]])/13</f>
        <v>139.26923076923077</v>
      </c>
      <c r="B202" s="37">
        <f>SUM(Table15[[#This Row],[Fuel and light]])</f>
        <v>146.80000000000001</v>
      </c>
      <c r="C202" s="37">
        <f>SUM(Table15[[#This Row],[Transport and communication]])</f>
        <v>127.5</v>
      </c>
      <c r="D202" s="37">
        <f>SUM(Table15[[#This Row],[Housing]],Table15[[#This Row],[Household goods and services]])/2</f>
        <v>143.35</v>
      </c>
      <c r="E202" s="37">
        <f>SUM(Table15[[#This Row],[Health]])</f>
        <v>139</v>
      </c>
      <c r="F202" s="37">
        <f>SUM(Table15[[#This Row],[Recreation and amusement]],Table15[[#This Row],[Education]])/2</f>
        <v>142.10000000000002</v>
      </c>
      <c r="G202" s="62">
        <f>SUM(Table15[[#This Row],[Miscellaneous]],Table15[[#This Row],[Personal care and effects]])/2</f>
        <v>133.69999999999999</v>
      </c>
      <c r="H202" s="64">
        <f t="shared" si="21"/>
        <v>0.84665515512728406</v>
      </c>
      <c r="I202" s="64">
        <f t="shared" si="22"/>
        <v>5.0823192555476187</v>
      </c>
      <c r="J202" s="64">
        <f t="shared" si="23"/>
        <v>3.1553398058252475</v>
      </c>
      <c r="K202" s="64">
        <f t="shared" si="24"/>
        <v>1.5946137491141037</v>
      </c>
      <c r="L202" s="64">
        <f t="shared" si="25"/>
        <v>1.4598540145985401</v>
      </c>
      <c r="M202" s="64">
        <f t="shared" si="26"/>
        <v>2.3038156947444537</v>
      </c>
      <c r="N202" s="64">
        <f t="shared" si="27"/>
        <v>1.5571591340676123</v>
      </c>
    </row>
    <row r="203" spans="1:14" x14ac:dyDescent="0.3">
      <c r="A203" s="38">
        <f>SUM(Table15[[#This Row],[Cereals and products]:[Food and beverages]])/13</f>
        <v>136.00769230769231</v>
      </c>
      <c r="B203" s="38">
        <f>SUM(Table15[[#This Row],[Fuel and light]])</f>
        <v>119.7</v>
      </c>
      <c r="C203" s="38">
        <f>SUM(Table15[[#This Row],[Transport and communication]])</f>
        <v>113.2</v>
      </c>
      <c r="D203" s="38">
        <f>SUM(Table15[[#This Row],[Housing]],Table15[[#This Row],[Household goods and services]])/2</f>
        <v>129.9</v>
      </c>
      <c r="E203" s="38">
        <f>SUM(Table15[[#This Row],[Health]])</f>
        <v>125</v>
      </c>
      <c r="F203" s="38">
        <f>SUM(Table15[[#This Row],[Recreation and amusement]],Table15[[#This Row],[Education]])/2</f>
        <v>129.5</v>
      </c>
      <c r="G203" s="63">
        <f>SUM(Table15[[#This Row],[Miscellaneous]],Table15[[#This Row],[Personal care and effects]])/2</f>
        <v>122.7</v>
      </c>
      <c r="H203" s="64">
        <f t="shared" si="21"/>
        <v>-2.3418945042805874</v>
      </c>
      <c r="I203" s="64">
        <f t="shared" si="22"/>
        <v>-18.460490463215262</v>
      </c>
      <c r="J203" s="64">
        <f t="shared" si="23"/>
        <v>-11.215686274509801</v>
      </c>
      <c r="K203" s="64">
        <f t="shared" si="24"/>
        <v>-9.3826299267526956</v>
      </c>
      <c r="L203" s="64">
        <f t="shared" si="25"/>
        <v>-10.071942446043165</v>
      </c>
      <c r="M203" s="64">
        <f t="shared" si="26"/>
        <v>-8.8669950738916405</v>
      </c>
      <c r="N203" s="64">
        <f t="shared" si="27"/>
        <v>-8.2273747195213058</v>
      </c>
    </row>
    <row r="204" spans="1:14" x14ac:dyDescent="0.3">
      <c r="A204" s="37">
        <f>SUM(Table15[[#This Row],[Cereals and products]:[Food and beverages]])/13</f>
        <v>136.1076923076923</v>
      </c>
      <c r="B204" s="37">
        <f>SUM(Table15[[#This Row],[Fuel and light]])</f>
        <v>129.4</v>
      </c>
      <c r="C204" s="37">
        <f>SUM(Table15[[#This Row],[Transport and communication]])</f>
        <v>116</v>
      </c>
      <c r="D204" s="37">
        <f>SUM(Table15[[#This Row],[Housing]],Table15[[#This Row],[Household goods and services]])/2</f>
        <v>132.25</v>
      </c>
      <c r="E204" s="37">
        <f>SUM(Table15[[#This Row],[Health]])</f>
        <v>129.4</v>
      </c>
      <c r="F204" s="37">
        <f>SUM(Table15[[#This Row],[Recreation and amusement]],Table15[[#This Row],[Education]])/2</f>
        <v>131.69999999999999</v>
      </c>
      <c r="G204" s="62">
        <f>SUM(Table15[[#This Row],[Miscellaneous]],Table15[[#This Row],[Personal care and effects]])/2</f>
        <v>124.75</v>
      </c>
      <c r="H204" s="64">
        <f t="shared" si="21"/>
        <v>7.3525253096540136E-2</v>
      </c>
      <c r="I204" s="64">
        <f t="shared" si="22"/>
        <v>8.1035923141186323</v>
      </c>
      <c r="J204" s="64">
        <f t="shared" si="23"/>
        <v>2.4734982332155453</v>
      </c>
      <c r="K204" s="64">
        <f t="shared" si="24"/>
        <v>1.8090839107005343</v>
      </c>
      <c r="L204" s="64">
        <f t="shared" si="25"/>
        <v>3.5200000000000045</v>
      </c>
      <c r="M204" s="64">
        <f t="shared" si="26"/>
        <v>1.6988416988416899</v>
      </c>
      <c r="N204" s="64">
        <f t="shared" si="27"/>
        <v>1.6707416462917661</v>
      </c>
    </row>
    <row r="205" spans="1:14" x14ac:dyDescent="0.3">
      <c r="A205" s="38">
        <f>SUM(Table15[[#This Row],[Cereals and products]:[Food and beverages]])/13</f>
        <v>136.37692307692308</v>
      </c>
      <c r="B205" s="38">
        <f>SUM(Table15[[#This Row],[Fuel and light]])</f>
        <v>135.30000000000001</v>
      </c>
      <c r="C205" s="38">
        <f>SUM(Table15[[#This Row],[Transport and communication]])</f>
        <v>119.1</v>
      </c>
      <c r="D205" s="38">
        <f>SUM(Table15[[#This Row],[Housing]],Table15[[#This Row],[Household goods and services]])/2</f>
        <v>134.35</v>
      </c>
      <c r="E205" s="38">
        <f>SUM(Table15[[#This Row],[Health]])</f>
        <v>132.1</v>
      </c>
      <c r="F205" s="38">
        <f>SUM(Table15[[#This Row],[Recreation and amusement]],Table15[[#This Row],[Education]])/2</f>
        <v>134.6</v>
      </c>
      <c r="G205" s="63">
        <f>SUM(Table15[[#This Row],[Miscellaneous]],Table15[[#This Row],[Personal care and effects]])/2</f>
        <v>126.5</v>
      </c>
      <c r="H205" s="64">
        <f t="shared" si="21"/>
        <v>0.19780716627105555</v>
      </c>
      <c r="I205" s="64">
        <f t="shared" si="22"/>
        <v>4.5595054095826937</v>
      </c>
      <c r="J205" s="64">
        <f t="shared" si="23"/>
        <v>2.6724137931034431</v>
      </c>
      <c r="K205" s="64">
        <f t="shared" si="24"/>
        <v>1.5879017013232473</v>
      </c>
      <c r="L205" s="64">
        <f t="shared" si="25"/>
        <v>2.0865533230293574</v>
      </c>
      <c r="M205" s="64">
        <f t="shared" si="26"/>
        <v>2.2019741837509534</v>
      </c>
      <c r="N205" s="64">
        <f t="shared" si="27"/>
        <v>1.402805611222445</v>
      </c>
    </row>
    <row r="206" spans="1:14" x14ac:dyDescent="0.3">
      <c r="A206" s="37">
        <f>SUM(Table15[[#This Row],[Cereals and products]:[Food and beverages]])/13</f>
        <v>139.34615384615387</v>
      </c>
      <c r="B206" s="37">
        <f>SUM(Table15[[#This Row],[Fuel and light]])</f>
        <v>115.5</v>
      </c>
      <c r="C206" s="37">
        <f>SUM(Table15[[#This Row],[Transport and communication]])</f>
        <v>111.7</v>
      </c>
      <c r="D206" s="37">
        <f>SUM(Table15[[#This Row],[Housing]],Table15[[#This Row],[Household goods and services]])/2</f>
        <v>124.95</v>
      </c>
      <c r="E206" s="37">
        <f>SUM(Table15[[#This Row],[Health]])</f>
        <v>120.9</v>
      </c>
      <c r="F206" s="37">
        <f>SUM(Table15[[#This Row],[Recreation and amusement]],Table15[[#This Row],[Education]])/2</f>
        <v>125.55000000000001</v>
      </c>
      <c r="G206" s="62">
        <f>SUM(Table15[[#This Row],[Miscellaneous]],Table15[[#This Row],[Personal care and effects]])/2</f>
        <v>119.95</v>
      </c>
      <c r="H206" s="64">
        <f t="shared" si="21"/>
        <v>2.1772237576851641</v>
      </c>
      <c r="I206" s="64">
        <f t="shared" si="22"/>
        <v>-14.634146341463422</v>
      </c>
      <c r="J206" s="64">
        <f t="shared" si="23"/>
        <v>-6.2132661628883223</v>
      </c>
      <c r="K206" s="64">
        <f t="shared" si="24"/>
        <v>-6.9966505396352758</v>
      </c>
      <c r="L206" s="64">
        <f t="shared" si="25"/>
        <v>-8.4784254352762982</v>
      </c>
      <c r="M206" s="64">
        <f t="shared" si="26"/>
        <v>-6.7236255572065247</v>
      </c>
      <c r="N206" s="64">
        <f t="shared" si="27"/>
        <v>-5.177865612648219</v>
      </c>
    </row>
    <row r="207" spans="1:14" x14ac:dyDescent="0.3">
      <c r="A207" s="38">
        <f>SUM(Table15[[#This Row],[Cereals and products]:[Food and beverages]])/13</f>
        <v>137.19230769230768</v>
      </c>
      <c r="B207" s="38">
        <f>SUM(Table15[[#This Row],[Fuel and light]])</f>
        <v>123.4</v>
      </c>
      <c r="C207" s="38">
        <f>SUM(Table15[[#This Row],[Transport and communication]])</f>
        <v>113.9</v>
      </c>
      <c r="D207" s="38">
        <f>SUM(Table15[[#This Row],[Housing]],Table15[[#This Row],[Household goods and services]])/2</f>
        <v>126.65</v>
      </c>
      <c r="E207" s="38">
        <f>SUM(Table15[[#This Row],[Health]])</f>
        <v>124.5</v>
      </c>
      <c r="F207" s="38">
        <f>SUM(Table15[[#This Row],[Recreation and amusement]],Table15[[#This Row],[Education]])/2</f>
        <v>126.60000000000001</v>
      </c>
      <c r="G207" s="63">
        <f>SUM(Table15[[#This Row],[Miscellaneous]],Table15[[#This Row],[Personal care and effects]])/2</f>
        <v>121.2</v>
      </c>
      <c r="H207" s="64">
        <f t="shared" si="21"/>
        <v>-1.5456803753795445</v>
      </c>
      <c r="I207" s="64">
        <f t="shared" si="22"/>
        <v>6.839826839826844</v>
      </c>
      <c r="J207" s="64">
        <f t="shared" si="23"/>
        <v>1.9695613249776212</v>
      </c>
      <c r="K207" s="64">
        <f t="shared" si="24"/>
        <v>1.360544217687077</v>
      </c>
      <c r="L207" s="64">
        <f t="shared" si="25"/>
        <v>2.9776674937965213</v>
      </c>
      <c r="M207" s="64">
        <f t="shared" si="26"/>
        <v>0.83632019115889855</v>
      </c>
      <c r="N207" s="64">
        <f t="shared" si="27"/>
        <v>1.0421008753647354</v>
      </c>
    </row>
    <row r="208" spans="1:14" x14ac:dyDescent="0.3">
      <c r="A208" s="37">
        <f>SUM(Table15[[#This Row],[Cereals and products]:[Food and beverages]])/13</f>
        <v>136.17692307692306</v>
      </c>
      <c r="B208" s="37">
        <f>SUM(Table15[[#This Row],[Fuel and light]])</f>
        <v>128.19999999999999</v>
      </c>
      <c r="C208" s="37">
        <f>SUM(Table15[[#This Row],[Transport and communication]])</f>
        <v>116.4</v>
      </c>
      <c r="D208" s="37">
        <f>SUM(Table15[[#This Row],[Housing]],Table15[[#This Row],[Household goods and services]])/2</f>
        <v>128.19999999999999</v>
      </c>
      <c r="E208" s="37">
        <f>SUM(Table15[[#This Row],[Health]])</f>
        <v>126.7</v>
      </c>
      <c r="F208" s="37">
        <f>SUM(Table15[[#This Row],[Recreation and amusement]],Table15[[#This Row],[Education]])/2</f>
        <v>128</v>
      </c>
      <c r="G208" s="62">
        <f>SUM(Table15[[#This Row],[Miscellaneous]],Table15[[#This Row],[Personal care and effects]])/2</f>
        <v>122.35</v>
      </c>
      <c r="H208" s="64">
        <f t="shared" si="21"/>
        <v>-0.74011774600504887</v>
      </c>
      <c r="I208" s="64">
        <f t="shared" si="22"/>
        <v>3.8897893030794024</v>
      </c>
      <c r="J208" s="64">
        <f t="shared" si="23"/>
        <v>2.1949078138718172</v>
      </c>
      <c r="K208" s="64">
        <f t="shared" si="24"/>
        <v>1.2238452427950912</v>
      </c>
      <c r="L208" s="64">
        <f t="shared" si="25"/>
        <v>1.7670682730923717</v>
      </c>
      <c r="M208" s="64">
        <f t="shared" si="26"/>
        <v>1.1058451816745589</v>
      </c>
      <c r="N208" s="64">
        <f t="shared" si="27"/>
        <v>0.94884488448844173</v>
      </c>
    </row>
    <row r="209" spans="1:14" x14ac:dyDescent="0.3">
      <c r="A209" s="38">
        <f>SUM(Table15[[#This Row],[Cereals and products]:[Food and beverages]])/13</f>
        <v>126.37692307692306</v>
      </c>
      <c r="B209" s="38">
        <f>SUM(Table15[[#This Row],[Fuel and light]])</f>
        <v>115.3</v>
      </c>
      <c r="C209" s="38">
        <f>SUM(Table15[[#This Row],[Transport and communication]])</f>
        <v>111.5</v>
      </c>
      <c r="D209" s="38">
        <f>SUM(Table15[[#This Row],[Housing]],Table15[[#This Row],[Household goods and services]])/2</f>
        <v>119.7</v>
      </c>
      <c r="E209" s="38">
        <f>SUM(Table15[[#This Row],[Health]])</f>
        <v>116</v>
      </c>
      <c r="F209" s="38">
        <f>SUM(Table15[[#This Row],[Recreation and amusement]],Table15[[#This Row],[Education]])/2</f>
        <v>121</v>
      </c>
      <c r="G209" s="63">
        <f>SUM(Table15[[#This Row],[Miscellaneous]],Table15[[#This Row],[Personal care and effects]])/2</f>
        <v>114</v>
      </c>
      <c r="H209" s="64">
        <f t="shared" si="21"/>
        <v>-7.1965203637801487</v>
      </c>
      <c r="I209" s="64">
        <f t="shared" si="22"/>
        <v>-10.062402496099839</v>
      </c>
      <c r="J209" s="64">
        <f t="shared" si="23"/>
        <v>-4.2096219931271524</v>
      </c>
      <c r="K209" s="64">
        <f t="shared" si="24"/>
        <v>-6.6302652106084148</v>
      </c>
      <c r="L209" s="64">
        <f t="shared" si="25"/>
        <v>-8.4451460142067898</v>
      </c>
      <c r="M209" s="64">
        <f t="shared" si="26"/>
        <v>-5.46875</v>
      </c>
      <c r="N209" s="64">
        <f t="shared" si="27"/>
        <v>-6.824683285655901</v>
      </c>
    </row>
    <row r="210" spans="1:14" x14ac:dyDescent="0.3">
      <c r="A210" s="37">
        <f>SUM(Table15[[#This Row],[Cereals and products]:[Food and beverages]])/13</f>
        <v>125.43076923076924</v>
      </c>
      <c r="B210" s="37">
        <f>SUM(Table15[[#This Row],[Fuel and light]])</f>
        <v>120.1</v>
      </c>
      <c r="C210" s="37">
        <f>SUM(Table15[[#This Row],[Transport and communication]])</f>
        <v>112.7</v>
      </c>
      <c r="D210" s="37">
        <f>SUM(Table15[[#This Row],[Housing]],Table15[[#This Row],[Household goods and services]])/2</f>
        <v>120.6</v>
      </c>
      <c r="E210" s="37">
        <f>SUM(Table15[[#This Row],[Health]])</f>
        <v>119</v>
      </c>
      <c r="F210" s="37">
        <f>SUM(Table15[[#This Row],[Recreation and amusement]],Table15[[#This Row],[Education]])/2</f>
        <v>120.80000000000001</v>
      </c>
      <c r="G210" s="62">
        <f>SUM(Table15[[#This Row],[Miscellaneous]],Table15[[#This Row],[Personal care and effects]])/2</f>
        <v>114.75</v>
      </c>
      <c r="H210" s="64">
        <f t="shared" si="21"/>
        <v>-0.74867612149246199</v>
      </c>
      <c r="I210" s="64">
        <f t="shared" si="22"/>
        <v>4.1630529054640046</v>
      </c>
      <c r="J210" s="64">
        <f t="shared" si="23"/>
        <v>1.0762331838565047</v>
      </c>
      <c r="K210" s="64">
        <f t="shared" si="24"/>
        <v>0.75187969924811315</v>
      </c>
      <c r="L210" s="64">
        <f t="shared" si="25"/>
        <v>2.5862068965517242</v>
      </c>
      <c r="M210" s="64">
        <f t="shared" si="26"/>
        <v>-0.1652892561983377</v>
      </c>
      <c r="N210" s="64">
        <f t="shared" si="27"/>
        <v>0.6578947368421052</v>
      </c>
    </row>
    <row r="211" spans="1:14" x14ac:dyDescent="0.3">
      <c r="A211" s="38">
        <f>SUM(Table15[[#This Row],[Cereals and products]:[Food and beverages]])/13</f>
        <v>125.02307692307691</v>
      </c>
      <c r="B211" s="38">
        <f>SUM(Table15[[#This Row],[Fuel and light]])</f>
        <v>123</v>
      </c>
      <c r="C211" s="38">
        <f>SUM(Table15[[#This Row],[Transport and communication]])</f>
        <v>114.1</v>
      </c>
      <c r="D211" s="38">
        <f>SUM(Table15[[#This Row],[Housing]],Table15[[#This Row],[Household goods and services]])/2</f>
        <v>121.45</v>
      </c>
      <c r="E211" s="38">
        <f>SUM(Table15[[#This Row],[Health]])</f>
        <v>120.8</v>
      </c>
      <c r="F211" s="38">
        <f>SUM(Table15[[#This Row],[Recreation and amusement]],Table15[[#This Row],[Education]])/2</f>
        <v>120.45</v>
      </c>
      <c r="G211" s="63">
        <f>SUM(Table15[[#This Row],[Miscellaneous]],Table15[[#This Row],[Personal care and effects]])/2</f>
        <v>115.4</v>
      </c>
      <c r="H211" s="64">
        <f t="shared" si="21"/>
        <v>-0.32503372991538576</v>
      </c>
      <c r="I211" s="64">
        <f t="shared" si="22"/>
        <v>2.4146544546211541</v>
      </c>
      <c r="J211" s="64">
        <f t="shared" si="23"/>
        <v>1.2422360248447128</v>
      </c>
      <c r="K211" s="64">
        <f t="shared" si="24"/>
        <v>0.70480928689884625</v>
      </c>
      <c r="L211" s="64">
        <f t="shared" si="25"/>
        <v>1.5126050420168042</v>
      </c>
      <c r="M211" s="64">
        <f t="shared" si="26"/>
        <v>-0.28973509933775538</v>
      </c>
      <c r="N211" s="64">
        <f t="shared" si="27"/>
        <v>0.56644880174292433</v>
      </c>
    </row>
    <row r="212" spans="1:14" x14ac:dyDescent="0.3">
      <c r="A212" s="37">
        <f>SUM(Table15[[#This Row],[Cereals and products]:[Food and beverages]])/13</f>
        <v>120.24615384615385</v>
      </c>
      <c r="B212" s="37">
        <f>SUM(Table15[[#This Row],[Fuel and light]])</f>
        <v>115.3</v>
      </c>
      <c r="C212" s="37">
        <f>SUM(Table15[[#This Row],[Transport and communication]])</f>
        <v>113.2</v>
      </c>
      <c r="D212" s="37">
        <f>SUM(Table15[[#This Row],[Housing]],Table15[[#This Row],[Household goods and services]])/2</f>
        <v>115.1</v>
      </c>
      <c r="E212" s="37">
        <f>SUM(Table15[[#This Row],[Health]])</f>
        <v>113.4</v>
      </c>
      <c r="F212" s="37">
        <f>SUM(Table15[[#This Row],[Recreation and amusement]],Table15[[#This Row],[Education]])/2</f>
        <v>113.65</v>
      </c>
      <c r="G212" s="62">
        <f>SUM(Table15[[#This Row],[Miscellaneous]],Table15[[#This Row],[Personal care and effects]])/2</f>
        <v>110.94999999999999</v>
      </c>
      <c r="H212" s="64">
        <f t="shared" si="21"/>
        <v>-3.8208330769703993</v>
      </c>
      <c r="I212" s="64">
        <f t="shared" si="22"/>
        <v>-6.2601626016260177</v>
      </c>
      <c r="J212" s="64">
        <f t="shared" si="23"/>
        <v>-0.78878177037685504</v>
      </c>
      <c r="K212" s="64">
        <f t="shared" si="24"/>
        <v>-5.2284890901605667</v>
      </c>
      <c r="L212" s="64">
        <f t="shared" si="25"/>
        <v>-6.1258278145695293</v>
      </c>
      <c r="M212" s="64">
        <f t="shared" si="26"/>
        <v>-5.6454960564549577</v>
      </c>
      <c r="N212" s="64">
        <f t="shared" si="27"/>
        <v>-3.8561525129982814</v>
      </c>
    </row>
    <row r="213" spans="1:14" x14ac:dyDescent="0.3">
      <c r="A213" s="38">
        <f>SUM(Table15[[#This Row],[Cereals and products]:[Food and beverages]])/13</f>
        <v>121.25384615384615</v>
      </c>
      <c r="B213" s="38">
        <f>SUM(Table15[[#This Row],[Fuel and light]])</f>
        <v>113.9</v>
      </c>
      <c r="C213" s="38">
        <f>SUM(Table15[[#This Row],[Transport and communication]])</f>
        <v>113.1</v>
      </c>
      <c r="D213" s="38">
        <f>SUM(Table15[[#This Row],[Housing]],Table15[[#This Row],[Household goods and services]])/2</f>
        <v>115</v>
      </c>
      <c r="E213" s="38">
        <f>SUM(Table15[[#This Row],[Health]])</f>
        <v>112.7</v>
      </c>
      <c r="F213" s="38">
        <f>SUM(Table15[[#This Row],[Recreation and amusement]],Table15[[#This Row],[Education]])/2</f>
        <v>114.44999999999999</v>
      </c>
      <c r="G213" s="63">
        <f>SUM(Table15[[#This Row],[Miscellaneous]],Table15[[#This Row],[Personal care and effects]])/2</f>
        <v>111.25</v>
      </c>
      <c r="H213" s="64">
        <f t="shared" si="21"/>
        <v>0.83802456499488376</v>
      </c>
      <c r="I213" s="64">
        <f t="shared" si="22"/>
        <v>-1.2142237640936613</v>
      </c>
      <c r="J213" s="64">
        <f t="shared" si="23"/>
        <v>-8.8339222614848528E-2</v>
      </c>
      <c r="K213" s="64">
        <f t="shared" si="24"/>
        <v>-8.6880973066893408E-2</v>
      </c>
      <c r="L213" s="64">
        <f t="shared" si="25"/>
        <v>-0.61728395061728647</v>
      </c>
      <c r="M213" s="64">
        <f t="shared" si="26"/>
        <v>0.70391553013636854</v>
      </c>
      <c r="N213" s="64">
        <f t="shared" si="27"/>
        <v>0.27039206849933434</v>
      </c>
    </row>
    <row r="214" spans="1:14" x14ac:dyDescent="0.3">
      <c r="A214" s="37">
        <f>SUM(Table15[[#This Row],[Cereals and products]:[Food and beverages]])/13</f>
        <v>123.03846153846153</v>
      </c>
      <c r="B214" s="37">
        <f>SUM(Table15[[#This Row],[Fuel and light]])</f>
        <v>111.6</v>
      </c>
      <c r="C214" s="37">
        <f>SUM(Table15[[#This Row],[Transport and communication]])</f>
        <v>113</v>
      </c>
      <c r="D214" s="37">
        <f>SUM(Table15[[#This Row],[Housing]],Table15[[#This Row],[Household goods and services]])/2</f>
        <v>114.85</v>
      </c>
      <c r="E214" s="37">
        <f>SUM(Table15[[#This Row],[Health]])</f>
        <v>111.5</v>
      </c>
      <c r="F214" s="37">
        <f>SUM(Table15[[#This Row],[Recreation and amusement]],Table15[[#This Row],[Education]])/2</f>
        <v>115.1</v>
      </c>
      <c r="G214" s="62">
        <f>SUM(Table15[[#This Row],[Miscellaneous]],Table15[[#This Row],[Personal care and effects]])/2</f>
        <v>111.6</v>
      </c>
      <c r="H214" s="64">
        <f t="shared" si="21"/>
        <v>1.4718010530990242</v>
      </c>
      <c r="I214" s="64">
        <f t="shared" si="22"/>
        <v>-2.0193151887620822</v>
      </c>
      <c r="J214" s="64">
        <f t="shared" si="23"/>
        <v>-8.8417329796635122E-2</v>
      </c>
      <c r="K214" s="64">
        <f t="shared" si="24"/>
        <v>-0.13043478260870059</v>
      </c>
      <c r="L214" s="64">
        <f t="shared" si="25"/>
        <v>-1.0647737355811915</v>
      </c>
      <c r="M214" s="64">
        <f t="shared" si="26"/>
        <v>0.56793359545653621</v>
      </c>
      <c r="N214" s="64">
        <f t="shared" si="27"/>
        <v>0.31460674157302859</v>
      </c>
    </row>
    <row r="215" spans="1:14" x14ac:dyDescent="0.3">
      <c r="A215" s="38">
        <f>SUM(Table15[[#This Row],[Cereals and products]:[Food and beverages]])/13</f>
        <v>111.22307692307689</v>
      </c>
      <c r="B215" s="38">
        <f>SUM(Table15[[#This Row],[Fuel and light]])</f>
        <v>109.5</v>
      </c>
      <c r="C215" s="38">
        <f>SUM(Table15[[#This Row],[Transport and communication]])</f>
        <v>106.8</v>
      </c>
      <c r="D215" s="38">
        <f>SUM(Table15[[#This Row],[Housing]],Table15[[#This Row],[Household goods and services]])/2</f>
        <v>108</v>
      </c>
      <c r="E215" s="38">
        <f>SUM(Table15[[#This Row],[Health]])</f>
        <v>106.9</v>
      </c>
      <c r="F215" s="38">
        <f>SUM(Table15[[#This Row],[Recreation and amusement]],Table15[[#This Row],[Education]])/2</f>
        <v>107.1</v>
      </c>
      <c r="G215" s="63">
        <f>SUM(Table15[[#This Row],[Miscellaneous]],Table15[[#This Row],[Personal care and effects]])/2</f>
        <v>104.5</v>
      </c>
      <c r="H215" s="64">
        <f t="shared" si="21"/>
        <v>-9.6030009377930838</v>
      </c>
      <c r="I215" s="64">
        <f t="shared" si="22"/>
        <v>-1.8817204301075217</v>
      </c>
      <c r="J215" s="64">
        <f t="shared" si="23"/>
        <v>-5.4867256637168165</v>
      </c>
      <c r="K215" s="64">
        <f t="shared" si="24"/>
        <v>-5.9643012625163205</v>
      </c>
      <c r="L215" s="64">
        <f t="shared" si="25"/>
        <v>-4.125560538116587</v>
      </c>
      <c r="M215" s="64">
        <f t="shared" si="26"/>
        <v>-6.9504778453518687</v>
      </c>
      <c r="N215" s="64">
        <f t="shared" si="27"/>
        <v>-6.362007168458776</v>
      </c>
    </row>
    <row r="216" spans="1:14" x14ac:dyDescent="0.3">
      <c r="A216" s="37">
        <f>SUM(Table15[[#This Row],[Cereals and products]:[Food and beverages]])/13</f>
        <v>112.41538461538461</v>
      </c>
      <c r="B216" s="37">
        <f>SUM(Table15[[#This Row],[Fuel and light]])</f>
        <v>109.2</v>
      </c>
      <c r="C216" s="37">
        <f>SUM(Table15[[#This Row],[Transport and communication]])</f>
        <v>107.1</v>
      </c>
      <c r="D216" s="37">
        <f>SUM(Table15[[#This Row],[Housing]],Table15[[#This Row],[Household goods and services]])/2</f>
        <v>107.95</v>
      </c>
      <c r="E216" s="37">
        <f>SUM(Table15[[#This Row],[Health]])</f>
        <v>107</v>
      </c>
      <c r="F216" s="37">
        <f>SUM(Table15[[#This Row],[Recreation and amusement]],Table15[[#This Row],[Education]])/2</f>
        <v>107.6</v>
      </c>
      <c r="G216" s="62">
        <f>SUM(Table15[[#This Row],[Miscellaneous]],Table15[[#This Row],[Personal care and effects]])/2</f>
        <v>104.85</v>
      </c>
      <c r="H216" s="64">
        <f t="shared" si="21"/>
        <v>1.0719966802683718</v>
      </c>
      <c r="I216" s="64">
        <f t="shared" si="22"/>
        <v>-0.2739726027397234</v>
      </c>
      <c r="J216" s="64">
        <f t="shared" si="23"/>
        <v>0.28089887640449174</v>
      </c>
      <c r="K216" s="64">
        <f t="shared" si="24"/>
        <v>-4.6296296296293664E-2</v>
      </c>
      <c r="L216" s="64">
        <f t="shared" si="25"/>
        <v>9.3545369504204223E-2</v>
      </c>
      <c r="M216" s="64">
        <f t="shared" si="26"/>
        <v>0.46685340802987862</v>
      </c>
      <c r="N216" s="64">
        <f t="shared" si="27"/>
        <v>0.3349282296650663</v>
      </c>
    </row>
    <row r="217" spans="1:14" x14ac:dyDescent="0.3">
      <c r="A217" s="38">
        <f>SUM(Table15[[#This Row],[Cereals and products]:[Food and beverages]])/13</f>
        <v>114.56923076923077</v>
      </c>
      <c r="B217" s="38">
        <f>SUM(Table15[[#This Row],[Fuel and light]])</f>
        <v>108.6</v>
      </c>
      <c r="C217" s="38">
        <f>SUM(Table15[[#This Row],[Transport and communication]])</f>
        <v>107.3</v>
      </c>
      <c r="D217" s="38">
        <f>SUM(Table15[[#This Row],[Housing]],Table15[[#This Row],[Household goods and services]])/2</f>
        <v>107.9</v>
      </c>
      <c r="E217" s="38">
        <f>SUM(Table15[[#This Row],[Health]])</f>
        <v>107.1</v>
      </c>
      <c r="F217" s="38">
        <f>SUM(Table15[[#This Row],[Recreation and amusement]],Table15[[#This Row],[Education]])/2</f>
        <v>108</v>
      </c>
      <c r="G217" s="63">
        <f>SUM(Table15[[#This Row],[Miscellaneous]],Table15[[#This Row],[Personal care and effects]])/2</f>
        <v>105.25</v>
      </c>
      <c r="H217" s="64">
        <f t="shared" si="21"/>
        <v>1.9159709867250641</v>
      </c>
      <c r="I217" s="64">
        <f t="shared" si="22"/>
        <v>-0.54945054945055727</v>
      </c>
      <c r="J217" s="64">
        <f t="shared" si="23"/>
        <v>0.18674136321195411</v>
      </c>
      <c r="K217" s="64">
        <f t="shared" si="24"/>
        <v>-4.6317739694300281E-2</v>
      </c>
      <c r="L217" s="64">
        <f t="shared" si="25"/>
        <v>9.345794392522834E-2</v>
      </c>
      <c r="M217" s="64">
        <f t="shared" si="26"/>
        <v>0.37174721189591609</v>
      </c>
      <c r="N217" s="64">
        <f t="shared" si="27"/>
        <v>0.38149737720553717</v>
      </c>
    </row>
    <row r="218" spans="1:14" x14ac:dyDescent="0.3">
      <c r="A218" s="37">
        <f>SUM(Table15[[#This Row],[Cereals and products]:[Food and beverages]])/13</f>
        <v>177.70769230769233</v>
      </c>
      <c r="B218" s="37">
        <f>SUM(Table15[[#This Row],[Fuel and light]])</f>
        <v>180.1</v>
      </c>
      <c r="C218" s="37">
        <f>SUM(Table15[[#This Row],[Transport and communication]])</f>
        <v>159.5</v>
      </c>
      <c r="D218" s="37">
        <f>SUM(Table15[[#This Row],[Housing]],Table15[[#This Row],[Household goods and services]])/2</f>
        <v>170.05</v>
      </c>
      <c r="E218" s="37">
        <f>SUM(Table15[[#This Row],[Health]])</f>
        <v>178.5</v>
      </c>
      <c r="F218" s="37">
        <f>SUM(Table15[[#This Row],[Recreation and amusement]],Table15[[#This Row],[Education]])/2</f>
        <v>169.8</v>
      </c>
      <c r="G218" s="62">
        <f>SUM(Table15[[#This Row],[Miscellaneous]],Table15[[#This Row],[Personal care and effects]])/2</f>
        <v>173.85000000000002</v>
      </c>
      <c r="H218" s="64">
        <f t="shared" si="21"/>
        <v>55.109440042970334</v>
      </c>
      <c r="I218" s="64">
        <f t="shared" si="22"/>
        <v>65.837937384898709</v>
      </c>
      <c r="J218" s="64">
        <f t="shared" si="23"/>
        <v>48.648648648648653</v>
      </c>
      <c r="K218" s="64">
        <f t="shared" si="24"/>
        <v>57.599629286376278</v>
      </c>
      <c r="L218" s="64">
        <f t="shared" si="25"/>
        <v>66.666666666666671</v>
      </c>
      <c r="M218" s="64">
        <f t="shared" si="26"/>
        <v>57.222222222222229</v>
      </c>
      <c r="N218" s="64">
        <f t="shared" si="27"/>
        <v>65.178147268408566</v>
      </c>
    </row>
    <row r="219" spans="1:14" x14ac:dyDescent="0.3">
      <c r="A219" s="38">
        <f>SUM(Table15[[#This Row],[Cereals and products]:[Food and beverages]])/13</f>
        <v>176.36153846153846</v>
      </c>
      <c r="B219" s="38">
        <f>SUM(Table15[[#This Row],[Fuel and light]])</f>
        <v>182</v>
      </c>
      <c r="C219" s="38">
        <f>SUM(Table15[[#This Row],[Transport and communication]])</f>
        <v>163.6</v>
      </c>
      <c r="D219" s="38">
        <f>SUM(Table15[[#This Row],[Housing]],Table15[[#This Row],[Household goods and services]])/2</f>
        <v>172.5</v>
      </c>
      <c r="E219" s="38">
        <f>SUM(Table15[[#This Row],[Health]])</f>
        <v>182.3</v>
      </c>
      <c r="F219" s="38">
        <f>SUM(Table15[[#This Row],[Recreation and amusement]],Table15[[#This Row],[Education]])/2</f>
        <v>171.9</v>
      </c>
      <c r="G219" s="63">
        <f>SUM(Table15[[#This Row],[Miscellaneous]],Table15[[#This Row],[Personal care and effects]])/2</f>
        <v>175.7</v>
      </c>
      <c r="H219" s="64">
        <f t="shared" si="21"/>
        <v>-0.75751017227946849</v>
      </c>
      <c r="I219" s="64">
        <f t="shared" si="22"/>
        <v>1.0549694614103309</v>
      </c>
      <c r="J219" s="64">
        <f t="shared" si="23"/>
        <v>2.5705329153604977</v>
      </c>
      <c r="K219" s="64">
        <f t="shared" si="24"/>
        <v>1.4407527197882908</v>
      </c>
      <c r="L219" s="64">
        <f t="shared" si="25"/>
        <v>2.1288515406162527</v>
      </c>
      <c r="M219" s="64">
        <f t="shared" si="26"/>
        <v>1.2367491166077704</v>
      </c>
      <c r="N219" s="64">
        <f t="shared" si="27"/>
        <v>1.0641357492090684</v>
      </c>
    </row>
    <row r="220" spans="1:14" x14ac:dyDescent="0.3">
      <c r="A220" s="37">
        <f>SUM(Table15[[#This Row],[Cereals and products]:[Food and beverages]])/13</f>
        <v>175.63076923076926</v>
      </c>
      <c r="B220" s="37">
        <f>SUM(Table15[[#This Row],[Fuel and light]])</f>
        <v>183.2</v>
      </c>
      <c r="C220" s="37">
        <f>SUM(Table15[[#This Row],[Transport and communication]])</f>
        <v>168.2</v>
      </c>
      <c r="D220" s="37">
        <f>SUM(Table15[[#This Row],[Housing]],Table15[[#This Row],[Household goods and services]])/2</f>
        <v>174.64999999999998</v>
      </c>
      <c r="E220" s="37">
        <f>SUM(Table15[[#This Row],[Health]])</f>
        <v>184.7</v>
      </c>
      <c r="F220" s="37">
        <f>SUM(Table15[[#This Row],[Recreation and amusement]],Table15[[#This Row],[Education]])/2</f>
        <v>174.8</v>
      </c>
      <c r="G220" s="62">
        <f>SUM(Table15[[#This Row],[Miscellaneous]],Table15[[#This Row],[Personal care and effects]])/2</f>
        <v>177.45</v>
      </c>
      <c r="H220" s="64">
        <f t="shared" si="21"/>
        <v>-0.4143586164783693</v>
      </c>
      <c r="I220" s="64">
        <f t="shared" si="22"/>
        <v>0.65934065934065311</v>
      </c>
      <c r="J220" s="64">
        <f t="shared" si="23"/>
        <v>2.8117359413202903</v>
      </c>
      <c r="K220" s="64">
        <f t="shared" si="24"/>
        <v>1.2463768115941898</v>
      </c>
      <c r="L220" s="64">
        <f t="shared" si="25"/>
        <v>1.316511245200207</v>
      </c>
      <c r="M220" s="64">
        <f t="shared" si="26"/>
        <v>1.6870273414776067</v>
      </c>
      <c r="N220" s="64">
        <f t="shared" si="27"/>
        <v>0.99601593625498008</v>
      </c>
    </row>
    <row r="221" spans="1:14" x14ac:dyDescent="0.3">
      <c r="A221" s="38">
        <f>SUM(Table15[[#This Row],[Cereals and products]:[Food and beverages]])/13</f>
        <v>165.61538461538461</v>
      </c>
      <c r="B221" s="38">
        <f>SUM(Table15[[#This Row],[Fuel and light]])</f>
        <v>165.8</v>
      </c>
      <c r="C221" s="38">
        <f>SUM(Table15[[#This Row],[Transport and communication]])</f>
        <v>160.80000000000001</v>
      </c>
      <c r="D221" s="38">
        <f>SUM(Table15[[#This Row],[Housing]],Table15[[#This Row],[Household goods and services]])/2</f>
        <v>164.7</v>
      </c>
      <c r="E221" s="38">
        <f>SUM(Table15[[#This Row],[Health]])</f>
        <v>174.7</v>
      </c>
      <c r="F221" s="38">
        <f>SUM(Table15[[#This Row],[Recreation and amusement]],Table15[[#This Row],[Education]])/2</f>
        <v>167.4</v>
      </c>
      <c r="G221" s="63">
        <f>SUM(Table15[[#This Row],[Miscellaneous]],Table15[[#This Row],[Personal care and effects]])/2</f>
        <v>164.89999999999998</v>
      </c>
      <c r="H221" s="64">
        <f t="shared" si="21"/>
        <v>-5.7025227750525751</v>
      </c>
      <c r="I221" s="64">
        <f t="shared" si="22"/>
        <v>-9.4978165938864514</v>
      </c>
      <c r="J221" s="64">
        <f t="shared" si="23"/>
        <v>-4.3995243757431499</v>
      </c>
      <c r="K221" s="64">
        <f t="shared" si="24"/>
        <v>-5.6971085027197192</v>
      </c>
      <c r="L221" s="64">
        <f t="shared" si="25"/>
        <v>-5.4141851651326478</v>
      </c>
      <c r="M221" s="64">
        <f t="shared" si="26"/>
        <v>-4.2334096109839852</v>
      </c>
      <c r="N221" s="64">
        <f t="shared" si="27"/>
        <v>-7.0724147647224633</v>
      </c>
    </row>
    <row r="222" spans="1:14" x14ac:dyDescent="0.3">
      <c r="A222" s="37">
        <f>SUM(Table15[[#This Row],[Cereals and products]:[Food and beverages]])/13</f>
        <v>166.47692307692307</v>
      </c>
      <c r="B222" s="37">
        <f>SUM(Table15[[#This Row],[Fuel and light]])</f>
        <v>164.2</v>
      </c>
      <c r="C222" s="37">
        <f>SUM(Table15[[#This Row],[Transport and communication]])</f>
        <v>156.5</v>
      </c>
      <c r="D222" s="37">
        <f>SUM(Table15[[#This Row],[Housing]],Table15[[#This Row],[Household goods and services]])/2</f>
        <v>162.80000000000001</v>
      </c>
      <c r="E222" s="37">
        <f>SUM(Table15[[#This Row],[Health]])</f>
        <v>171.4</v>
      </c>
      <c r="F222" s="37">
        <f>SUM(Table15[[#This Row],[Recreation and amusement]],Table15[[#This Row],[Education]])/2</f>
        <v>162.94999999999999</v>
      </c>
      <c r="G222" s="62">
        <f>SUM(Table15[[#This Row],[Miscellaneous]],Table15[[#This Row],[Personal care and effects]])/2</f>
        <v>162.85</v>
      </c>
      <c r="H222" s="64">
        <f t="shared" si="21"/>
        <v>0.52020436600092712</v>
      </c>
      <c r="I222" s="64">
        <f t="shared" si="22"/>
        <v>-0.96501809408927786</v>
      </c>
      <c r="J222" s="64">
        <f t="shared" si="23"/>
        <v>-2.6741293532338379</v>
      </c>
      <c r="K222" s="64">
        <f t="shared" si="24"/>
        <v>-1.1536126290224513</v>
      </c>
      <c r="L222" s="64">
        <f t="shared" si="25"/>
        <v>-1.8889524899828183</v>
      </c>
      <c r="M222" s="64">
        <f t="shared" si="26"/>
        <v>-2.6583034647550874</v>
      </c>
      <c r="N222" s="64">
        <f t="shared" si="27"/>
        <v>-1.2431776834445016</v>
      </c>
    </row>
    <row r="223" spans="1:14" x14ac:dyDescent="0.3">
      <c r="A223" s="38">
        <f>SUM(Table15[[#This Row],[Cereals and products]:[Food and beverages]])/13</f>
        <v>168.2076923076923</v>
      </c>
      <c r="B223" s="38">
        <f>SUM(Table15[[#This Row],[Fuel and light]])</f>
        <v>161.6</v>
      </c>
      <c r="C223" s="38">
        <f>SUM(Table15[[#This Row],[Transport and communication]])</f>
        <v>152.69999999999999</v>
      </c>
      <c r="D223" s="38">
        <f>SUM(Table15[[#This Row],[Housing]],Table15[[#This Row],[Household goods and services]])/2</f>
        <v>160.65</v>
      </c>
      <c r="E223" s="38">
        <f>SUM(Table15[[#This Row],[Health]])</f>
        <v>166.1</v>
      </c>
      <c r="F223" s="38">
        <f>SUM(Table15[[#This Row],[Recreation and amusement]],Table15[[#This Row],[Education]])/2</f>
        <v>159.69999999999999</v>
      </c>
      <c r="G223" s="63">
        <f>SUM(Table15[[#This Row],[Miscellaneous]],Table15[[#This Row],[Personal care and effects]])/2</f>
        <v>160.69999999999999</v>
      </c>
      <c r="H223" s="64">
        <f t="shared" si="21"/>
        <v>1.0396451344607682</v>
      </c>
      <c r="I223" s="64">
        <f t="shared" si="22"/>
        <v>-1.5834348355663792</v>
      </c>
      <c r="J223" s="64">
        <f t="shared" si="23"/>
        <v>-2.4281150159744485</v>
      </c>
      <c r="K223" s="64">
        <f t="shared" si="24"/>
        <v>-1.3206388206388242</v>
      </c>
      <c r="L223" s="64">
        <f t="shared" si="25"/>
        <v>-3.0921820303383964</v>
      </c>
      <c r="M223" s="64">
        <f t="shared" si="26"/>
        <v>-1.9944768333844738</v>
      </c>
      <c r="N223" s="64">
        <f t="shared" si="27"/>
        <v>-1.3202333435677038</v>
      </c>
    </row>
    <row r="224" spans="1:14" x14ac:dyDescent="0.3">
      <c r="A224" s="37">
        <f>SUM(Table15[[#This Row],[Cereals and products]:[Food and beverages]])/13</f>
        <v>156.22307692307692</v>
      </c>
      <c r="B224" s="37">
        <f>SUM(Table15[[#This Row],[Fuel and light]])</f>
        <v>146.80000000000001</v>
      </c>
      <c r="C224" s="37">
        <f>SUM(Table15[[#This Row],[Transport and communication]])</f>
        <v>146.4</v>
      </c>
      <c r="D224" s="37">
        <f>SUM(Table15[[#This Row],[Housing]],Table15[[#This Row],[Household goods and services]])/2</f>
        <v>152.5</v>
      </c>
      <c r="E224" s="37">
        <f>SUM(Table15[[#This Row],[Health]])</f>
        <v>159.5</v>
      </c>
      <c r="F224" s="37">
        <f>SUM(Table15[[#This Row],[Recreation and amusement]],Table15[[#This Row],[Education]])/2</f>
        <v>157.44999999999999</v>
      </c>
      <c r="G224" s="62">
        <f>SUM(Table15[[#This Row],[Miscellaneous]],Table15[[#This Row],[Personal care and effects]])/2</f>
        <v>155.25</v>
      </c>
      <c r="H224" s="64">
        <f t="shared" si="21"/>
        <v>-7.1248913888507781</v>
      </c>
      <c r="I224" s="64">
        <f t="shared" si="22"/>
        <v>-9.1584158415841479</v>
      </c>
      <c r="J224" s="64">
        <f t="shared" si="23"/>
        <v>-4.1257367387033295</v>
      </c>
      <c r="K224" s="64">
        <f t="shared" si="24"/>
        <v>-5.0731403672580173</v>
      </c>
      <c r="L224" s="64">
        <f t="shared" si="25"/>
        <v>-3.9735099337748312</v>
      </c>
      <c r="M224" s="64">
        <f t="shared" si="26"/>
        <v>-1.4088916718847841</v>
      </c>
      <c r="N224" s="64">
        <f t="shared" si="27"/>
        <v>-3.3914125700062159</v>
      </c>
    </row>
    <row r="225" spans="1:14" x14ac:dyDescent="0.3">
      <c r="A225" s="38">
        <f>SUM(Table15[[#This Row],[Cereals and products]:[Food and beverages]])/13</f>
        <v>157.5846153846154</v>
      </c>
      <c r="B225" s="38">
        <f>SUM(Table15[[#This Row],[Fuel and light]])</f>
        <v>143.1</v>
      </c>
      <c r="C225" s="38">
        <f>SUM(Table15[[#This Row],[Transport and communication]])</f>
        <v>140.6</v>
      </c>
      <c r="D225" s="38">
        <f>SUM(Table15[[#This Row],[Housing]],Table15[[#This Row],[Household goods and services]])/2</f>
        <v>152.6</v>
      </c>
      <c r="E225" s="38">
        <f>SUM(Table15[[#This Row],[Health]])</f>
        <v>156.30000000000001</v>
      </c>
      <c r="F225" s="38">
        <f>SUM(Table15[[#This Row],[Recreation and amusement]],Table15[[#This Row],[Education]])/2</f>
        <v>152.5</v>
      </c>
      <c r="G225" s="63">
        <f>SUM(Table15[[#This Row],[Miscellaneous]],Table15[[#This Row],[Personal care and effects]])/2</f>
        <v>153.69999999999999</v>
      </c>
      <c r="H225" s="64">
        <f t="shared" si="21"/>
        <v>0.87153478753263725</v>
      </c>
      <c r="I225" s="64">
        <f t="shared" si="22"/>
        <v>-2.5204359673024639</v>
      </c>
      <c r="J225" s="64">
        <f t="shared" si="23"/>
        <v>-3.9617486338797891</v>
      </c>
      <c r="K225" s="64">
        <f t="shared" si="24"/>
        <v>6.5573770491799549E-2</v>
      </c>
      <c r="L225" s="64">
        <f t="shared" si="25"/>
        <v>-2.0062695924764817</v>
      </c>
      <c r="M225" s="64">
        <f t="shared" si="26"/>
        <v>-3.1438551921244771</v>
      </c>
      <c r="N225" s="64">
        <f t="shared" si="27"/>
        <v>-0.99838969404187528</v>
      </c>
    </row>
    <row r="226" spans="1:14" x14ac:dyDescent="0.3">
      <c r="A226" s="37">
        <f>SUM(Table15[[#This Row],[Cereals and products]:[Food and beverages]])/13</f>
        <v>160.01538461538459</v>
      </c>
      <c r="B226" s="37">
        <f>SUM(Table15[[#This Row],[Fuel and light]])</f>
        <v>137.1</v>
      </c>
      <c r="C226" s="37">
        <f>SUM(Table15[[#This Row],[Transport and communication]])</f>
        <v>135.4</v>
      </c>
      <c r="D226" s="37">
        <f>SUM(Table15[[#This Row],[Housing]],Table15[[#This Row],[Household goods and services]])/2</f>
        <v>150.80000000000001</v>
      </c>
      <c r="E226" s="37">
        <f>SUM(Table15[[#This Row],[Health]])</f>
        <v>151</v>
      </c>
      <c r="F226" s="37">
        <f>SUM(Table15[[#This Row],[Recreation and amusement]],Table15[[#This Row],[Education]])/2</f>
        <v>148.85</v>
      </c>
      <c r="G226" s="62">
        <f>SUM(Table15[[#This Row],[Miscellaneous]],Table15[[#This Row],[Personal care and effects]])/2</f>
        <v>152.14999999999998</v>
      </c>
      <c r="H226" s="64">
        <f t="shared" si="21"/>
        <v>1.5425168407692778</v>
      </c>
      <c r="I226" s="64">
        <f t="shared" si="22"/>
        <v>-4.1928721174004195</v>
      </c>
      <c r="J226" s="64">
        <f t="shared" si="23"/>
        <v>-3.6984352773826377</v>
      </c>
      <c r="K226" s="64">
        <f t="shared" si="24"/>
        <v>-1.1795543905635537</v>
      </c>
      <c r="L226" s="64">
        <f t="shared" si="25"/>
        <v>-3.3909149072296931</v>
      </c>
      <c r="M226" s="64">
        <f t="shared" si="26"/>
        <v>-2.3934426229508232</v>
      </c>
      <c r="N226" s="64">
        <f t="shared" si="27"/>
        <v>-1.0084580351333841</v>
      </c>
    </row>
    <row r="227" spans="1:14" x14ac:dyDescent="0.3">
      <c r="A227" s="38">
        <f>SUM(Table15[[#This Row],[Cereals and products]:[Food and beverages]])/13</f>
        <v>152.87692307692308</v>
      </c>
      <c r="B227" s="38">
        <f>SUM(Table15[[#This Row],[Fuel and light]])</f>
        <v>146.4</v>
      </c>
      <c r="C227" s="38">
        <f>SUM(Table15[[#This Row],[Transport and communication]])</f>
        <v>144.6</v>
      </c>
      <c r="D227" s="38">
        <f>SUM(Table15[[#This Row],[Housing]],Table15[[#This Row],[Household goods and services]])/2</f>
        <v>151.89999999999998</v>
      </c>
      <c r="E227" s="38">
        <f>SUM(Table15[[#This Row],[Health]])</f>
        <v>159.1</v>
      </c>
      <c r="F227" s="38">
        <f>SUM(Table15[[#This Row],[Recreation and amusement]],Table15[[#This Row],[Education]])/2</f>
        <v>156.94999999999999</v>
      </c>
      <c r="G227" s="63">
        <f>SUM(Table15[[#This Row],[Miscellaneous]],Table15[[#This Row],[Personal care and effects]])/2</f>
        <v>155.55000000000001</v>
      </c>
      <c r="H227" s="64">
        <f t="shared" si="21"/>
        <v>-4.461109508701071</v>
      </c>
      <c r="I227" s="64">
        <f t="shared" si="22"/>
        <v>6.7833698030634659</v>
      </c>
      <c r="J227" s="64">
        <f t="shared" si="23"/>
        <v>6.7946824224519853</v>
      </c>
      <c r="K227" s="64">
        <f t="shared" si="24"/>
        <v>0.72944297082225851</v>
      </c>
      <c r="L227" s="64">
        <f t="shared" si="25"/>
        <v>5.3642384105960232</v>
      </c>
      <c r="M227" s="64">
        <f t="shared" si="26"/>
        <v>5.4417198522001975</v>
      </c>
      <c r="N227" s="64">
        <f t="shared" si="27"/>
        <v>2.2346368715084024</v>
      </c>
    </row>
    <row r="228" spans="1:14" x14ac:dyDescent="0.3">
      <c r="A228" s="37">
        <f>SUM(Table15[[#This Row],[Cereals and products]:[Food and beverages]])/13</f>
        <v>154.38461538461539</v>
      </c>
      <c r="B228" s="37">
        <f>SUM(Table15[[#This Row],[Fuel and light]])</f>
        <v>142.9</v>
      </c>
      <c r="C228" s="37">
        <f>SUM(Table15[[#This Row],[Transport and communication]])</f>
        <v>139.6</v>
      </c>
      <c r="D228" s="37">
        <f>SUM(Table15[[#This Row],[Housing]],Table15[[#This Row],[Household goods and services]])/2</f>
        <v>152.5</v>
      </c>
      <c r="E228" s="37">
        <f>SUM(Table15[[#This Row],[Health]])</f>
        <v>155.6</v>
      </c>
      <c r="F228" s="37">
        <f>SUM(Table15[[#This Row],[Recreation and amusement]],Table15[[#This Row],[Education]])/2</f>
        <v>152.05000000000001</v>
      </c>
      <c r="G228" s="62">
        <f>SUM(Table15[[#This Row],[Miscellaneous]],Table15[[#This Row],[Personal care and effects]])/2</f>
        <v>154.19999999999999</v>
      </c>
      <c r="H228" s="64">
        <f t="shared" si="21"/>
        <v>0.98621314279963879</v>
      </c>
      <c r="I228" s="64">
        <f t="shared" si="22"/>
        <v>-2.3907103825136611</v>
      </c>
      <c r="J228" s="64">
        <f t="shared" si="23"/>
        <v>-3.4578146611341634</v>
      </c>
      <c r="K228" s="64">
        <f t="shared" si="24"/>
        <v>0.39499670836077871</v>
      </c>
      <c r="L228" s="64">
        <f t="shared" si="25"/>
        <v>-2.1998742928975488</v>
      </c>
      <c r="M228" s="64">
        <f t="shared" si="26"/>
        <v>-3.1220133800573291</v>
      </c>
      <c r="N228" s="64">
        <f t="shared" si="27"/>
        <v>-0.8678881388621168</v>
      </c>
    </row>
    <row r="229" spans="1:14" x14ac:dyDescent="0.3">
      <c r="A229" s="38">
        <f>SUM(Table15[[#This Row],[Cereals and products]:[Food and beverages]])/13</f>
        <v>157.04615384615386</v>
      </c>
      <c r="B229" s="38">
        <f>SUM(Table15[[#This Row],[Fuel and light]])</f>
        <v>137.19999999999999</v>
      </c>
      <c r="C229" s="38">
        <f>SUM(Table15[[#This Row],[Transport and communication]])</f>
        <v>135.1</v>
      </c>
      <c r="D229" s="38">
        <f>SUM(Table15[[#This Row],[Housing]],Table15[[#This Row],[Household goods and services]])/2</f>
        <v>150.85000000000002</v>
      </c>
      <c r="E229" s="38">
        <f>SUM(Table15[[#This Row],[Health]])</f>
        <v>150</v>
      </c>
      <c r="F229" s="38">
        <f>SUM(Table15[[#This Row],[Recreation and amusement]],Table15[[#This Row],[Education]])/2</f>
        <v>148.35000000000002</v>
      </c>
      <c r="G229" s="63">
        <f>SUM(Table15[[#This Row],[Miscellaneous]],Table15[[#This Row],[Personal care and effects]])/2</f>
        <v>152.9</v>
      </c>
      <c r="H229" s="64">
        <f t="shared" si="21"/>
        <v>1.723966118584958</v>
      </c>
      <c r="I229" s="64">
        <f t="shared" si="22"/>
        <v>-3.988803358992314</v>
      </c>
      <c r="J229" s="64">
        <f t="shared" si="23"/>
        <v>-3.2234957020057307</v>
      </c>
      <c r="K229" s="64">
        <f t="shared" si="24"/>
        <v>-1.0819672131147393</v>
      </c>
      <c r="L229" s="64">
        <f t="shared" si="25"/>
        <v>-3.598971722365035</v>
      </c>
      <c r="M229" s="64">
        <f t="shared" si="26"/>
        <v>-2.4334100624794397</v>
      </c>
      <c r="N229" s="64">
        <f t="shared" si="27"/>
        <v>-0.84306095979246631</v>
      </c>
    </row>
    <row r="230" spans="1:14" x14ac:dyDescent="0.3">
      <c r="A230" s="37">
        <f>SUM(Table15[[#This Row],[Cereals and products]:[Food and beverages]])/13</f>
        <v>157.65384615384616</v>
      </c>
      <c r="B230" s="37">
        <f>SUM(Table15[[#This Row],[Fuel and light]])</f>
        <v>156</v>
      </c>
      <c r="C230" s="37">
        <f>SUM(Table15[[#This Row],[Transport and communication]])</f>
        <v>151.69999999999999</v>
      </c>
      <c r="D230" s="37">
        <f>SUM(Table15[[#This Row],[Housing]],Table15[[#This Row],[Household goods and services]])/2</f>
        <v>158.44999999999999</v>
      </c>
      <c r="E230" s="37">
        <f>SUM(Table15[[#This Row],[Health]])</f>
        <v>165.3</v>
      </c>
      <c r="F230" s="37">
        <f>SUM(Table15[[#This Row],[Recreation and amusement]],Table15[[#This Row],[Education]])/2</f>
        <v>161.35</v>
      </c>
      <c r="G230" s="62">
        <f>SUM(Table15[[#This Row],[Miscellaneous]],Table15[[#This Row],[Personal care and effects]])/2</f>
        <v>156.30000000000001</v>
      </c>
      <c r="H230" s="64">
        <f t="shared" si="21"/>
        <v>0.38695141065830468</v>
      </c>
      <c r="I230" s="64">
        <f t="shared" si="22"/>
        <v>13.702623906705549</v>
      </c>
      <c r="J230" s="64">
        <f t="shared" si="23"/>
        <v>12.287194670614356</v>
      </c>
      <c r="K230" s="64">
        <f t="shared" si="24"/>
        <v>5.0381173351010702</v>
      </c>
      <c r="L230" s="64">
        <f t="shared" si="25"/>
        <v>10.200000000000008</v>
      </c>
      <c r="M230" s="64">
        <f t="shared" si="26"/>
        <v>8.7630603302999468</v>
      </c>
      <c r="N230" s="64">
        <f t="shared" si="27"/>
        <v>2.2236756049705724</v>
      </c>
    </row>
    <row r="231" spans="1:14" x14ac:dyDescent="0.3">
      <c r="A231" s="38">
        <f>SUM(Table15[[#This Row],[Cereals and products]:[Food and beverages]])/13</f>
        <v>158.77692307692308</v>
      </c>
      <c r="B231" s="38">
        <f>SUM(Table15[[#This Row],[Fuel and light]])</f>
        <v>155.6</v>
      </c>
      <c r="C231" s="38">
        <f>SUM(Table15[[#This Row],[Transport and communication]])</f>
        <v>146.6</v>
      </c>
      <c r="D231" s="38">
        <f>SUM(Table15[[#This Row],[Housing]],Table15[[#This Row],[Household goods and services]])/2</f>
        <v>156.60000000000002</v>
      </c>
      <c r="E231" s="38">
        <f>SUM(Table15[[#This Row],[Health]])</f>
        <v>162.30000000000001</v>
      </c>
      <c r="F231" s="38">
        <f>SUM(Table15[[#This Row],[Recreation and amusement]],Table15[[#This Row],[Education]])/2</f>
        <v>156.75</v>
      </c>
      <c r="G231" s="63">
        <f>SUM(Table15[[#This Row],[Miscellaneous]],Table15[[#This Row],[Personal care and effects]])/2</f>
        <v>154.9</v>
      </c>
      <c r="H231" s="64">
        <f t="shared" si="21"/>
        <v>0.71236887045620856</v>
      </c>
      <c r="I231" s="64">
        <f t="shared" si="22"/>
        <v>-0.25641025641026005</v>
      </c>
      <c r="J231" s="64">
        <f t="shared" si="23"/>
        <v>-3.3618984838496999</v>
      </c>
      <c r="K231" s="64">
        <f t="shared" si="24"/>
        <v>-1.1675607447143994</v>
      </c>
      <c r="L231" s="64">
        <f t="shared" si="25"/>
        <v>-1.8148820326678763</v>
      </c>
      <c r="M231" s="64">
        <f t="shared" si="26"/>
        <v>-2.8509451502943874</v>
      </c>
      <c r="N231" s="64">
        <f t="shared" si="27"/>
        <v>-0.89571337172105281</v>
      </c>
    </row>
    <row r="232" spans="1:14" x14ac:dyDescent="0.3">
      <c r="A232" s="37">
        <f>SUM(Table15[[#This Row],[Cereals and products]:[Food and beverages]])/13</f>
        <v>160.73846153846154</v>
      </c>
      <c r="B232" s="37">
        <f>SUM(Table15[[#This Row],[Fuel and light]])</f>
        <v>154.9</v>
      </c>
      <c r="C232" s="37">
        <f>SUM(Table15[[#This Row],[Transport and communication]])</f>
        <v>142.1</v>
      </c>
      <c r="D232" s="37">
        <f>SUM(Table15[[#This Row],[Housing]],Table15[[#This Row],[Household goods and services]])/2</f>
        <v>154.5</v>
      </c>
      <c r="E232" s="37">
        <f>SUM(Table15[[#This Row],[Health]])</f>
        <v>157.5</v>
      </c>
      <c r="F232" s="37">
        <f>SUM(Table15[[#This Row],[Recreation and amusement]],Table15[[#This Row],[Education]])/2</f>
        <v>153.35</v>
      </c>
      <c r="G232" s="62">
        <f>SUM(Table15[[#This Row],[Miscellaneous]],Table15[[#This Row],[Personal care and effects]])/2</f>
        <v>153.55000000000001</v>
      </c>
      <c r="H232" s="64">
        <f t="shared" si="21"/>
        <v>1.23540526137299</v>
      </c>
      <c r="I232" s="64">
        <f t="shared" si="22"/>
        <v>-0.44987146529562255</v>
      </c>
      <c r="J232" s="64">
        <f t="shared" si="23"/>
        <v>-3.0695770804911326</v>
      </c>
      <c r="K232" s="64">
        <f t="shared" si="24"/>
        <v>-1.3409961685823897</v>
      </c>
      <c r="L232" s="64">
        <f t="shared" si="25"/>
        <v>-2.9574861367837406</v>
      </c>
      <c r="M232" s="64">
        <f t="shared" si="26"/>
        <v>-2.1690590111642782</v>
      </c>
      <c r="N232" s="64">
        <f t="shared" si="27"/>
        <v>-0.87153001936732999</v>
      </c>
    </row>
    <row r="233" spans="1:14" x14ac:dyDescent="0.3">
      <c r="A233" s="38">
        <f>SUM(Table15[[#This Row],[Cereals and products]:[Food and beverages]])/13</f>
        <v>134.48461538461541</v>
      </c>
      <c r="B233" s="38">
        <f>SUM(Table15[[#This Row],[Fuel and light]])</f>
        <v>127.3</v>
      </c>
      <c r="C233" s="38">
        <f>SUM(Table15[[#This Row],[Transport and communication]])</f>
        <v>116.3</v>
      </c>
      <c r="D233" s="38">
        <f>SUM(Table15[[#This Row],[Housing]],Table15[[#This Row],[Household goods and services]])/2</f>
        <v>134.94999999999999</v>
      </c>
      <c r="E233" s="38">
        <f>SUM(Table15[[#This Row],[Health]])</f>
        <v>129</v>
      </c>
      <c r="F233" s="38">
        <f>SUM(Table15[[#This Row],[Recreation and amusement]],Table15[[#This Row],[Education]])/2</f>
        <v>131.65</v>
      </c>
      <c r="G233" s="63">
        <f>SUM(Table15[[#This Row],[Miscellaneous]],Table15[[#This Row],[Personal care and effects]])/2</f>
        <v>125.65</v>
      </c>
      <c r="H233" s="64">
        <f t="shared" si="21"/>
        <v>-16.333269525267976</v>
      </c>
      <c r="I233" s="64">
        <f t="shared" si="22"/>
        <v>-17.817947062621052</v>
      </c>
      <c r="J233" s="64">
        <f t="shared" si="23"/>
        <v>-18.156228008444756</v>
      </c>
      <c r="K233" s="64">
        <f t="shared" si="24"/>
        <v>-12.653721682847904</v>
      </c>
      <c r="L233" s="64">
        <f t="shared" si="25"/>
        <v>-18.095238095238095</v>
      </c>
      <c r="M233" s="64">
        <f t="shared" si="26"/>
        <v>-14.150635800456465</v>
      </c>
      <c r="N233" s="64">
        <f t="shared" si="27"/>
        <v>-18.169977206121786</v>
      </c>
    </row>
    <row r="234" spans="1:14" x14ac:dyDescent="0.3">
      <c r="A234" s="37">
        <f>SUM(Table15[[#This Row],[Cereals and products]:[Food and beverages]])/13</f>
        <v>136.91538461538462</v>
      </c>
      <c r="B234" s="37">
        <f>SUM(Table15[[#This Row],[Fuel and light]])</f>
        <v>136.6</v>
      </c>
      <c r="C234" s="37">
        <f>SUM(Table15[[#This Row],[Transport and communication]])</f>
        <v>119.3</v>
      </c>
      <c r="D234" s="37">
        <f>SUM(Table15[[#This Row],[Housing]],Table15[[#This Row],[Household goods and services]])/2</f>
        <v>137.65</v>
      </c>
      <c r="E234" s="37">
        <f>SUM(Table15[[#This Row],[Health]])</f>
        <v>133.30000000000001</v>
      </c>
      <c r="F234" s="37">
        <f>SUM(Table15[[#This Row],[Recreation and amusement]],Table15[[#This Row],[Education]])/2</f>
        <v>134.35</v>
      </c>
      <c r="G234" s="62">
        <f>SUM(Table15[[#This Row],[Miscellaneous]],Table15[[#This Row],[Personal care and effects]])/2</f>
        <v>128.19999999999999</v>
      </c>
      <c r="H234" s="64">
        <f t="shared" si="21"/>
        <v>1.8074701138248463</v>
      </c>
      <c r="I234" s="64">
        <f t="shared" si="22"/>
        <v>7.3055773762765108</v>
      </c>
      <c r="J234" s="64">
        <f t="shared" si="23"/>
        <v>2.5795356835769563</v>
      </c>
      <c r="K234" s="64">
        <f t="shared" si="24"/>
        <v>2.0007410151908243</v>
      </c>
      <c r="L234" s="64">
        <f t="shared" si="25"/>
        <v>3.3333333333333424</v>
      </c>
      <c r="M234" s="64">
        <f t="shared" si="26"/>
        <v>2.0508925180402495</v>
      </c>
      <c r="N234" s="64">
        <f t="shared" si="27"/>
        <v>2.02944687624352</v>
      </c>
    </row>
    <row r="235" spans="1:14" x14ac:dyDescent="0.3">
      <c r="A235" s="38">
        <f>SUM(Table15[[#This Row],[Cereals and products]:[Food and beverages]])/13</f>
        <v>138.51538461538462</v>
      </c>
      <c r="B235" s="38">
        <f>SUM(Table15[[#This Row],[Fuel and light]])</f>
        <v>142.30000000000001</v>
      </c>
      <c r="C235" s="38">
        <f>SUM(Table15[[#This Row],[Transport and communication]])</f>
        <v>122.7</v>
      </c>
      <c r="D235" s="38">
        <f>SUM(Table15[[#This Row],[Housing]],Table15[[#This Row],[Household goods and services]])/2</f>
        <v>140.10000000000002</v>
      </c>
      <c r="E235" s="38">
        <f>SUM(Table15[[#This Row],[Health]])</f>
        <v>136</v>
      </c>
      <c r="F235" s="38">
        <f>SUM(Table15[[#This Row],[Recreation and amusement]],Table15[[#This Row],[Education]])/2</f>
        <v>137.94999999999999</v>
      </c>
      <c r="G235" s="63">
        <f>SUM(Table15[[#This Row],[Miscellaneous]],Table15[[#This Row],[Personal care and effects]])/2</f>
        <v>130.44999999999999</v>
      </c>
      <c r="H235" s="64">
        <f t="shared" si="21"/>
        <v>1.1686049778077376</v>
      </c>
      <c r="I235" s="64">
        <f t="shared" si="22"/>
        <v>4.1727672035139216</v>
      </c>
      <c r="J235" s="64">
        <f t="shared" si="23"/>
        <v>2.8499580888516394</v>
      </c>
      <c r="K235" s="64">
        <f t="shared" si="24"/>
        <v>1.7798764983654318</v>
      </c>
      <c r="L235" s="64">
        <f t="shared" si="25"/>
        <v>2.0255063765941399</v>
      </c>
      <c r="M235" s="64">
        <f t="shared" si="26"/>
        <v>2.6795682917752099</v>
      </c>
      <c r="N235" s="64">
        <f t="shared" si="27"/>
        <v>1.7550702028081127</v>
      </c>
    </row>
    <row r="236" spans="1:14" x14ac:dyDescent="0.3">
      <c r="A236" s="37">
        <f>SUM(Table15[[#This Row],[Cereals and products]:[Food and beverages]])/13</f>
        <v>131.78461538461539</v>
      </c>
      <c r="B236" s="37">
        <f>SUM(Table15[[#This Row],[Fuel and light]])</f>
        <v>118</v>
      </c>
      <c r="C236" s="37">
        <f>SUM(Table15[[#This Row],[Transport and communication]])</f>
        <v>115.2</v>
      </c>
      <c r="D236" s="37">
        <f>SUM(Table15[[#This Row],[Housing]],Table15[[#This Row],[Household goods and services]])/2</f>
        <v>127.35</v>
      </c>
      <c r="E236" s="37">
        <f>SUM(Table15[[#This Row],[Health]])</f>
        <v>122.6</v>
      </c>
      <c r="F236" s="37">
        <f>SUM(Table15[[#This Row],[Recreation and amusement]],Table15[[#This Row],[Education]])/2</f>
        <v>127.2</v>
      </c>
      <c r="G236" s="62">
        <f>SUM(Table15[[#This Row],[Miscellaneous]],Table15[[#This Row],[Personal care and effects]])/2</f>
        <v>121.5</v>
      </c>
      <c r="H236" s="64">
        <f t="shared" si="21"/>
        <v>-4.8592214138945931</v>
      </c>
      <c r="I236" s="64">
        <f t="shared" si="22"/>
        <v>-17.076598735066767</v>
      </c>
      <c r="J236" s="64">
        <f t="shared" si="23"/>
        <v>-6.1124694376528117</v>
      </c>
      <c r="K236" s="64">
        <f t="shared" si="24"/>
        <v>-9.100642398286956</v>
      </c>
      <c r="L236" s="64">
        <f t="shared" si="25"/>
        <v>-9.8529411764705923</v>
      </c>
      <c r="M236" s="64">
        <f t="shared" si="26"/>
        <v>-7.7926785067053181</v>
      </c>
      <c r="N236" s="64">
        <f t="shared" si="27"/>
        <v>-6.8608662322728931</v>
      </c>
    </row>
    <row r="237" spans="1:14" x14ac:dyDescent="0.3">
      <c r="A237" s="38">
        <f>SUM(Table15[[#This Row],[Cereals and products]:[Food and beverages]])/13</f>
        <v>132.86923076923074</v>
      </c>
      <c r="B237" s="38">
        <f>SUM(Table15[[#This Row],[Fuel and light]])</f>
        <v>126.8</v>
      </c>
      <c r="C237" s="38">
        <f>SUM(Table15[[#This Row],[Transport and communication]])</f>
        <v>117</v>
      </c>
      <c r="D237" s="38">
        <f>SUM(Table15[[#This Row],[Housing]],Table15[[#This Row],[Household goods and services]])/2</f>
        <v>129.5</v>
      </c>
      <c r="E237" s="38">
        <f>SUM(Table15[[#This Row],[Health]])</f>
        <v>127.1</v>
      </c>
      <c r="F237" s="38">
        <f>SUM(Table15[[#This Row],[Recreation and amusement]],Table15[[#This Row],[Education]])/2</f>
        <v>128.75</v>
      </c>
      <c r="G237" s="63">
        <f>SUM(Table15[[#This Row],[Miscellaneous]],Table15[[#This Row],[Personal care and effects]])/2</f>
        <v>123.05000000000001</v>
      </c>
      <c r="H237" s="64">
        <f t="shared" si="21"/>
        <v>0.82302124678960487</v>
      </c>
      <c r="I237" s="64">
        <f t="shared" si="22"/>
        <v>7.4576271186440657</v>
      </c>
      <c r="J237" s="64">
        <f t="shared" si="23"/>
        <v>1.5624999999999976</v>
      </c>
      <c r="K237" s="64">
        <f t="shared" si="24"/>
        <v>1.6882606988614102</v>
      </c>
      <c r="L237" s="64">
        <f t="shared" si="25"/>
        <v>3.6704730831973897</v>
      </c>
      <c r="M237" s="64">
        <f t="shared" si="26"/>
        <v>1.2185534591194946</v>
      </c>
      <c r="N237" s="64">
        <f t="shared" si="27"/>
        <v>1.2757201646090628</v>
      </c>
    </row>
    <row r="238" spans="1:14" x14ac:dyDescent="0.3">
      <c r="A238" s="37">
        <f>SUM(Table15[[#This Row],[Cereals and products]:[Food and beverages]])/13</f>
        <v>133.63846153846154</v>
      </c>
      <c r="B238" s="37">
        <f>SUM(Table15[[#This Row],[Fuel and light]])</f>
        <v>132.1</v>
      </c>
      <c r="C238" s="37">
        <f>SUM(Table15[[#This Row],[Transport and communication]])</f>
        <v>119.1</v>
      </c>
      <c r="D238" s="37">
        <f>SUM(Table15[[#This Row],[Housing]],Table15[[#This Row],[Household goods and services]])/2</f>
        <v>131.39999999999998</v>
      </c>
      <c r="E238" s="37">
        <f>SUM(Table15[[#This Row],[Health]])</f>
        <v>129.9</v>
      </c>
      <c r="F238" s="37">
        <f>SUM(Table15[[#This Row],[Recreation and amusement]],Table15[[#This Row],[Education]])/2</f>
        <v>130.80000000000001</v>
      </c>
      <c r="G238" s="62">
        <f>SUM(Table15[[#This Row],[Miscellaneous]],Table15[[#This Row],[Personal care and effects]])/2</f>
        <v>124.44999999999999</v>
      </c>
      <c r="H238" s="64">
        <f t="shared" si="21"/>
        <v>0.57893822729117284</v>
      </c>
      <c r="I238" s="64">
        <f t="shared" si="22"/>
        <v>4.1798107255520485</v>
      </c>
      <c r="J238" s="64">
        <f t="shared" si="23"/>
        <v>1.7948717948717898</v>
      </c>
      <c r="K238" s="64">
        <f t="shared" si="24"/>
        <v>1.4671814671814496</v>
      </c>
      <c r="L238" s="64">
        <f t="shared" si="25"/>
        <v>2.2029897718332112</v>
      </c>
      <c r="M238" s="64">
        <f t="shared" si="26"/>
        <v>1.5922330097087469</v>
      </c>
      <c r="N238" s="64">
        <f t="shared" si="27"/>
        <v>1.1377488825680433</v>
      </c>
    </row>
    <row r="239" spans="1:14" x14ac:dyDescent="0.3">
      <c r="A239" s="38">
        <f>SUM(Table15[[#This Row],[Cereals and products]:[Food and beverages]])/13</f>
        <v>130.87692307692308</v>
      </c>
      <c r="B239" s="38">
        <f>SUM(Table15[[#This Row],[Fuel and light]])</f>
        <v>116.9</v>
      </c>
      <c r="C239" s="38">
        <f>SUM(Table15[[#This Row],[Transport and communication]])</f>
        <v>108.9</v>
      </c>
      <c r="D239" s="38">
        <f>SUM(Table15[[#This Row],[Housing]],Table15[[#This Row],[Household goods and services]])/2</f>
        <v>122.5</v>
      </c>
      <c r="E239" s="38">
        <f>SUM(Table15[[#This Row],[Health]])</f>
        <v>119.1</v>
      </c>
      <c r="F239" s="38">
        <f>SUM(Table15[[#This Row],[Recreation and amusement]],Table15[[#This Row],[Education]])/2</f>
        <v>122.45</v>
      </c>
      <c r="G239" s="63">
        <f>SUM(Table15[[#This Row],[Miscellaneous]],Table15[[#This Row],[Personal care and effects]])/2</f>
        <v>115.4</v>
      </c>
      <c r="H239" s="64">
        <f t="shared" si="21"/>
        <v>-2.0664249122201137</v>
      </c>
      <c r="I239" s="64">
        <f t="shared" si="22"/>
        <v>-11.50643451930355</v>
      </c>
      <c r="J239" s="64">
        <f t="shared" si="23"/>
        <v>-8.5642317380352555</v>
      </c>
      <c r="K239" s="64">
        <f t="shared" si="24"/>
        <v>-6.7732115677321003</v>
      </c>
      <c r="L239" s="64">
        <f t="shared" si="25"/>
        <v>-8.3140877598152514</v>
      </c>
      <c r="M239" s="64">
        <f t="shared" si="26"/>
        <v>-6.3837920489296689</v>
      </c>
      <c r="N239" s="64">
        <f t="shared" si="27"/>
        <v>-7.2719967858577608</v>
      </c>
    </row>
    <row r="240" spans="1:14" x14ac:dyDescent="0.3">
      <c r="A240" s="37">
        <f>SUM(Table15[[#This Row],[Cereals and products]:[Food and beverages]])/13</f>
        <v>130.13076923076923</v>
      </c>
      <c r="B240" s="37">
        <f>SUM(Table15[[#This Row],[Fuel and light]])</f>
        <v>122.7</v>
      </c>
      <c r="C240" s="37">
        <f>SUM(Table15[[#This Row],[Transport and communication]])</f>
        <v>111.1</v>
      </c>
      <c r="D240" s="37">
        <f>SUM(Table15[[#This Row],[Housing]],Table15[[#This Row],[Household goods and services]])/2</f>
        <v>123.80000000000001</v>
      </c>
      <c r="E240" s="37">
        <f>SUM(Table15[[#This Row],[Health]])</f>
        <v>122</v>
      </c>
      <c r="F240" s="37">
        <f>SUM(Table15[[#This Row],[Recreation and amusement]],Table15[[#This Row],[Education]])/2</f>
        <v>123.05</v>
      </c>
      <c r="G240" s="62">
        <f>SUM(Table15[[#This Row],[Miscellaneous]],Table15[[#This Row],[Personal care and effects]])/2</f>
        <v>116.5</v>
      </c>
      <c r="H240" s="64">
        <f t="shared" si="21"/>
        <v>-0.57011872575525968</v>
      </c>
      <c r="I240" s="64">
        <f t="shared" si="22"/>
        <v>4.9615055603079528</v>
      </c>
      <c r="J240" s="64">
        <f t="shared" si="23"/>
        <v>2.0202020202020097</v>
      </c>
      <c r="K240" s="64">
        <f t="shared" si="24"/>
        <v>1.0612244897959275</v>
      </c>
      <c r="L240" s="64">
        <f t="shared" si="25"/>
        <v>2.4349286314021881</v>
      </c>
      <c r="M240" s="64">
        <f t="shared" si="26"/>
        <v>0.48999591670068948</v>
      </c>
      <c r="N240" s="64">
        <f t="shared" si="27"/>
        <v>0.95320623916810598</v>
      </c>
    </row>
    <row r="241" spans="1:14" x14ac:dyDescent="0.3">
      <c r="A241" s="38">
        <f>SUM(Table15[[#This Row],[Cereals and products]:[Food and beverages]])/13</f>
        <v>130.00769230769231</v>
      </c>
      <c r="B241" s="38">
        <f>SUM(Table15[[#This Row],[Fuel and light]])</f>
        <v>126.2</v>
      </c>
      <c r="C241" s="38">
        <f>SUM(Table15[[#This Row],[Transport and communication]])</f>
        <v>113.6</v>
      </c>
      <c r="D241" s="38">
        <f>SUM(Table15[[#This Row],[Housing]],Table15[[#This Row],[Household goods and services]])/2</f>
        <v>125</v>
      </c>
      <c r="E241" s="38">
        <f>SUM(Table15[[#This Row],[Health]])</f>
        <v>123.7</v>
      </c>
      <c r="F241" s="38">
        <f>SUM(Table15[[#This Row],[Recreation and amusement]],Table15[[#This Row],[Education]])/2</f>
        <v>123.80000000000001</v>
      </c>
      <c r="G241" s="63">
        <f>SUM(Table15[[#This Row],[Miscellaneous]],Table15[[#This Row],[Personal care and effects]])/2</f>
        <v>117.5</v>
      </c>
      <c r="H241" s="64">
        <f t="shared" si="21"/>
        <v>-9.4579417154341441E-2</v>
      </c>
      <c r="I241" s="64">
        <f t="shared" si="22"/>
        <v>2.8524857375713122</v>
      </c>
      <c r="J241" s="64">
        <f t="shared" si="23"/>
        <v>2.2502250225022502</v>
      </c>
      <c r="K241" s="64">
        <f t="shared" si="24"/>
        <v>0.96930533117931228</v>
      </c>
      <c r="L241" s="64">
        <f t="shared" si="25"/>
        <v>1.3934426229508219</v>
      </c>
      <c r="M241" s="64">
        <f t="shared" si="26"/>
        <v>0.60950832994718751</v>
      </c>
      <c r="N241" s="64">
        <f t="shared" si="27"/>
        <v>0.85836909871244638</v>
      </c>
    </row>
    <row r="242" spans="1:14" x14ac:dyDescent="0.3">
      <c r="A242" s="37">
        <f>SUM(Table15[[#This Row],[Cereals and products]:[Food and beverages]])/13</f>
        <v>120.62307692307692</v>
      </c>
      <c r="B242" s="37">
        <f>SUM(Table15[[#This Row],[Fuel and light]])</f>
        <v>118.4</v>
      </c>
      <c r="C242" s="37">
        <f>SUM(Table15[[#This Row],[Transport and communication]])</f>
        <v>111</v>
      </c>
      <c r="D242" s="37">
        <f>SUM(Table15[[#This Row],[Housing]],Table15[[#This Row],[Household goods and services]])/2</f>
        <v>118.1</v>
      </c>
      <c r="E242" s="37">
        <f>SUM(Table15[[#This Row],[Health]])</f>
        <v>116.6</v>
      </c>
      <c r="F242" s="37">
        <f>SUM(Table15[[#This Row],[Recreation and amusement]],Table15[[#This Row],[Education]])/2</f>
        <v>116.1</v>
      </c>
      <c r="G242" s="62">
        <f>SUM(Table15[[#This Row],[Miscellaneous]],Table15[[#This Row],[Personal care and effects]])/2</f>
        <v>112.35</v>
      </c>
      <c r="H242" s="64">
        <f t="shared" si="21"/>
        <v>-7.2185077806046998</v>
      </c>
      <c r="I242" s="64">
        <f t="shared" si="22"/>
        <v>-6.1806656101426283</v>
      </c>
      <c r="J242" s="64">
        <f t="shared" si="23"/>
        <v>-2.2887323943661926</v>
      </c>
      <c r="K242" s="64">
        <f t="shared" si="24"/>
        <v>-5.5200000000000049</v>
      </c>
      <c r="L242" s="64">
        <f t="shared" si="25"/>
        <v>-5.7396928051738145</v>
      </c>
      <c r="M242" s="64">
        <f t="shared" si="26"/>
        <v>-6.2197092084006593</v>
      </c>
      <c r="N242" s="64">
        <f t="shared" si="27"/>
        <v>-4.3829787234042596</v>
      </c>
    </row>
    <row r="243" spans="1:14" x14ac:dyDescent="0.3">
      <c r="A243" s="38">
        <f>SUM(Table15[[#This Row],[Cereals and products]:[Food and beverages]])/13</f>
        <v>120.71538461538461</v>
      </c>
      <c r="B243" s="38">
        <f>SUM(Table15[[#This Row],[Fuel and light]])</f>
        <v>116.5</v>
      </c>
      <c r="C243" s="38">
        <f>SUM(Table15[[#This Row],[Transport and communication]])</f>
        <v>109.4</v>
      </c>
      <c r="D243" s="38">
        <f>SUM(Table15[[#This Row],[Housing]],Table15[[#This Row],[Household goods and services]])/2</f>
        <v>117.69999999999999</v>
      </c>
      <c r="E243" s="38">
        <f>SUM(Table15[[#This Row],[Health]])</f>
        <v>115.5</v>
      </c>
      <c r="F243" s="38">
        <f>SUM(Table15[[#This Row],[Recreation and amusement]],Table15[[#This Row],[Education]])/2</f>
        <v>117</v>
      </c>
      <c r="G243" s="63">
        <f>SUM(Table15[[#This Row],[Miscellaneous]],Table15[[#This Row],[Personal care and effects]])/2</f>
        <v>112.35</v>
      </c>
      <c r="H243" s="64">
        <f t="shared" si="21"/>
        <v>7.6525731777303957E-2</v>
      </c>
      <c r="I243" s="64">
        <f t="shared" si="22"/>
        <v>-1.6047297297297345</v>
      </c>
      <c r="J243" s="64">
        <f t="shared" si="23"/>
        <v>-1.4414414414414363</v>
      </c>
      <c r="K243" s="64">
        <f t="shared" si="24"/>
        <v>-0.33869602032176604</v>
      </c>
      <c r="L243" s="64">
        <f t="shared" si="25"/>
        <v>-0.94339622641508947</v>
      </c>
      <c r="M243" s="64">
        <f t="shared" si="26"/>
        <v>0.77519379844961733</v>
      </c>
      <c r="N243" s="64">
        <f t="shared" si="27"/>
        <v>0</v>
      </c>
    </row>
    <row r="244" spans="1:14" x14ac:dyDescent="0.3">
      <c r="A244" s="37">
        <f>SUM(Table15[[#This Row],[Cereals and products]:[Food and beverages]])/13</f>
        <v>121.14615384615384</v>
      </c>
      <c r="B244" s="37">
        <f>SUM(Table15[[#This Row],[Fuel and light]])</f>
        <v>113.4</v>
      </c>
      <c r="C244" s="37">
        <f>SUM(Table15[[#This Row],[Transport and communication]])</f>
        <v>107.9</v>
      </c>
      <c r="D244" s="37">
        <f>SUM(Table15[[#This Row],[Housing]],Table15[[#This Row],[Household goods and services]])/2</f>
        <v>117.25</v>
      </c>
      <c r="E244" s="37">
        <f>SUM(Table15[[#This Row],[Health]])</f>
        <v>113.7</v>
      </c>
      <c r="F244" s="37">
        <f>SUM(Table15[[#This Row],[Recreation and amusement]],Table15[[#This Row],[Education]])/2</f>
        <v>117.69999999999999</v>
      </c>
      <c r="G244" s="62">
        <f>SUM(Table15[[#This Row],[Miscellaneous]],Table15[[#This Row],[Personal care and effects]])/2</f>
        <v>112.4</v>
      </c>
      <c r="H244" s="64">
        <f t="shared" si="21"/>
        <v>0.35684700184795642</v>
      </c>
      <c r="I244" s="64">
        <f t="shared" si="22"/>
        <v>-2.6609442060085788</v>
      </c>
      <c r="J244" s="64">
        <f t="shared" si="23"/>
        <v>-1.3711151736745886</v>
      </c>
      <c r="K244" s="64">
        <f t="shared" si="24"/>
        <v>-0.38232795242140072</v>
      </c>
      <c r="L244" s="64">
        <f t="shared" si="25"/>
        <v>-1.5584415584415561</v>
      </c>
      <c r="M244" s="64">
        <f t="shared" si="26"/>
        <v>0.5982905982905885</v>
      </c>
      <c r="N244" s="64">
        <f t="shared" si="27"/>
        <v>4.4503782821549952E-2</v>
      </c>
    </row>
    <row r="245" spans="1:14" x14ac:dyDescent="0.3">
      <c r="A245" s="38">
        <f>SUM(Table15[[#This Row],[Cereals and products]:[Food and beverages]])/13</f>
        <v>114.35384615384616</v>
      </c>
      <c r="B245" s="38">
        <f>SUM(Table15[[#This Row],[Fuel and light]])</f>
        <v>113</v>
      </c>
      <c r="C245" s="38">
        <f>SUM(Table15[[#This Row],[Transport and communication]])</f>
        <v>110.5</v>
      </c>
      <c r="D245" s="38">
        <f>SUM(Table15[[#This Row],[Housing]],Table15[[#This Row],[Household goods and services]])/2</f>
        <v>112.1</v>
      </c>
      <c r="E245" s="38">
        <f>SUM(Table15[[#This Row],[Health]])</f>
        <v>110.6</v>
      </c>
      <c r="F245" s="38">
        <f>SUM(Table15[[#This Row],[Recreation and amusement]],Table15[[#This Row],[Education]])/2</f>
        <v>110.69999999999999</v>
      </c>
      <c r="G245" s="63">
        <f>SUM(Table15[[#This Row],[Miscellaneous]],Table15[[#This Row],[Personal care and effects]])/2</f>
        <v>109.44999999999999</v>
      </c>
      <c r="H245" s="64">
        <f t="shared" si="21"/>
        <v>-5.6067051876309453</v>
      </c>
      <c r="I245" s="64">
        <f t="shared" si="22"/>
        <v>-0.35273368606702443</v>
      </c>
      <c r="J245" s="64">
        <f t="shared" si="23"/>
        <v>2.4096385542168619</v>
      </c>
      <c r="K245" s="64">
        <f t="shared" si="24"/>
        <v>-4.3923240938166357</v>
      </c>
      <c r="L245" s="64">
        <f t="shared" si="25"/>
        <v>-2.726473175021995</v>
      </c>
      <c r="M245" s="64">
        <f t="shared" si="26"/>
        <v>-5.9473237043330505</v>
      </c>
      <c r="N245" s="64">
        <f t="shared" si="27"/>
        <v>-2.6245551601423638</v>
      </c>
    </row>
    <row r="246" spans="1:14" x14ac:dyDescent="0.3">
      <c r="A246" s="37">
        <f>SUM(Table15[[#This Row],[Cereals and products]:[Food and beverages]])/13</f>
        <v>114.29230769230767</v>
      </c>
      <c r="B246" s="37">
        <f>SUM(Table15[[#This Row],[Fuel and light]])</f>
        <v>112.2</v>
      </c>
      <c r="C246" s="37">
        <f>SUM(Table15[[#This Row],[Transport and communication]])</f>
        <v>110.7</v>
      </c>
      <c r="D246" s="37">
        <f>SUM(Table15[[#This Row],[Housing]],Table15[[#This Row],[Household goods and services]])/2</f>
        <v>111.94999999999999</v>
      </c>
      <c r="E246" s="37">
        <f>SUM(Table15[[#This Row],[Health]])</f>
        <v>110.3</v>
      </c>
      <c r="F246" s="37">
        <f>SUM(Table15[[#This Row],[Recreation and amusement]],Table15[[#This Row],[Education]])/2</f>
        <v>110.65</v>
      </c>
      <c r="G246" s="62">
        <f>SUM(Table15[[#This Row],[Miscellaneous]],Table15[[#This Row],[Personal care and effects]])/2</f>
        <v>109.4</v>
      </c>
      <c r="H246" s="64">
        <f t="shared" si="21"/>
        <v>-5.3814072379952012E-2</v>
      </c>
      <c r="I246" s="64">
        <f t="shared" si="22"/>
        <v>-0.70796460176990894</v>
      </c>
      <c r="J246" s="64">
        <f t="shared" si="23"/>
        <v>0.18099547511312475</v>
      </c>
      <c r="K246" s="64">
        <f t="shared" si="24"/>
        <v>-0.13380909901873836</v>
      </c>
      <c r="L246" s="64">
        <f t="shared" si="25"/>
        <v>-0.27124773960216741</v>
      </c>
      <c r="M246" s="64">
        <f t="shared" si="26"/>
        <v>-4.5167118337834648E-2</v>
      </c>
      <c r="N246" s="64">
        <f t="shared" si="27"/>
        <v>-4.5682960255809001E-2</v>
      </c>
    </row>
    <row r="247" spans="1:14" x14ac:dyDescent="0.3">
      <c r="A247" s="38">
        <f>SUM(Table15[[#This Row],[Cereals and products]:[Food and beverages]])/13</f>
        <v>114.17692307692307</v>
      </c>
      <c r="B247" s="38">
        <f>SUM(Table15[[#This Row],[Fuel and light]])</f>
        <v>111</v>
      </c>
      <c r="C247" s="38">
        <f>SUM(Table15[[#This Row],[Transport and communication]])</f>
        <v>110.8</v>
      </c>
      <c r="D247" s="38">
        <f>SUM(Table15[[#This Row],[Housing]],Table15[[#This Row],[Household goods and services]])/2</f>
        <v>111.75</v>
      </c>
      <c r="E247" s="38">
        <f>SUM(Table15[[#This Row],[Health]])</f>
        <v>109.7</v>
      </c>
      <c r="F247" s="38">
        <f>SUM(Table15[[#This Row],[Recreation and amusement]],Table15[[#This Row],[Education]])/2</f>
        <v>110.65</v>
      </c>
      <c r="G247" s="63">
        <f>SUM(Table15[[#This Row],[Miscellaneous]],Table15[[#This Row],[Personal care and effects]])/2</f>
        <v>109.25</v>
      </c>
      <c r="H247" s="64">
        <f t="shared" si="21"/>
        <v>-0.10095571409340337</v>
      </c>
      <c r="I247" s="64">
        <f t="shared" si="22"/>
        <v>-1.0695187165775426</v>
      </c>
      <c r="J247" s="64">
        <f t="shared" si="23"/>
        <v>9.0334236675694957E-2</v>
      </c>
      <c r="K247" s="64">
        <f t="shared" si="24"/>
        <v>-0.17865118356408097</v>
      </c>
      <c r="L247" s="64">
        <f t="shared" si="25"/>
        <v>-0.54397098821395684</v>
      </c>
      <c r="M247" s="64">
        <f t="shared" si="26"/>
        <v>0</v>
      </c>
      <c r="N247" s="64">
        <f t="shared" si="27"/>
        <v>-0.13711151736746408</v>
      </c>
    </row>
    <row r="248" spans="1:14" x14ac:dyDescent="0.3">
      <c r="A248" s="37">
        <f>SUM(Table15[[#This Row],[Cereals and products]:[Food and beverages]])/13</f>
        <v>105.5153846153846</v>
      </c>
      <c r="B248" s="37">
        <f>SUM(Table15[[#This Row],[Fuel and light]])</f>
        <v>105.5</v>
      </c>
      <c r="C248" s="37">
        <f>SUM(Table15[[#This Row],[Transport and communication]])</f>
        <v>103.3</v>
      </c>
      <c r="D248" s="37">
        <f>SUM(Table15[[#This Row],[Housing]],Table15[[#This Row],[Household goods and services]])/2</f>
        <v>102.55</v>
      </c>
      <c r="E248" s="37">
        <f>SUM(Table15[[#This Row],[Health]])</f>
        <v>104</v>
      </c>
      <c r="F248" s="37">
        <f>SUM(Table15[[#This Row],[Recreation and amusement]],Table15[[#This Row],[Education]])/2</f>
        <v>103.6</v>
      </c>
      <c r="G248" s="62">
        <f>SUM(Table15[[#This Row],[Miscellaneous]],Table15[[#This Row],[Personal care and effects]])/2</f>
        <v>104.35</v>
      </c>
      <c r="H248" s="64">
        <f t="shared" si="21"/>
        <v>-7.5860675065687611</v>
      </c>
      <c r="I248" s="64">
        <f t="shared" si="22"/>
        <v>-4.954954954954955</v>
      </c>
      <c r="J248" s="64">
        <f t="shared" si="23"/>
        <v>-6.768953068592058</v>
      </c>
      <c r="K248" s="64">
        <f t="shared" si="24"/>
        <v>-8.2326621923937395</v>
      </c>
      <c r="L248" s="64">
        <f t="shared" si="25"/>
        <v>-5.1959890610756636</v>
      </c>
      <c r="M248" s="64">
        <f t="shared" si="26"/>
        <v>-6.371441482150936</v>
      </c>
      <c r="N248" s="64">
        <f t="shared" si="27"/>
        <v>-4.4851258581235749</v>
      </c>
    </row>
    <row r="249" spans="1:14" x14ac:dyDescent="0.3">
      <c r="A249" s="38">
        <f>SUM(Table15[[#This Row],[Cereals and products]:[Food and beverages]])/13</f>
        <v>105.63846153846156</v>
      </c>
      <c r="B249" s="38">
        <f>SUM(Table15[[#This Row],[Fuel and light]])</f>
        <v>105.5</v>
      </c>
      <c r="C249" s="38">
        <f>SUM(Table15[[#This Row],[Transport and communication]])</f>
        <v>103.2</v>
      </c>
      <c r="D249" s="38">
        <f>SUM(Table15[[#This Row],[Housing]],Table15[[#This Row],[Household goods and services]])/2</f>
        <v>102.55</v>
      </c>
      <c r="E249" s="38">
        <f>SUM(Table15[[#This Row],[Health]])</f>
        <v>104</v>
      </c>
      <c r="F249" s="38">
        <f>SUM(Table15[[#This Row],[Recreation and amusement]],Table15[[#This Row],[Education]])/2</f>
        <v>103.35</v>
      </c>
      <c r="G249" s="63">
        <f>SUM(Table15[[#This Row],[Miscellaneous]],Table15[[#This Row],[Personal care and effects]])/2</f>
        <v>104.2</v>
      </c>
      <c r="H249" s="64">
        <f t="shared" si="21"/>
        <v>0.11664358095796194</v>
      </c>
      <c r="I249" s="64">
        <f t="shared" si="22"/>
        <v>0</v>
      </c>
      <c r="J249" s="64">
        <f t="shared" si="23"/>
        <v>-9.6805421103576289E-2</v>
      </c>
      <c r="K249" s="64">
        <f t="shared" si="24"/>
        <v>0</v>
      </c>
      <c r="L249" s="64">
        <f t="shared" si="25"/>
        <v>0</v>
      </c>
      <c r="M249" s="64">
        <f t="shared" si="26"/>
        <v>-0.2413127413127413</v>
      </c>
      <c r="N249" s="64">
        <f t="shared" si="27"/>
        <v>-0.14374700527071538</v>
      </c>
    </row>
    <row r="250" spans="1:14" x14ac:dyDescent="0.3">
      <c r="A250" s="37">
        <f>SUM(Table15[[#This Row],[Cereals and products]:[Food and beverages]])/13</f>
        <v>105.87692307692308</v>
      </c>
      <c r="B250" s="37">
        <f>SUM(Table15[[#This Row],[Fuel and light]])</f>
        <v>105.4</v>
      </c>
      <c r="C250" s="37">
        <f>SUM(Table15[[#This Row],[Transport and communication]])</f>
        <v>103.2</v>
      </c>
      <c r="D250" s="37">
        <f>SUM(Table15[[#This Row],[Housing]],Table15[[#This Row],[Household goods and services]])/2</f>
        <v>102.55</v>
      </c>
      <c r="E250" s="37">
        <f>SUM(Table15[[#This Row],[Health]])</f>
        <v>104.1</v>
      </c>
      <c r="F250" s="37">
        <f>SUM(Table15[[#This Row],[Recreation and amusement]],Table15[[#This Row],[Education]])/2</f>
        <v>103.2</v>
      </c>
      <c r="G250" s="62">
        <f>SUM(Table15[[#This Row],[Miscellaneous]],Table15[[#This Row],[Personal care and effects]])/2</f>
        <v>104</v>
      </c>
      <c r="H250" s="64">
        <f t="shared" si="21"/>
        <v>0.22573363431149643</v>
      </c>
      <c r="I250" s="64">
        <f t="shared" si="22"/>
        <v>-9.4786729857814514E-2</v>
      </c>
      <c r="J250" s="64">
        <f t="shared" si="23"/>
        <v>0</v>
      </c>
      <c r="K250" s="64">
        <f t="shared" si="24"/>
        <v>0</v>
      </c>
      <c r="L250" s="64">
        <f t="shared" si="25"/>
        <v>9.6153846153840677E-2</v>
      </c>
      <c r="M250" s="64">
        <f t="shared" si="26"/>
        <v>-0.14513788098692934</v>
      </c>
      <c r="N250" s="64">
        <f t="shared" si="27"/>
        <v>-0.19193857965451327</v>
      </c>
    </row>
    <row r="251" spans="1:14" x14ac:dyDescent="0.3">
      <c r="A251" s="38">
        <f>SUM(Table15[[#This Row],[Cereals and products]:[Food and beverages]])/13</f>
        <v>174.28461538461536</v>
      </c>
      <c r="B251" s="38">
        <f>SUM(Table15[[#This Row],[Fuel and light]])</f>
        <v>181.6</v>
      </c>
      <c r="C251" s="38">
        <f>SUM(Table15[[#This Row],[Transport and communication]])</f>
        <v>169</v>
      </c>
      <c r="D251" s="38">
        <f>SUM(Table15[[#This Row],[Housing]],Table15[[#This Row],[Household goods and services]])/2</f>
        <v>176.05</v>
      </c>
      <c r="E251" s="38">
        <f>SUM(Table15[[#This Row],[Health]])</f>
        <v>186.6</v>
      </c>
      <c r="F251" s="38">
        <f>SUM(Table15[[#This Row],[Recreation and amusement]],Table15[[#This Row],[Education]])/2</f>
        <v>175.65</v>
      </c>
      <c r="G251" s="63">
        <f>SUM(Table15[[#This Row],[Miscellaneous]],Table15[[#This Row],[Personal care and effects]])/2</f>
        <v>179.3</v>
      </c>
      <c r="H251" s="64">
        <f t="shared" si="21"/>
        <v>64.610578320255712</v>
      </c>
      <c r="I251" s="64">
        <f t="shared" si="22"/>
        <v>72.296015180265641</v>
      </c>
      <c r="J251" s="64">
        <f t="shared" si="23"/>
        <v>63.759689922480611</v>
      </c>
      <c r="K251" s="64">
        <f t="shared" si="24"/>
        <v>71.672354948805477</v>
      </c>
      <c r="L251" s="64">
        <f t="shared" si="25"/>
        <v>79.250720461095099</v>
      </c>
      <c r="M251" s="64">
        <f t="shared" si="26"/>
        <v>70.20348837209302</v>
      </c>
      <c r="N251" s="64">
        <f t="shared" si="27"/>
        <v>72.40384615384616</v>
      </c>
    </row>
    <row r="252" spans="1:14" x14ac:dyDescent="0.3">
      <c r="A252" s="37">
        <f>SUM(Table15[[#This Row],[Cereals and products]:[Food and beverages]])/13</f>
        <v>175.3153846153846</v>
      </c>
      <c r="B252" s="37">
        <f>SUM(Table15[[#This Row],[Fuel and light]])</f>
        <v>182.1</v>
      </c>
      <c r="C252" s="37">
        <f>SUM(Table15[[#This Row],[Transport and communication]])</f>
        <v>164.2</v>
      </c>
      <c r="D252" s="37">
        <f>SUM(Table15[[#This Row],[Housing]],Table15[[#This Row],[Household goods and services]])/2</f>
        <v>173.85</v>
      </c>
      <c r="E252" s="37">
        <f>SUM(Table15[[#This Row],[Health]])</f>
        <v>184.4</v>
      </c>
      <c r="F252" s="37">
        <f>SUM(Table15[[#This Row],[Recreation and amusement]],Table15[[#This Row],[Education]])/2</f>
        <v>172.65</v>
      </c>
      <c r="G252" s="62">
        <f>SUM(Table15[[#This Row],[Miscellaneous]],Table15[[#This Row],[Personal care and effects]])/2</f>
        <v>177.55</v>
      </c>
      <c r="H252" s="64">
        <f t="shared" si="21"/>
        <v>0.59142869753277538</v>
      </c>
      <c r="I252" s="64">
        <f t="shared" si="22"/>
        <v>0.27533039647577096</v>
      </c>
      <c r="J252" s="64">
        <f t="shared" si="23"/>
        <v>-2.8402366863905395</v>
      </c>
      <c r="K252" s="64">
        <f t="shared" si="24"/>
        <v>-1.2496449872195494</v>
      </c>
      <c r="L252" s="64">
        <f t="shared" si="25"/>
        <v>-1.1789924973204655</v>
      </c>
      <c r="M252" s="64">
        <f t="shared" si="26"/>
        <v>-1.7079419299743808</v>
      </c>
      <c r="N252" s="64">
        <f t="shared" si="27"/>
        <v>-0.97601784718349127</v>
      </c>
    </row>
    <row r="253" spans="1:14" x14ac:dyDescent="0.3">
      <c r="A253" s="38">
        <f>SUM(Table15[[#This Row],[Cereals and products]:[Food and beverages]])/13</f>
        <v>177.16923076923075</v>
      </c>
      <c r="B253" s="38">
        <f>SUM(Table15[[#This Row],[Fuel and light]])</f>
        <v>182.8</v>
      </c>
      <c r="C253" s="38">
        <f>SUM(Table15[[#This Row],[Transport and communication]])</f>
        <v>159.80000000000001</v>
      </c>
      <c r="D253" s="38">
        <f>SUM(Table15[[#This Row],[Housing]],Table15[[#This Row],[Household goods and services]])/2</f>
        <v>171.35</v>
      </c>
      <c r="E253" s="38">
        <f>SUM(Table15[[#This Row],[Health]])</f>
        <v>180.8</v>
      </c>
      <c r="F253" s="38">
        <f>SUM(Table15[[#This Row],[Recreation and amusement]],Table15[[#This Row],[Education]])/2</f>
        <v>170.45</v>
      </c>
      <c r="G253" s="63">
        <f>SUM(Table15[[#This Row],[Miscellaneous]],Table15[[#This Row],[Personal care and effects]])/2</f>
        <v>175.7</v>
      </c>
      <c r="H253" s="64">
        <f t="shared" si="21"/>
        <v>1.0574349523934858</v>
      </c>
      <c r="I253" s="64">
        <f t="shared" si="22"/>
        <v>0.38440417353103629</v>
      </c>
      <c r="J253" s="64">
        <f t="shared" si="23"/>
        <v>-2.6796589524969416</v>
      </c>
      <c r="K253" s="64">
        <f t="shared" si="24"/>
        <v>-1.4380212827149841</v>
      </c>
      <c r="L253" s="64">
        <f t="shared" si="25"/>
        <v>-1.9522776572668081</v>
      </c>
      <c r="M253" s="64">
        <f t="shared" si="26"/>
        <v>-1.2742542716478522</v>
      </c>
      <c r="N253" s="64">
        <f t="shared" si="27"/>
        <v>-1.0419600112644452</v>
      </c>
    </row>
    <row r="254" spans="1:14" x14ac:dyDescent="0.3">
      <c r="A254" s="37">
        <f>SUM(Table15[[#This Row],[Cereals and products]:[Food and beverages]])/13</f>
        <v>165.41538461538462</v>
      </c>
      <c r="B254" s="37">
        <f>SUM(Table15[[#This Row],[Fuel and light]])</f>
        <v>167.4</v>
      </c>
      <c r="C254" s="37">
        <f>SUM(Table15[[#This Row],[Transport and communication]])</f>
        <v>161.19999999999999</v>
      </c>
      <c r="D254" s="37">
        <f>SUM(Table15[[#This Row],[Housing]],Table15[[#This Row],[Household goods and services]])/2</f>
        <v>165.6</v>
      </c>
      <c r="E254" s="37">
        <f>SUM(Table15[[#This Row],[Health]])</f>
        <v>175.3</v>
      </c>
      <c r="F254" s="37">
        <f>SUM(Table15[[#This Row],[Recreation and amusement]],Table15[[#This Row],[Education]])/2</f>
        <v>167.9</v>
      </c>
      <c r="G254" s="62">
        <f>SUM(Table15[[#This Row],[Miscellaneous]],Table15[[#This Row],[Personal care and effects]])/2</f>
        <v>165.9</v>
      </c>
      <c r="H254" s="64">
        <f t="shared" si="21"/>
        <v>-6.6342480027787278</v>
      </c>
      <c r="I254" s="64">
        <f t="shared" si="22"/>
        <v>-8.4245076586433285</v>
      </c>
      <c r="J254" s="64">
        <f t="shared" si="23"/>
        <v>0.87609511889860903</v>
      </c>
      <c r="K254" s="64">
        <f t="shared" si="24"/>
        <v>-3.3557046979865772</v>
      </c>
      <c r="L254" s="64">
        <f t="shared" si="25"/>
        <v>-3.0420353982300883</v>
      </c>
      <c r="M254" s="64">
        <f t="shared" si="26"/>
        <v>-1.496039894397174</v>
      </c>
      <c r="N254" s="64">
        <f t="shared" si="27"/>
        <v>-5.5776892430278791</v>
      </c>
    </row>
    <row r="255" spans="1:14" x14ac:dyDescent="0.3">
      <c r="A255" s="38">
        <f>SUM(Table15[[#This Row],[Cereals and products]:[Food and beverages]])/13</f>
        <v>166.24615384615387</v>
      </c>
      <c r="B255" s="38">
        <f>SUM(Table15[[#This Row],[Fuel and light]])</f>
        <v>165.7</v>
      </c>
      <c r="C255" s="38">
        <f>SUM(Table15[[#This Row],[Transport and communication]])</f>
        <v>156.9</v>
      </c>
      <c r="D255" s="38">
        <f>SUM(Table15[[#This Row],[Housing]],Table15[[#This Row],[Household goods and services]])/2</f>
        <v>163.65</v>
      </c>
      <c r="E255" s="38">
        <f>SUM(Table15[[#This Row],[Health]])</f>
        <v>172.2</v>
      </c>
      <c r="F255" s="38">
        <f>SUM(Table15[[#This Row],[Recreation and amusement]],Table15[[#This Row],[Education]])/2</f>
        <v>163.75</v>
      </c>
      <c r="G255" s="63">
        <f>SUM(Table15[[#This Row],[Miscellaneous]],Table15[[#This Row],[Personal care and effects]])/2</f>
        <v>163.95</v>
      </c>
      <c r="H255" s="64">
        <f t="shared" si="21"/>
        <v>0.5022321428571539</v>
      </c>
      <c r="I255" s="64">
        <f t="shared" si="22"/>
        <v>-1.0155316606929612</v>
      </c>
      <c r="J255" s="64">
        <f t="shared" si="23"/>
        <v>-2.6674937965260441</v>
      </c>
      <c r="K255" s="64">
        <f t="shared" si="24"/>
        <v>-1.1775362318840512</v>
      </c>
      <c r="L255" s="64">
        <f t="shared" si="25"/>
        <v>-1.7683970336566015</v>
      </c>
      <c r="M255" s="64">
        <f t="shared" si="26"/>
        <v>-2.4717093508040531</v>
      </c>
      <c r="N255" s="64">
        <f t="shared" si="27"/>
        <v>-1.1754068716094135</v>
      </c>
    </row>
    <row r="256" spans="1:14" x14ac:dyDescent="0.3">
      <c r="A256" s="37">
        <f>SUM(Table15[[#This Row],[Cereals and products]:[Food and beverages]])/13</f>
        <v>167.96153846153845</v>
      </c>
      <c r="B256" s="37">
        <f>SUM(Table15[[#This Row],[Fuel and light]])</f>
        <v>163</v>
      </c>
      <c r="C256" s="37">
        <f>SUM(Table15[[#This Row],[Transport and communication]])</f>
        <v>153.1</v>
      </c>
      <c r="D256" s="37">
        <f>SUM(Table15[[#This Row],[Housing]],Table15[[#This Row],[Household goods and services]])/2</f>
        <v>161.44999999999999</v>
      </c>
      <c r="E256" s="37">
        <f>SUM(Table15[[#This Row],[Health]])</f>
        <v>167.2</v>
      </c>
      <c r="F256" s="37">
        <f>SUM(Table15[[#This Row],[Recreation and amusement]],Table15[[#This Row],[Education]])/2</f>
        <v>160.75</v>
      </c>
      <c r="G256" s="62">
        <f>SUM(Table15[[#This Row],[Miscellaneous]],Table15[[#This Row],[Personal care and effects]])/2</f>
        <v>161.80000000000001</v>
      </c>
      <c r="H256" s="64">
        <f t="shared" si="21"/>
        <v>1.0318341662039388</v>
      </c>
      <c r="I256" s="64">
        <f t="shared" si="22"/>
        <v>-1.6294508147254008</v>
      </c>
      <c r="J256" s="64">
        <f t="shared" si="23"/>
        <v>-2.4219247928617027</v>
      </c>
      <c r="K256" s="64">
        <f t="shared" si="24"/>
        <v>-1.3443324167430595</v>
      </c>
      <c r="L256" s="64">
        <f t="shared" si="25"/>
        <v>-2.9036004645760745</v>
      </c>
      <c r="M256" s="64">
        <f t="shared" si="26"/>
        <v>-1.8320610687022902</v>
      </c>
      <c r="N256" s="64">
        <f t="shared" si="27"/>
        <v>-1.3113754193351495</v>
      </c>
    </row>
    <row r="257" spans="1:14" x14ac:dyDescent="0.3">
      <c r="A257" s="38">
        <f>SUM(Table15[[#This Row],[Cereals and products]:[Food and beverages]])/13</f>
        <v>163.90769230769232</v>
      </c>
      <c r="B257" s="38">
        <f>SUM(Table15[[#This Row],[Fuel and light]])</f>
        <v>163.1</v>
      </c>
      <c r="C257" s="38">
        <f>SUM(Table15[[#This Row],[Transport and communication]])</f>
        <v>157.69999999999999</v>
      </c>
      <c r="D257" s="38">
        <f>SUM(Table15[[#This Row],[Housing]],Table15[[#This Row],[Household goods and services]])/2</f>
        <v>161.5</v>
      </c>
      <c r="E257" s="38">
        <f>SUM(Table15[[#This Row],[Health]])</f>
        <v>171.1</v>
      </c>
      <c r="F257" s="38">
        <f>SUM(Table15[[#This Row],[Recreation and amusement]],Table15[[#This Row],[Education]])/2</f>
        <v>164.3</v>
      </c>
      <c r="G257" s="63">
        <f>SUM(Table15[[#This Row],[Miscellaneous]],Table15[[#This Row],[Personal care and effects]])/2</f>
        <v>161.80000000000001</v>
      </c>
      <c r="H257" s="64">
        <f t="shared" si="21"/>
        <v>-2.4135562170826561</v>
      </c>
      <c r="I257" s="64">
        <f t="shared" si="22"/>
        <v>6.1349693251530252E-2</v>
      </c>
      <c r="J257" s="64">
        <f t="shared" si="23"/>
        <v>3.0045721750489842</v>
      </c>
      <c r="K257" s="64">
        <f t="shared" si="24"/>
        <v>3.0969340353057526E-2</v>
      </c>
      <c r="L257" s="64">
        <f t="shared" si="25"/>
        <v>2.3325358851674678</v>
      </c>
      <c r="M257" s="64">
        <f t="shared" si="26"/>
        <v>2.2083981337480632</v>
      </c>
      <c r="N257" s="64">
        <f t="shared" si="27"/>
        <v>0</v>
      </c>
    </row>
    <row r="258" spans="1:14" x14ac:dyDescent="0.3">
      <c r="A258" s="37">
        <f>SUM(Table15[[#This Row],[Cereals and products]:[Food and beverages]])/13</f>
        <v>164.76923076923077</v>
      </c>
      <c r="B258" s="37">
        <f>SUM(Table15[[#This Row],[Fuel and light]])</f>
        <v>162.6</v>
      </c>
      <c r="C258" s="37">
        <f>SUM(Table15[[#This Row],[Transport and communication]])</f>
        <v>154</v>
      </c>
      <c r="D258" s="37">
        <f>SUM(Table15[[#This Row],[Housing]],Table15[[#This Row],[Household goods and services]])/2</f>
        <v>159.80000000000001</v>
      </c>
      <c r="E258" s="37">
        <f>SUM(Table15[[#This Row],[Health]])</f>
        <v>168.4</v>
      </c>
      <c r="F258" s="37">
        <f>SUM(Table15[[#This Row],[Recreation and amusement]],Table15[[#This Row],[Education]])/2</f>
        <v>160.69999999999999</v>
      </c>
      <c r="G258" s="62">
        <f>SUM(Table15[[#This Row],[Miscellaneous]],Table15[[#This Row],[Personal care and effects]])/2</f>
        <v>160</v>
      </c>
      <c r="H258" s="64">
        <f t="shared" si="21"/>
        <v>0.52562417871221889</v>
      </c>
      <c r="I258" s="64">
        <f t="shared" si="22"/>
        <v>-0.30656039239730226</v>
      </c>
      <c r="J258" s="64">
        <f t="shared" si="23"/>
        <v>-2.3462270133164163</v>
      </c>
      <c r="K258" s="64">
        <f t="shared" si="24"/>
        <v>-1.0526315789473615</v>
      </c>
      <c r="L258" s="64">
        <f t="shared" si="25"/>
        <v>-1.578024547048503</v>
      </c>
      <c r="M258" s="64">
        <f t="shared" si="26"/>
        <v>-2.19111381618991</v>
      </c>
      <c r="N258" s="64">
        <f t="shared" si="27"/>
        <v>-1.1124845488257178</v>
      </c>
    </row>
    <row r="259" spans="1:14" x14ac:dyDescent="0.3">
      <c r="A259" s="38">
        <f>SUM(Table15[[#This Row],[Cereals and products]:[Food and beverages]])/13</f>
        <v>165.99230769230769</v>
      </c>
      <c r="B259" s="38">
        <f>SUM(Table15[[#This Row],[Fuel and light]])</f>
        <v>160.69999999999999</v>
      </c>
      <c r="C259" s="38">
        <f>SUM(Table15[[#This Row],[Transport and communication]])</f>
        <v>150.4</v>
      </c>
      <c r="D259" s="38">
        <f>SUM(Table15[[#This Row],[Housing]],Table15[[#This Row],[Household goods and services]])/2</f>
        <v>157.64999999999998</v>
      </c>
      <c r="E259" s="38">
        <f>SUM(Table15[[#This Row],[Health]])</f>
        <v>162.80000000000001</v>
      </c>
      <c r="F259" s="38">
        <f>SUM(Table15[[#This Row],[Recreation and amusement]],Table15[[#This Row],[Education]])/2</f>
        <v>157.05000000000001</v>
      </c>
      <c r="G259" s="63">
        <f>SUM(Table15[[#This Row],[Miscellaneous]],Table15[[#This Row],[Personal care and effects]])/2</f>
        <v>157.80000000000001</v>
      </c>
      <c r="H259" s="64">
        <f t="shared" si="21"/>
        <v>0.74229691876750326</v>
      </c>
      <c r="I259" s="64">
        <f t="shared" si="22"/>
        <v>-1.1685116851168549</v>
      </c>
      <c r="J259" s="64">
        <f t="shared" si="23"/>
        <v>-2.337662337662334</v>
      </c>
      <c r="K259" s="64">
        <f t="shared" si="24"/>
        <v>-1.3454317897371928</v>
      </c>
      <c r="L259" s="64">
        <f t="shared" si="25"/>
        <v>-3.3254156769596164</v>
      </c>
      <c r="M259" s="64">
        <f t="shared" si="26"/>
        <v>-2.2713130056004838</v>
      </c>
      <c r="N259" s="64">
        <f t="shared" si="27"/>
        <v>-1.3749999999999929</v>
      </c>
    </row>
    <row r="260" spans="1:14" x14ac:dyDescent="0.3">
      <c r="A260" s="37">
        <f>SUM(Table15[[#This Row],[Cereals and products]:[Food and beverages]])/13</f>
        <v>166.78461538461536</v>
      </c>
      <c r="B260" s="37">
        <f>SUM(Table15[[#This Row],[Fuel and light]])</f>
        <v>165.6</v>
      </c>
      <c r="C260" s="37">
        <f>SUM(Table15[[#This Row],[Transport and communication]])</f>
        <v>160.1</v>
      </c>
      <c r="D260" s="37">
        <f>SUM(Table15[[#This Row],[Housing]],Table15[[#This Row],[Household goods and services]])/2</f>
        <v>163.65</v>
      </c>
      <c r="E260" s="37">
        <f>SUM(Table15[[#This Row],[Health]])</f>
        <v>174</v>
      </c>
      <c r="F260" s="37">
        <f>SUM(Table15[[#This Row],[Recreation and amusement]],Table15[[#This Row],[Education]])/2</f>
        <v>167.1</v>
      </c>
      <c r="G260" s="62">
        <f>SUM(Table15[[#This Row],[Miscellaneous]],Table15[[#This Row],[Personal care and effects]])/2</f>
        <v>164.4</v>
      </c>
      <c r="H260" s="64">
        <f t="shared" ref="H260:H323" si="28">((A260-A259)/A259* 100)</f>
        <v>0.47731590898557652</v>
      </c>
      <c r="I260" s="64">
        <f t="shared" ref="I260:I323" si="29">((B260-B259)/B259 *100)</f>
        <v>3.0491599253266997</v>
      </c>
      <c r="J260" s="64">
        <f t="shared" ref="J260:J323" si="30">((C260-C259)/C259 * 100)</f>
        <v>6.4494680851063748</v>
      </c>
      <c r="K260" s="64">
        <f t="shared" ref="K260:K323" si="31">((D260-D259)/D259 * 100)</f>
        <v>3.8058991436727112</v>
      </c>
      <c r="L260" s="64">
        <f t="shared" ref="L260:L323" si="32">((E260-E259)/E259 * 100)</f>
        <v>6.8796068796068726</v>
      </c>
      <c r="M260" s="64">
        <f t="shared" ref="M260:M323" si="33">((F260-F259)/F259 * 100)</f>
        <v>6.3992359121298827</v>
      </c>
      <c r="N260" s="64">
        <f t="shared" ref="N260:N323" si="34">((G260-G259)/G259 *100)</f>
        <v>4.1825095057034183</v>
      </c>
    </row>
    <row r="261" spans="1:14" x14ac:dyDescent="0.3">
      <c r="A261" s="38">
        <f>SUM(Table15[[#This Row],[Cereals and products]:[Food and beverages]])/13</f>
        <v>167.76153846153846</v>
      </c>
      <c r="B261" s="38">
        <f>SUM(Table15[[#This Row],[Fuel and light]])</f>
        <v>164.1</v>
      </c>
      <c r="C261" s="38">
        <f>SUM(Table15[[#This Row],[Transport and communication]])</f>
        <v>155.69999999999999</v>
      </c>
      <c r="D261" s="38">
        <f>SUM(Table15[[#This Row],[Housing]],Table15[[#This Row],[Household goods and services]])/2</f>
        <v>161.80000000000001</v>
      </c>
      <c r="E261" s="38">
        <f>SUM(Table15[[#This Row],[Health]])</f>
        <v>170.6</v>
      </c>
      <c r="F261" s="38">
        <f>SUM(Table15[[#This Row],[Recreation and amusement]],Table15[[#This Row],[Education]])/2</f>
        <v>162.5</v>
      </c>
      <c r="G261" s="63">
        <f>SUM(Table15[[#This Row],[Miscellaneous]],Table15[[#This Row],[Personal care and effects]])/2</f>
        <v>162.30000000000001</v>
      </c>
      <c r="H261" s="64">
        <f t="shared" si="28"/>
        <v>0.58573932294070208</v>
      </c>
      <c r="I261" s="64">
        <f t="shared" si="29"/>
        <v>-0.90579710144927539</v>
      </c>
      <c r="J261" s="64">
        <f t="shared" si="30"/>
        <v>-2.7482823235477865</v>
      </c>
      <c r="K261" s="64">
        <f t="shared" si="31"/>
        <v>-1.1304613504430152</v>
      </c>
      <c r="L261" s="64">
        <f t="shared" si="32"/>
        <v>-1.9540229885057503</v>
      </c>
      <c r="M261" s="64">
        <f t="shared" si="33"/>
        <v>-2.7528426092160352</v>
      </c>
      <c r="N261" s="64">
        <f t="shared" si="34"/>
        <v>-1.2773722627737192</v>
      </c>
    </row>
    <row r="262" spans="1:14" x14ac:dyDescent="0.3">
      <c r="A262" s="37">
        <f>SUM(Table15[[#This Row],[Cereals and products]:[Food and beverages]])/13</f>
        <v>169.71538461538464</v>
      </c>
      <c r="B262" s="37">
        <f>SUM(Table15[[#This Row],[Fuel and light]])</f>
        <v>161.69999999999999</v>
      </c>
      <c r="C262" s="37">
        <f>SUM(Table15[[#This Row],[Transport and communication]])</f>
        <v>151.80000000000001</v>
      </c>
      <c r="D262" s="37">
        <f>SUM(Table15[[#This Row],[Housing]],Table15[[#This Row],[Household goods and services]])/2</f>
        <v>159.69999999999999</v>
      </c>
      <c r="E262" s="37">
        <f>SUM(Table15[[#This Row],[Health]])</f>
        <v>165.1</v>
      </c>
      <c r="F262" s="37">
        <f>SUM(Table15[[#This Row],[Recreation and amusement]],Table15[[#This Row],[Education]])/2</f>
        <v>159.1</v>
      </c>
      <c r="G262" s="62">
        <f>SUM(Table15[[#This Row],[Miscellaneous]],Table15[[#This Row],[Personal care and effects]])/2</f>
        <v>160.10000000000002</v>
      </c>
      <c r="H262" s="64">
        <f t="shared" si="28"/>
        <v>1.164656793067093</v>
      </c>
      <c r="I262" s="64">
        <f t="shared" si="29"/>
        <v>-1.4625228519195648</v>
      </c>
      <c r="J262" s="64">
        <f t="shared" si="30"/>
        <v>-2.5048169556839932</v>
      </c>
      <c r="K262" s="64">
        <f t="shared" si="31"/>
        <v>-1.2978986402966766</v>
      </c>
      <c r="L262" s="64">
        <f t="shared" si="32"/>
        <v>-3.2239155920281362</v>
      </c>
      <c r="M262" s="64">
        <f t="shared" si="33"/>
        <v>-2.0923076923076955</v>
      </c>
      <c r="N262" s="64">
        <f t="shared" si="34"/>
        <v>-1.3555144793592042</v>
      </c>
    </row>
    <row r="263" spans="1:14" x14ac:dyDescent="0.3">
      <c r="A263" s="38">
        <f>SUM(Table15[[#This Row],[Cereals and products]:[Food and beverages]])/13</f>
        <v>155.7923076923077</v>
      </c>
      <c r="B263" s="38">
        <f>SUM(Table15[[#This Row],[Fuel and light]])</f>
        <v>154.4</v>
      </c>
      <c r="C263" s="38">
        <f>SUM(Table15[[#This Row],[Transport and communication]])</f>
        <v>150.19999999999999</v>
      </c>
      <c r="D263" s="38">
        <f>SUM(Table15[[#This Row],[Housing]],Table15[[#This Row],[Household goods and services]])/2</f>
        <v>157.30000000000001</v>
      </c>
      <c r="E263" s="38">
        <f>SUM(Table15[[#This Row],[Health]])</f>
        <v>164.3</v>
      </c>
      <c r="F263" s="38">
        <f>SUM(Table15[[#This Row],[Recreation and amusement]],Table15[[#This Row],[Education]])/2</f>
        <v>160.30000000000001</v>
      </c>
      <c r="G263" s="63">
        <f>SUM(Table15[[#This Row],[Miscellaneous]],Table15[[#This Row],[Personal care and effects]])/2</f>
        <v>156.19999999999999</v>
      </c>
      <c r="H263" s="64">
        <f t="shared" si="28"/>
        <v>-8.2037800843040429</v>
      </c>
      <c r="I263" s="64">
        <f t="shared" si="29"/>
        <v>-4.5145330859616468</v>
      </c>
      <c r="J263" s="64">
        <f t="shared" si="30"/>
        <v>-1.0540184453228081</v>
      </c>
      <c r="K263" s="64">
        <f t="shared" si="31"/>
        <v>-1.5028177833437553</v>
      </c>
      <c r="L263" s="64">
        <f t="shared" si="32"/>
        <v>-0.48455481526346633</v>
      </c>
      <c r="M263" s="64">
        <f t="shared" si="33"/>
        <v>0.75424261470774179</v>
      </c>
      <c r="N263" s="64">
        <f t="shared" si="34"/>
        <v>-2.4359775140537372</v>
      </c>
    </row>
    <row r="264" spans="1:14" x14ac:dyDescent="0.3">
      <c r="A264" s="37">
        <f>SUM(Table15[[#This Row],[Cereals and products]:[Food and beverages]])/13</f>
        <v>156.8692307692308</v>
      </c>
      <c r="B264" s="37">
        <f>SUM(Table15[[#This Row],[Fuel and light]])</f>
        <v>152.4</v>
      </c>
      <c r="C264" s="37">
        <f>SUM(Table15[[#This Row],[Transport and communication]])</f>
        <v>145.1</v>
      </c>
      <c r="D264" s="37">
        <f>SUM(Table15[[#This Row],[Housing]],Table15[[#This Row],[Household goods and services]])/2</f>
        <v>155.35000000000002</v>
      </c>
      <c r="E264" s="37">
        <f>SUM(Table15[[#This Row],[Health]])</f>
        <v>161.30000000000001</v>
      </c>
      <c r="F264" s="37">
        <f>SUM(Table15[[#This Row],[Recreation and amusement]],Table15[[#This Row],[Education]])/2</f>
        <v>155.5</v>
      </c>
      <c r="G264" s="62">
        <f>SUM(Table15[[#This Row],[Miscellaneous]],Table15[[#This Row],[Personal care and effects]])/2</f>
        <v>154.60000000000002</v>
      </c>
      <c r="H264" s="64">
        <f t="shared" si="28"/>
        <v>0.69125561645189482</v>
      </c>
      <c r="I264" s="64">
        <f t="shared" si="29"/>
        <v>-1.2953367875647668</v>
      </c>
      <c r="J264" s="64">
        <f t="shared" si="30"/>
        <v>-3.3954727030625795</v>
      </c>
      <c r="K264" s="64">
        <f t="shared" si="31"/>
        <v>-1.2396694214875961</v>
      </c>
      <c r="L264" s="64">
        <f t="shared" si="32"/>
        <v>-1.825928180158247</v>
      </c>
      <c r="M264" s="64">
        <f t="shared" si="33"/>
        <v>-2.9943855271366258</v>
      </c>
      <c r="N264" s="64">
        <f t="shared" si="34"/>
        <v>-1.0243277848911434</v>
      </c>
    </row>
    <row r="265" spans="1:14" x14ac:dyDescent="0.3">
      <c r="A265" s="38">
        <f>SUM(Table15[[#This Row],[Cereals and products]:[Food and beverages]])/13</f>
        <v>158.92307692307693</v>
      </c>
      <c r="B265" s="38">
        <f>SUM(Table15[[#This Row],[Fuel and light]])</f>
        <v>149.1</v>
      </c>
      <c r="C265" s="38">
        <f>SUM(Table15[[#This Row],[Transport and communication]])</f>
        <v>140.5</v>
      </c>
      <c r="D265" s="38">
        <f>SUM(Table15[[#This Row],[Housing]],Table15[[#This Row],[Household goods and services]])/2</f>
        <v>153.15</v>
      </c>
      <c r="E265" s="38">
        <f>SUM(Table15[[#This Row],[Health]])</f>
        <v>156.30000000000001</v>
      </c>
      <c r="F265" s="38">
        <f>SUM(Table15[[#This Row],[Recreation and amusement]],Table15[[#This Row],[Education]])/2</f>
        <v>151.94999999999999</v>
      </c>
      <c r="G265" s="63">
        <f>SUM(Table15[[#This Row],[Miscellaneous]],Table15[[#This Row],[Personal care and effects]])/2</f>
        <v>153</v>
      </c>
      <c r="H265" s="64">
        <f t="shared" si="28"/>
        <v>1.3092727896827239</v>
      </c>
      <c r="I265" s="64">
        <f t="shared" si="29"/>
        <v>-2.1653543307086687</v>
      </c>
      <c r="J265" s="64">
        <f t="shared" si="30"/>
        <v>-3.1702274293590591</v>
      </c>
      <c r="K265" s="64">
        <f t="shared" si="31"/>
        <v>-1.4161570646926402</v>
      </c>
      <c r="L265" s="64">
        <f t="shared" si="32"/>
        <v>-3.0998140111593302</v>
      </c>
      <c r="M265" s="64">
        <f t="shared" si="33"/>
        <v>-2.2829581993569206</v>
      </c>
      <c r="N265" s="64">
        <f t="shared" si="34"/>
        <v>-1.0349288486416703</v>
      </c>
    </row>
    <row r="266" spans="1:14" x14ac:dyDescent="0.3">
      <c r="A266" s="37">
        <f>SUM(Table15[[#This Row],[Cereals and products]:[Food and beverages]])/13</f>
        <v>132.91538461538462</v>
      </c>
      <c r="B266" s="37">
        <f>SUM(Table15[[#This Row],[Fuel and light]])</f>
        <v>127.3</v>
      </c>
      <c r="C266" s="37">
        <f>SUM(Table15[[#This Row],[Transport and communication]])</f>
        <v>117.4</v>
      </c>
      <c r="D266" s="37">
        <f>SUM(Table15[[#This Row],[Housing]],Table15[[#This Row],[Household goods and services]])/2</f>
        <v>135.60000000000002</v>
      </c>
      <c r="E266" s="37">
        <f>SUM(Table15[[#This Row],[Health]])</f>
        <v>129.80000000000001</v>
      </c>
      <c r="F266" s="37">
        <f>SUM(Table15[[#This Row],[Recreation and amusement]],Table15[[#This Row],[Education]])/2</f>
        <v>131.85</v>
      </c>
      <c r="G266" s="62">
        <f>SUM(Table15[[#This Row],[Miscellaneous]],Table15[[#This Row],[Personal care and effects]])/2</f>
        <v>126.35</v>
      </c>
      <c r="H266" s="64">
        <f t="shared" si="28"/>
        <v>-16.364956437560505</v>
      </c>
      <c r="I266" s="64">
        <f t="shared" si="29"/>
        <v>-14.621059691482225</v>
      </c>
      <c r="J266" s="64">
        <f t="shared" si="30"/>
        <v>-16.441281138790032</v>
      </c>
      <c r="K266" s="64">
        <f t="shared" si="31"/>
        <v>-11.459353574926531</v>
      </c>
      <c r="L266" s="64">
        <f t="shared" si="32"/>
        <v>-16.954574536148431</v>
      </c>
      <c r="M266" s="64">
        <f t="shared" si="33"/>
        <v>-13.228035538005919</v>
      </c>
      <c r="N266" s="64">
        <f t="shared" si="34"/>
        <v>-17.418300653594777</v>
      </c>
    </row>
    <row r="267" spans="1:14" x14ac:dyDescent="0.3">
      <c r="A267" s="38">
        <f>SUM(Table15[[#This Row],[Cereals and products]:[Food and beverages]])/13</f>
        <v>135.4153846153846</v>
      </c>
      <c r="B267" s="38">
        <f>SUM(Table15[[#This Row],[Fuel and light]])</f>
        <v>136.69999999999999</v>
      </c>
      <c r="C267" s="38">
        <f>SUM(Table15[[#This Row],[Transport and communication]])</f>
        <v>120.2</v>
      </c>
      <c r="D267" s="38">
        <f>SUM(Table15[[#This Row],[Housing]],Table15[[#This Row],[Household goods and services]])/2</f>
        <v>138.25</v>
      </c>
      <c r="E267" s="38">
        <f>SUM(Table15[[#This Row],[Health]])</f>
        <v>133.80000000000001</v>
      </c>
      <c r="F267" s="38">
        <f>SUM(Table15[[#This Row],[Recreation and amusement]],Table15[[#This Row],[Education]])/2</f>
        <v>134.44999999999999</v>
      </c>
      <c r="G267" s="63">
        <f>SUM(Table15[[#This Row],[Miscellaneous]],Table15[[#This Row],[Personal care and effects]])/2</f>
        <v>128.65</v>
      </c>
      <c r="H267" s="64">
        <f t="shared" si="28"/>
        <v>1.8808958851785189</v>
      </c>
      <c r="I267" s="64">
        <f t="shared" si="29"/>
        <v>7.3841319717203397</v>
      </c>
      <c r="J267" s="64">
        <f t="shared" si="30"/>
        <v>2.3850085178875613</v>
      </c>
      <c r="K267" s="64">
        <f t="shared" si="31"/>
        <v>1.9542772861356761</v>
      </c>
      <c r="L267" s="64">
        <f t="shared" si="32"/>
        <v>3.0816640986132509</v>
      </c>
      <c r="M267" s="64">
        <f t="shared" si="33"/>
        <v>1.9719378081152781</v>
      </c>
      <c r="N267" s="64">
        <f t="shared" si="34"/>
        <v>1.8203403244954581</v>
      </c>
    </row>
    <row r="268" spans="1:14" x14ac:dyDescent="0.3">
      <c r="A268" s="37">
        <f>SUM(Table15[[#This Row],[Cereals and products]:[Food and beverages]])/13</f>
        <v>137.03846153846155</v>
      </c>
      <c r="B268" s="37">
        <f>SUM(Table15[[#This Row],[Fuel and light]])</f>
        <v>142.4</v>
      </c>
      <c r="C268" s="37">
        <f>SUM(Table15[[#This Row],[Transport and communication]])</f>
        <v>123.3</v>
      </c>
      <c r="D268" s="37">
        <f>SUM(Table15[[#This Row],[Housing]],Table15[[#This Row],[Household goods and services]])/2</f>
        <v>140.60000000000002</v>
      </c>
      <c r="E268" s="37">
        <f>SUM(Table15[[#This Row],[Health]])</f>
        <v>136.19999999999999</v>
      </c>
      <c r="F268" s="37">
        <f>SUM(Table15[[#This Row],[Recreation and amusement]],Table15[[#This Row],[Education]])/2</f>
        <v>137.9</v>
      </c>
      <c r="G268" s="62">
        <f>SUM(Table15[[#This Row],[Miscellaneous]],Table15[[#This Row],[Personal care and effects]])/2</f>
        <v>130.65</v>
      </c>
      <c r="H268" s="64">
        <f t="shared" si="28"/>
        <v>1.1985912292660967</v>
      </c>
      <c r="I268" s="64">
        <f t="shared" si="29"/>
        <v>4.1697147037308104</v>
      </c>
      <c r="J268" s="64">
        <f t="shared" si="30"/>
        <v>2.5790349417637226</v>
      </c>
      <c r="K268" s="64">
        <f t="shared" si="31"/>
        <v>1.699819168173615</v>
      </c>
      <c r="L268" s="64">
        <f t="shared" si="32"/>
        <v>1.7937219730941534</v>
      </c>
      <c r="M268" s="64">
        <f t="shared" si="33"/>
        <v>2.566009669021954</v>
      </c>
      <c r="N268" s="64">
        <f t="shared" si="34"/>
        <v>1.5546055188495917</v>
      </c>
    </row>
    <row r="269" spans="1:14" x14ac:dyDescent="0.3">
      <c r="A269" s="38">
        <f>SUM(Table15[[#This Row],[Cereals and products]:[Food and beverages]])/13</f>
        <v>131.17692307692309</v>
      </c>
      <c r="B269" s="38">
        <f>SUM(Table15[[#This Row],[Fuel and light]])</f>
        <v>119.2</v>
      </c>
      <c r="C269" s="38">
        <f>SUM(Table15[[#This Row],[Transport and communication]])</f>
        <v>115.5</v>
      </c>
      <c r="D269" s="38">
        <f>SUM(Table15[[#This Row],[Housing]],Table15[[#This Row],[Household goods and services]])/2</f>
        <v>127.9</v>
      </c>
      <c r="E269" s="38">
        <f>SUM(Table15[[#This Row],[Health]])</f>
        <v>122.9</v>
      </c>
      <c r="F269" s="38">
        <f>SUM(Table15[[#This Row],[Recreation and amusement]],Table15[[#This Row],[Education]])/2</f>
        <v>127.30000000000001</v>
      </c>
      <c r="G269" s="63">
        <f>SUM(Table15[[#This Row],[Miscellaneous]],Table15[[#This Row],[Personal care and effects]])/2</f>
        <v>122.05000000000001</v>
      </c>
      <c r="H269" s="64">
        <f t="shared" si="28"/>
        <v>-4.2772944148189707</v>
      </c>
      <c r="I269" s="64">
        <f t="shared" si="29"/>
        <v>-16.292134831460675</v>
      </c>
      <c r="J269" s="64">
        <f t="shared" si="30"/>
        <v>-6.3260340632603382</v>
      </c>
      <c r="K269" s="64">
        <f t="shared" si="31"/>
        <v>-9.0327169274537802</v>
      </c>
      <c r="L269" s="64">
        <f t="shared" si="32"/>
        <v>-9.7650513950073314</v>
      </c>
      <c r="M269" s="64">
        <f t="shared" si="33"/>
        <v>-7.6867295141406782</v>
      </c>
      <c r="N269" s="64">
        <f t="shared" si="34"/>
        <v>-6.5824722541140401</v>
      </c>
    </row>
    <row r="270" spans="1:14" x14ac:dyDescent="0.3">
      <c r="A270" s="37">
        <f>SUM(Table15[[#This Row],[Cereals and products]:[Food and beverages]])/13</f>
        <v>132.48461538461541</v>
      </c>
      <c r="B270" s="37">
        <f>SUM(Table15[[#This Row],[Fuel and light]])</f>
        <v>127.9</v>
      </c>
      <c r="C270" s="37">
        <f>SUM(Table15[[#This Row],[Transport and communication]])</f>
        <v>117.4</v>
      </c>
      <c r="D270" s="37">
        <f>SUM(Table15[[#This Row],[Housing]],Table15[[#This Row],[Household goods and services]])/2</f>
        <v>130.1</v>
      </c>
      <c r="E270" s="37">
        <f>SUM(Table15[[#This Row],[Health]])</f>
        <v>127.4</v>
      </c>
      <c r="F270" s="37">
        <f>SUM(Table15[[#This Row],[Recreation and amusement]],Table15[[#This Row],[Education]])/2</f>
        <v>129</v>
      </c>
      <c r="G270" s="62">
        <f>SUM(Table15[[#This Row],[Miscellaneous]],Table15[[#This Row],[Personal care and effects]])/2</f>
        <v>123.69999999999999</v>
      </c>
      <c r="H270" s="64">
        <f t="shared" si="28"/>
        <v>0.99689204245588281</v>
      </c>
      <c r="I270" s="64">
        <f t="shared" si="29"/>
        <v>7.2986577181208077</v>
      </c>
      <c r="J270" s="64">
        <f t="shared" si="30"/>
        <v>1.6450216450216499</v>
      </c>
      <c r="K270" s="64">
        <f t="shared" si="31"/>
        <v>1.7200938232994438</v>
      </c>
      <c r="L270" s="64">
        <f t="shared" si="32"/>
        <v>3.6615134255492268</v>
      </c>
      <c r="M270" s="64">
        <f t="shared" si="33"/>
        <v>1.3354281225451599</v>
      </c>
      <c r="N270" s="64">
        <f t="shared" si="34"/>
        <v>1.3519049569848234</v>
      </c>
    </row>
    <row r="271" spans="1:14" x14ac:dyDescent="0.3">
      <c r="A271" s="38">
        <f>SUM(Table15[[#This Row],[Cereals and products]:[Food and beverages]])/13</f>
        <v>133.42307692307693</v>
      </c>
      <c r="B271" s="38">
        <f>SUM(Table15[[#This Row],[Fuel and light]])</f>
        <v>133.19999999999999</v>
      </c>
      <c r="C271" s="38">
        <f>SUM(Table15[[#This Row],[Transport and communication]])</f>
        <v>119.5</v>
      </c>
      <c r="D271" s="38">
        <f>SUM(Table15[[#This Row],[Housing]],Table15[[#This Row],[Household goods and services]])/2</f>
        <v>132.05000000000001</v>
      </c>
      <c r="E271" s="38">
        <f>SUM(Table15[[#This Row],[Health]])</f>
        <v>130.1</v>
      </c>
      <c r="F271" s="38">
        <f>SUM(Table15[[#This Row],[Recreation and amusement]],Table15[[#This Row],[Education]])/2</f>
        <v>131.30000000000001</v>
      </c>
      <c r="G271" s="63">
        <f>SUM(Table15[[#This Row],[Miscellaneous]],Table15[[#This Row],[Personal care and effects]])/2</f>
        <v>125.1</v>
      </c>
      <c r="H271" s="64">
        <f t="shared" si="28"/>
        <v>0.70835510654356482</v>
      </c>
      <c r="I271" s="64">
        <f t="shared" si="29"/>
        <v>4.1438623924941229</v>
      </c>
      <c r="J271" s="64">
        <f t="shared" si="30"/>
        <v>1.7887563884156681</v>
      </c>
      <c r="K271" s="64">
        <f t="shared" si="31"/>
        <v>1.4988470407379071</v>
      </c>
      <c r="L271" s="64">
        <f t="shared" si="32"/>
        <v>2.119309262166396</v>
      </c>
      <c r="M271" s="64">
        <f t="shared" si="33"/>
        <v>1.7829457364341172</v>
      </c>
      <c r="N271" s="64">
        <f t="shared" si="34"/>
        <v>1.1317704122877978</v>
      </c>
    </row>
    <row r="272" spans="1:14" x14ac:dyDescent="0.3">
      <c r="A272" s="37">
        <f>SUM(Table15[[#This Row],[Cereals and products]:[Food and beverages]])/13</f>
        <v>128.93076923076922</v>
      </c>
      <c r="B272" s="37">
        <f>SUM(Table15[[#This Row],[Fuel and light]])</f>
        <v>116</v>
      </c>
      <c r="C272" s="37">
        <f>SUM(Table15[[#This Row],[Transport and communication]])</f>
        <v>109.1</v>
      </c>
      <c r="D272" s="37">
        <f>SUM(Table15[[#This Row],[Housing]],Table15[[#This Row],[Household goods and services]])/2</f>
        <v>123.1</v>
      </c>
      <c r="E272" s="37">
        <f>SUM(Table15[[#This Row],[Health]])</f>
        <v>119.5</v>
      </c>
      <c r="F272" s="37">
        <f>SUM(Table15[[#This Row],[Recreation and amusement]],Table15[[#This Row],[Education]])/2</f>
        <v>122.55</v>
      </c>
      <c r="G272" s="62">
        <f>SUM(Table15[[#This Row],[Miscellaneous]],Table15[[#This Row],[Personal care and effects]])/2</f>
        <v>116.7</v>
      </c>
      <c r="H272" s="64">
        <f t="shared" si="28"/>
        <v>-3.3669645430960129</v>
      </c>
      <c r="I272" s="64">
        <f t="shared" si="29"/>
        <v>-12.912912912912905</v>
      </c>
      <c r="J272" s="64">
        <f t="shared" si="30"/>
        <v>-8.702928870292892</v>
      </c>
      <c r="K272" s="64">
        <f t="shared" si="31"/>
        <v>-6.7777357061719172</v>
      </c>
      <c r="L272" s="64">
        <f t="shared" si="32"/>
        <v>-8.1475787855495732</v>
      </c>
      <c r="M272" s="64">
        <f t="shared" si="33"/>
        <v>-6.6641279512566749</v>
      </c>
      <c r="N272" s="64">
        <f t="shared" si="34"/>
        <v>-6.7146282973621032</v>
      </c>
    </row>
    <row r="273" spans="1:14" x14ac:dyDescent="0.3">
      <c r="A273" s="38">
        <f>SUM(Table15[[#This Row],[Cereals and products]:[Food and beverages]])/13</f>
        <v>129.08461538461538</v>
      </c>
      <c r="B273" s="38">
        <f>SUM(Table15[[#This Row],[Fuel and light]])</f>
        <v>123.1</v>
      </c>
      <c r="C273" s="38">
        <f>SUM(Table15[[#This Row],[Transport and communication]])</f>
        <v>111.4</v>
      </c>
      <c r="D273" s="38">
        <f>SUM(Table15[[#This Row],[Housing]],Table15[[#This Row],[Household goods and services]])/2</f>
        <v>124.5</v>
      </c>
      <c r="E273" s="38">
        <f>SUM(Table15[[#This Row],[Health]])</f>
        <v>122.5</v>
      </c>
      <c r="F273" s="38">
        <f>SUM(Table15[[#This Row],[Recreation and amusement]],Table15[[#This Row],[Education]])/2</f>
        <v>123.44999999999999</v>
      </c>
      <c r="G273" s="63">
        <f>SUM(Table15[[#This Row],[Miscellaneous]],Table15[[#This Row],[Personal care and effects]])/2</f>
        <v>117.85</v>
      </c>
      <c r="H273" s="64">
        <f t="shared" si="28"/>
        <v>0.119324622635886</v>
      </c>
      <c r="I273" s="64">
        <f t="shared" si="29"/>
        <v>6.1206896551724084</v>
      </c>
      <c r="J273" s="64">
        <f t="shared" si="30"/>
        <v>2.1081576535288833</v>
      </c>
      <c r="K273" s="64">
        <f t="shared" si="31"/>
        <v>1.1372867587327422</v>
      </c>
      <c r="L273" s="64">
        <f t="shared" si="32"/>
        <v>2.510460251046025</v>
      </c>
      <c r="M273" s="64">
        <f t="shared" si="33"/>
        <v>0.73439412484699429</v>
      </c>
      <c r="N273" s="64">
        <f t="shared" si="34"/>
        <v>0.9854327335047055</v>
      </c>
    </row>
    <row r="274" spans="1:14" x14ac:dyDescent="0.3">
      <c r="A274" s="37">
        <f>SUM(Table15[[#This Row],[Cereals and products]:[Food and beverages]])/13</f>
        <v>129.43076923076922</v>
      </c>
      <c r="B274" s="37">
        <f>SUM(Table15[[#This Row],[Fuel and light]])</f>
        <v>127.5</v>
      </c>
      <c r="C274" s="37">
        <f>SUM(Table15[[#This Row],[Transport and communication]])</f>
        <v>113.9</v>
      </c>
      <c r="D274" s="37">
        <f>SUM(Table15[[#This Row],[Housing]],Table15[[#This Row],[Household goods and services]])/2</f>
        <v>125.75</v>
      </c>
      <c r="E274" s="37">
        <f>SUM(Table15[[#This Row],[Health]])</f>
        <v>124.3</v>
      </c>
      <c r="F274" s="37">
        <f>SUM(Table15[[#This Row],[Recreation and amusement]],Table15[[#This Row],[Education]])/2</f>
        <v>124.69999999999999</v>
      </c>
      <c r="G274" s="62">
        <f>SUM(Table15[[#This Row],[Miscellaneous]],Table15[[#This Row],[Personal care and effects]])/2</f>
        <v>118.85</v>
      </c>
      <c r="H274" s="64">
        <f t="shared" si="28"/>
        <v>0.26816041952207348</v>
      </c>
      <c r="I274" s="64">
        <f t="shared" si="29"/>
        <v>3.5743298131600376</v>
      </c>
      <c r="J274" s="64">
        <f t="shared" si="30"/>
        <v>2.2441651705565531</v>
      </c>
      <c r="K274" s="64">
        <f t="shared" si="31"/>
        <v>1.0040160642570282</v>
      </c>
      <c r="L274" s="64">
        <f t="shared" si="32"/>
        <v>1.4693877551020385</v>
      </c>
      <c r="M274" s="64">
        <f t="shared" si="33"/>
        <v>1.0125556905629809</v>
      </c>
      <c r="N274" s="64">
        <f t="shared" si="34"/>
        <v>0.84853627492575312</v>
      </c>
    </row>
    <row r="275" spans="1:14" x14ac:dyDescent="0.3">
      <c r="A275" s="38">
        <f>SUM(Table15[[#This Row],[Cereals and products]:[Food and beverages]])/13</f>
        <v>120.81538461538459</v>
      </c>
      <c r="B275" s="38">
        <f>SUM(Table15[[#This Row],[Fuel and light]])</f>
        <v>120</v>
      </c>
      <c r="C275" s="38">
        <f>SUM(Table15[[#This Row],[Transport and communication]])</f>
        <v>110.9</v>
      </c>
      <c r="D275" s="38">
        <f>SUM(Table15[[#This Row],[Housing]],Table15[[#This Row],[Household goods and services]])/2</f>
        <v>118.85</v>
      </c>
      <c r="E275" s="38">
        <f>SUM(Table15[[#This Row],[Health]])</f>
        <v>117.7</v>
      </c>
      <c r="F275" s="38">
        <f>SUM(Table15[[#This Row],[Recreation and amusement]],Table15[[#This Row],[Education]])/2</f>
        <v>116.75</v>
      </c>
      <c r="G275" s="63">
        <f>SUM(Table15[[#This Row],[Miscellaneous]],Table15[[#This Row],[Personal care and effects]])/2</f>
        <v>112.9</v>
      </c>
      <c r="H275" s="64">
        <f t="shared" si="28"/>
        <v>-6.656365149173908</v>
      </c>
      <c r="I275" s="64">
        <f t="shared" si="29"/>
        <v>-5.8823529411764701</v>
      </c>
      <c r="J275" s="64">
        <f t="shared" si="30"/>
        <v>-2.6338893766461804</v>
      </c>
      <c r="K275" s="64">
        <f t="shared" si="31"/>
        <v>-5.4870775347912568</v>
      </c>
      <c r="L275" s="64">
        <f t="shared" si="32"/>
        <v>-5.3097345132743321</v>
      </c>
      <c r="M275" s="64">
        <f t="shared" si="33"/>
        <v>-6.375300721732148</v>
      </c>
      <c r="N275" s="64">
        <f t="shared" si="34"/>
        <v>-5.0063104753891361</v>
      </c>
    </row>
    <row r="276" spans="1:14" x14ac:dyDescent="0.3">
      <c r="A276" s="37">
        <f>SUM(Table15[[#This Row],[Cereals and products]:[Food and beverages]])/13</f>
        <v>120.72307692307689</v>
      </c>
      <c r="B276" s="37">
        <f>SUM(Table15[[#This Row],[Fuel and light]])</f>
        <v>117.7</v>
      </c>
      <c r="C276" s="37">
        <f>SUM(Table15[[#This Row],[Transport and communication]])</f>
        <v>108.7</v>
      </c>
      <c r="D276" s="37">
        <f>SUM(Table15[[#This Row],[Housing]],Table15[[#This Row],[Household goods and services]])/2</f>
        <v>118.4</v>
      </c>
      <c r="E276" s="37">
        <f>SUM(Table15[[#This Row],[Health]])</f>
        <v>116.3</v>
      </c>
      <c r="F276" s="37">
        <f>SUM(Table15[[#This Row],[Recreation and amusement]],Table15[[#This Row],[Education]])/2</f>
        <v>117.30000000000001</v>
      </c>
      <c r="G276" s="62">
        <f>SUM(Table15[[#This Row],[Miscellaneous]],Table15[[#This Row],[Personal care and effects]])/2</f>
        <v>112.65</v>
      </c>
      <c r="H276" s="64">
        <f t="shared" si="28"/>
        <v>-7.6403922068005115E-2</v>
      </c>
      <c r="I276" s="64">
        <f t="shared" si="29"/>
        <v>-1.9166666666666645</v>
      </c>
      <c r="J276" s="64">
        <f t="shared" si="30"/>
        <v>-1.983769161406675</v>
      </c>
      <c r="K276" s="64">
        <f t="shared" si="31"/>
        <v>-0.37862852334874941</v>
      </c>
      <c r="L276" s="64">
        <f t="shared" si="32"/>
        <v>-1.1894647408666148</v>
      </c>
      <c r="M276" s="64">
        <f t="shared" si="33"/>
        <v>0.47109207708780415</v>
      </c>
      <c r="N276" s="64">
        <f t="shared" si="34"/>
        <v>-0.22143489813994682</v>
      </c>
    </row>
    <row r="277" spans="1:14" x14ac:dyDescent="0.3">
      <c r="A277" s="38">
        <f>SUM(Table15[[#This Row],[Cereals and products]:[Food and beverages]])/13</f>
        <v>120.85384615384616</v>
      </c>
      <c r="B277" s="38">
        <f>SUM(Table15[[#This Row],[Fuel and light]])</f>
        <v>114</v>
      </c>
      <c r="C277" s="38">
        <f>SUM(Table15[[#This Row],[Transport and communication]])</f>
        <v>106.8</v>
      </c>
      <c r="D277" s="38">
        <f>SUM(Table15[[#This Row],[Housing]],Table15[[#This Row],[Household goods and services]])/2</f>
        <v>117.9</v>
      </c>
      <c r="E277" s="38">
        <f>SUM(Table15[[#This Row],[Health]])</f>
        <v>114.1</v>
      </c>
      <c r="F277" s="38">
        <f>SUM(Table15[[#This Row],[Recreation and amusement]],Table15[[#This Row],[Education]])/2</f>
        <v>117.65</v>
      </c>
      <c r="G277" s="63">
        <f>SUM(Table15[[#This Row],[Miscellaneous]],Table15[[#This Row],[Personal care and effects]])/2</f>
        <v>112.45</v>
      </c>
      <c r="H277" s="64">
        <f t="shared" si="28"/>
        <v>0.10832165158663003</v>
      </c>
      <c r="I277" s="64">
        <f t="shared" si="29"/>
        <v>-3.143585386576043</v>
      </c>
      <c r="J277" s="64">
        <f t="shared" si="30"/>
        <v>-1.7479300827966935</v>
      </c>
      <c r="K277" s="64">
        <f t="shared" si="31"/>
        <v>-0.42229729729729726</v>
      </c>
      <c r="L277" s="64">
        <f t="shared" si="32"/>
        <v>-1.8916595012897701</v>
      </c>
      <c r="M277" s="64">
        <f t="shared" si="33"/>
        <v>0.29838022165387407</v>
      </c>
      <c r="N277" s="64">
        <f t="shared" si="34"/>
        <v>-0.17754105636928791</v>
      </c>
    </row>
    <row r="278" spans="1:14" x14ac:dyDescent="0.3">
      <c r="A278" s="37">
        <f>SUM(Table15[[#This Row],[Cereals and products]:[Food and beverages]])/13</f>
        <v>114.01538461538462</v>
      </c>
      <c r="B278" s="37">
        <f>SUM(Table15[[#This Row],[Fuel and light]])</f>
        <v>113.2</v>
      </c>
      <c r="C278" s="37">
        <f>SUM(Table15[[#This Row],[Transport and communication]])</f>
        <v>110.8</v>
      </c>
      <c r="D278" s="37">
        <f>SUM(Table15[[#This Row],[Housing]],Table15[[#This Row],[Household goods and services]])/2</f>
        <v>112.7</v>
      </c>
      <c r="E278" s="37">
        <f>SUM(Table15[[#This Row],[Health]])</f>
        <v>110.9</v>
      </c>
      <c r="F278" s="37">
        <f>SUM(Table15[[#This Row],[Recreation and amusement]],Table15[[#This Row],[Education]])/2</f>
        <v>110.95</v>
      </c>
      <c r="G278" s="62">
        <f>SUM(Table15[[#This Row],[Miscellaneous]],Table15[[#This Row],[Personal care and effects]])/2</f>
        <v>109.80000000000001</v>
      </c>
      <c r="H278" s="64">
        <f t="shared" si="28"/>
        <v>-5.6584558589523306</v>
      </c>
      <c r="I278" s="64">
        <f t="shared" si="29"/>
        <v>-0.7017543859649098</v>
      </c>
      <c r="J278" s="64">
        <f t="shared" si="30"/>
        <v>3.7453183520599254</v>
      </c>
      <c r="K278" s="64">
        <f t="shared" si="31"/>
        <v>-4.4105173876166264</v>
      </c>
      <c r="L278" s="64">
        <f t="shared" si="32"/>
        <v>-2.8045574057843896</v>
      </c>
      <c r="M278" s="64">
        <f t="shared" si="33"/>
        <v>-5.694857628559288</v>
      </c>
      <c r="N278" s="64">
        <f t="shared" si="34"/>
        <v>-2.3566029346376092</v>
      </c>
    </row>
    <row r="279" spans="1:14" x14ac:dyDescent="0.3">
      <c r="A279" s="38">
        <f>SUM(Table15[[#This Row],[Cereals and products]:[Food and beverages]])/13</f>
        <v>113.85384615384615</v>
      </c>
      <c r="B279" s="38">
        <f>SUM(Table15[[#This Row],[Fuel and light]])</f>
        <v>112.4</v>
      </c>
      <c r="C279" s="38">
        <f>SUM(Table15[[#This Row],[Transport and communication]])</f>
        <v>111.1</v>
      </c>
      <c r="D279" s="38">
        <f>SUM(Table15[[#This Row],[Housing]],Table15[[#This Row],[Household goods and services]])/2</f>
        <v>112.65</v>
      </c>
      <c r="E279" s="38">
        <f>SUM(Table15[[#This Row],[Health]])</f>
        <v>110.7</v>
      </c>
      <c r="F279" s="38">
        <f>SUM(Table15[[#This Row],[Recreation and amusement]],Table15[[#This Row],[Education]])/2</f>
        <v>110.94999999999999</v>
      </c>
      <c r="G279" s="63">
        <f>SUM(Table15[[#This Row],[Miscellaneous]],Table15[[#This Row],[Personal care and effects]])/2</f>
        <v>109.80000000000001</v>
      </c>
      <c r="H279" s="64">
        <f t="shared" si="28"/>
        <v>-0.14168128457698745</v>
      </c>
      <c r="I279" s="64">
        <f t="shared" si="29"/>
        <v>-0.70671378091872539</v>
      </c>
      <c r="J279" s="64">
        <f t="shared" si="30"/>
        <v>0.27075812274367972</v>
      </c>
      <c r="K279" s="64">
        <f t="shared" si="31"/>
        <v>-4.4365572315880349E-2</v>
      </c>
      <c r="L279" s="64">
        <f t="shared" si="32"/>
        <v>-0.18034265103697281</v>
      </c>
      <c r="M279" s="64">
        <f t="shared" si="33"/>
        <v>-1.2808341338622807E-14</v>
      </c>
      <c r="N279" s="64">
        <f t="shared" si="34"/>
        <v>0</v>
      </c>
    </row>
    <row r="280" spans="1:14" x14ac:dyDescent="0.3">
      <c r="A280" s="37">
        <f>SUM(Table15[[#This Row],[Cereals and products]:[Food and beverages]])/13</f>
        <v>113.53846153846153</v>
      </c>
      <c r="B280" s="37">
        <f>SUM(Table15[[#This Row],[Fuel and light]])</f>
        <v>111.1</v>
      </c>
      <c r="C280" s="37">
        <f>SUM(Table15[[#This Row],[Transport and communication]])</f>
        <v>111.3</v>
      </c>
      <c r="D280" s="37">
        <f>SUM(Table15[[#This Row],[Housing]],Table15[[#This Row],[Household goods and services]])/2</f>
        <v>112.55</v>
      </c>
      <c r="E280" s="37">
        <f>SUM(Table15[[#This Row],[Health]])</f>
        <v>110.4</v>
      </c>
      <c r="F280" s="37">
        <f>SUM(Table15[[#This Row],[Recreation and amusement]],Table15[[#This Row],[Education]])/2</f>
        <v>110.94999999999999</v>
      </c>
      <c r="G280" s="62">
        <f>SUM(Table15[[#This Row],[Miscellaneous]],Table15[[#This Row],[Personal care and effects]])/2</f>
        <v>109.85</v>
      </c>
      <c r="H280" s="64">
        <f t="shared" si="28"/>
        <v>-0.27700831024930811</v>
      </c>
      <c r="I280" s="64">
        <f t="shared" si="29"/>
        <v>-1.1565836298932484</v>
      </c>
      <c r="J280" s="64">
        <f t="shared" si="30"/>
        <v>0.1800180018001826</v>
      </c>
      <c r="K280" s="64">
        <f t="shared" si="31"/>
        <v>-8.8770528184650269E-2</v>
      </c>
      <c r="L280" s="64">
        <f t="shared" si="32"/>
        <v>-0.27100271002709769</v>
      </c>
      <c r="M280" s="64">
        <f t="shared" si="33"/>
        <v>0</v>
      </c>
      <c r="N280" s="64">
        <f t="shared" si="34"/>
        <v>4.5537340619292294E-2</v>
      </c>
    </row>
    <row r="281" spans="1:14" x14ac:dyDescent="0.3">
      <c r="A281" s="38">
        <f>SUM(Table15[[#This Row],[Cereals and products]:[Food and beverages]])/13</f>
        <v>106.18461538461537</v>
      </c>
      <c r="B281" s="38">
        <f>SUM(Table15[[#This Row],[Fuel and light]])</f>
        <v>106.2</v>
      </c>
      <c r="C281" s="38">
        <f>SUM(Table15[[#This Row],[Transport and communication]])</f>
        <v>103.9</v>
      </c>
      <c r="D281" s="38">
        <f>SUM(Table15[[#This Row],[Housing]],Table15[[#This Row],[Household goods and services]])/2</f>
        <v>102.80000000000001</v>
      </c>
      <c r="E281" s="38">
        <f>SUM(Table15[[#This Row],[Health]])</f>
        <v>104.4</v>
      </c>
      <c r="F281" s="38">
        <f>SUM(Table15[[#This Row],[Recreation and amusement]],Table15[[#This Row],[Education]])/2</f>
        <v>104.05</v>
      </c>
      <c r="G281" s="63">
        <f>SUM(Table15[[#This Row],[Miscellaneous]],Table15[[#This Row],[Personal care and effects]])/2</f>
        <v>104.5</v>
      </c>
      <c r="H281" s="64">
        <f t="shared" si="28"/>
        <v>-6.4769647696477053</v>
      </c>
      <c r="I281" s="64">
        <f t="shared" si="29"/>
        <v>-4.4104410441044033</v>
      </c>
      <c r="J281" s="64">
        <f t="shared" si="30"/>
        <v>-6.648697214734943</v>
      </c>
      <c r="K281" s="64">
        <f t="shared" si="31"/>
        <v>-8.6628165259884362</v>
      </c>
      <c r="L281" s="64">
        <f t="shared" si="32"/>
        <v>-5.4347826086956523</v>
      </c>
      <c r="M281" s="64">
        <f t="shared" si="33"/>
        <v>-6.219017575484445</v>
      </c>
      <c r="N281" s="64">
        <f t="shared" si="34"/>
        <v>-4.870277651342735</v>
      </c>
    </row>
    <row r="282" spans="1:14" x14ac:dyDescent="0.3">
      <c r="A282" s="37">
        <f>SUM(Table15[[#This Row],[Cereals and products]:[Food and beverages]])/13</f>
        <v>106.47692307692309</v>
      </c>
      <c r="B282" s="37">
        <f>SUM(Table15[[#This Row],[Fuel and light]])</f>
        <v>106</v>
      </c>
      <c r="C282" s="37">
        <f>SUM(Table15[[#This Row],[Transport and communication]])</f>
        <v>104.2</v>
      </c>
      <c r="D282" s="37">
        <f>SUM(Table15[[#This Row],[Housing]],Table15[[#This Row],[Household goods and services]])/2</f>
        <v>102.80000000000001</v>
      </c>
      <c r="E282" s="37">
        <f>SUM(Table15[[#This Row],[Health]])</f>
        <v>104.5</v>
      </c>
      <c r="F282" s="37">
        <f>SUM(Table15[[#This Row],[Recreation and amusement]],Table15[[#This Row],[Education]])/2</f>
        <v>103.75</v>
      </c>
      <c r="G282" s="62">
        <f>SUM(Table15[[#This Row],[Miscellaneous]],Table15[[#This Row],[Personal care and effects]])/2</f>
        <v>104.45</v>
      </c>
      <c r="H282" s="64">
        <f t="shared" si="28"/>
        <v>0.27528252680384746</v>
      </c>
      <c r="I282" s="64">
        <f t="shared" si="29"/>
        <v>-0.18832391713747915</v>
      </c>
      <c r="J282" s="64">
        <f t="shared" si="30"/>
        <v>0.28873917228103674</v>
      </c>
      <c r="K282" s="64">
        <f t="shared" si="31"/>
        <v>0</v>
      </c>
      <c r="L282" s="64">
        <f t="shared" si="32"/>
        <v>9.5785440613021369E-2</v>
      </c>
      <c r="M282" s="64">
        <f t="shared" si="33"/>
        <v>-0.28832292167227019</v>
      </c>
      <c r="N282" s="64">
        <f t="shared" si="34"/>
        <v>-4.784688995215039E-2</v>
      </c>
    </row>
    <row r="283" spans="1:14" x14ac:dyDescent="0.3">
      <c r="A283" s="38">
        <f>SUM(Table15[[#This Row],[Cereals and products]:[Food and beverages]])/13</f>
        <v>106.96923076923078</v>
      </c>
      <c r="B283" s="38">
        <f>SUM(Table15[[#This Row],[Fuel and light]])</f>
        <v>105.7</v>
      </c>
      <c r="C283" s="38">
        <f>SUM(Table15[[#This Row],[Transport and communication]])</f>
        <v>104.4</v>
      </c>
      <c r="D283" s="38">
        <f>SUM(Table15[[#This Row],[Housing]],Table15[[#This Row],[Household goods and services]])/2</f>
        <v>102.80000000000001</v>
      </c>
      <c r="E283" s="38">
        <f>SUM(Table15[[#This Row],[Health]])</f>
        <v>104.7</v>
      </c>
      <c r="F283" s="38">
        <f>SUM(Table15[[#This Row],[Recreation and amusement]],Table15[[#This Row],[Education]])/2</f>
        <v>103.5</v>
      </c>
      <c r="G283" s="63">
        <f>SUM(Table15[[#This Row],[Miscellaneous]],Table15[[#This Row],[Personal care and effects]])/2</f>
        <v>104.3</v>
      </c>
      <c r="H283" s="64">
        <f t="shared" si="28"/>
        <v>0.46236093050137095</v>
      </c>
      <c r="I283" s="64">
        <f t="shared" si="29"/>
        <v>-0.28301886792452563</v>
      </c>
      <c r="J283" s="64">
        <f t="shared" si="30"/>
        <v>0.19193857965451327</v>
      </c>
      <c r="K283" s="64">
        <f t="shared" si="31"/>
        <v>0</v>
      </c>
      <c r="L283" s="64">
        <f t="shared" si="32"/>
        <v>0.19138755980861516</v>
      </c>
      <c r="M283" s="64">
        <f t="shared" si="33"/>
        <v>-0.24096385542168677</v>
      </c>
      <c r="N283" s="64">
        <f t="shared" si="34"/>
        <v>-0.14360938247966079</v>
      </c>
    </row>
    <row r="284" spans="1:14" x14ac:dyDescent="0.3">
      <c r="A284" s="37">
        <f>SUM(Table15[[#This Row],[Cereals and products]:[Food and beverages]])/13</f>
        <v>175.16153846153844</v>
      </c>
      <c r="B284" s="37">
        <f>SUM(Table15[[#This Row],[Fuel and light]])</f>
        <v>182.8</v>
      </c>
      <c r="C284" s="37">
        <f>SUM(Table15[[#This Row],[Transport and communication]])</f>
        <v>167.8</v>
      </c>
      <c r="D284" s="37">
        <f>SUM(Table15[[#This Row],[Housing]],Table15[[#This Row],[Household goods and services]])/2</f>
        <v>173.55</v>
      </c>
      <c r="E284" s="37">
        <f>SUM(Table15[[#This Row],[Health]])</f>
        <v>183.5</v>
      </c>
      <c r="F284" s="37">
        <f>SUM(Table15[[#This Row],[Recreation and amusement]],Table15[[#This Row],[Education]])/2</f>
        <v>174.25</v>
      </c>
      <c r="G284" s="62">
        <f>SUM(Table15[[#This Row],[Miscellaneous]],Table15[[#This Row],[Personal care and effects]])/2</f>
        <v>175.6</v>
      </c>
      <c r="H284" s="64">
        <f t="shared" si="28"/>
        <v>63.749460664461353</v>
      </c>
      <c r="I284" s="64">
        <f t="shared" si="29"/>
        <v>72.942289498580891</v>
      </c>
      <c r="J284" s="64">
        <f t="shared" si="30"/>
        <v>60.727969348659002</v>
      </c>
      <c r="K284" s="64">
        <f t="shared" si="31"/>
        <v>68.822957198443575</v>
      </c>
      <c r="L284" s="64">
        <f t="shared" si="32"/>
        <v>75.262655205348608</v>
      </c>
      <c r="M284" s="64">
        <f t="shared" si="33"/>
        <v>68.357487922705317</v>
      </c>
      <c r="N284" s="64">
        <f t="shared" si="34"/>
        <v>68.360498561840842</v>
      </c>
    </row>
    <row r="285" spans="1:14" x14ac:dyDescent="0.3">
      <c r="A285" s="38">
        <f>SUM(Table15[[#This Row],[Cereals and products]:[Food and beverages]])/13</f>
        <v>175.64615384615385</v>
      </c>
      <c r="B285" s="38">
        <f>SUM(Table15[[#This Row],[Fuel and light]])</f>
        <v>182</v>
      </c>
      <c r="C285" s="38">
        <f>SUM(Table15[[#This Row],[Transport and communication]])</f>
        <v>163.4</v>
      </c>
      <c r="D285" s="38">
        <f>SUM(Table15[[#This Row],[Housing]],Table15[[#This Row],[Household goods and services]])/2</f>
        <v>171.39999999999998</v>
      </c>
      <c r="E285" s="38">
        <f>SUM(Table15[[#This Row],[Health]])</f>
        <v>181.1</v>
      </c>
      <c r="F285" s="38">
        <f>SUM(Table15[[#This Row],[Recreation and amusement]],Table15[[#This Row],[Education]])/2</f>
        <v>171.5</v>
      </c>
      <c r="G285" s="63">
        <f>SUM(Table15[[#This Row],[Miscellaneous]],Table15[[#This Row],[Personal care and effects]])/2</f>
        <v>173.9</v>
      </c>
      <c r="H285" s="64">
        <f t="shared" si="28"/>
        <v>0.27666769136183411</v>
      </c>
      <c r="I285" s="64">
        <f t="shared" si="29"/>
        <v>-0.4376367614879712</v>
      </c>
      <c r="J285" s="64">
        <f t="shared" si="30"/>
        <v>-2.622169249106082</v>
      </c>
      <c r="K285" s="64">
        <f t="shared" si="31"/>
        <v>-1.238836070296764</v>
      </c>
      <c r="L285" s="64">
        <f t="shared" si="32"/>
        <v>-1.3079019073569513</v>
      </c>
      <c r="M285" s="64">
        <f t="shared" si="33"/>
        <v>-1.5781922525107603</v>
      </c>
      <c r="N285" s="64">
        <f t="shared" si="34"/>
        <v>-0.96810933940773836</v>
      </c>
    </row>
    <row r="286" spans="1:14" x14ac:dyDescent="0.3">
      <c r="A286" s="37">
        <f>SUM(Table15[[#This Row],[Cereals and products]:[Food and beverages]])/13</f>
        <v>176.59999999999997</v>
      </c>
      <c r="B286" s="37">
        <f>SUM(Table15[[#This Row],[Fuel and light]])</f>
        <v>180.6</v>
      </c>
      <c r="C286" s="37">
        <f>SUM(Table15[[#This Row],[Transport and communication]])</f>
        <v>159.4</v>
      </c>
      <c r="D286" s="37">
        <f>SUM(Table15[[#This Row],[Housing]],Table15[[#This Row],[Household goods and services]])/2</f>
        <v>169</v>
      </c>
      <c r="E286" s="37">
        <f>SUM(Table15[[#This Row],[Health]])</f>
        <v>177.2</v>
      </c>
      <c r="F286" s="37">
        <f>SUM(Table15[[#This Row],[Recreation and amusement]],Table15[[#This Row],[Education]])/2</f>
        <v>169.45</v>
      </c>
      <c r="G286" s="62">
        <f>SUM(Table15[[#This Row],[Miscellaneous]],Table15[[#This Row],[Personal care and effects]])/2</f>
        <v>172.1</v>
      </c>
      <c r="H286" s="64">
        <f t="shared" si="28"/>
        <v>0.54304983796091333</v>
      </c>
      <c r="I286" s="64">
        <f t="shared" si="29"/>
        <v>-0.76923076923077238</v>
      </c>
      <c r="J286" s="64">
        <f t="shared" si="30"/>
        <v>-2.4479804161566707</v>
      </c>
      <c r="K286" s="64">
        <f t="shared" si="31"/>
        <v>-1.4002333722286917</v>
      </c>
      <c r="L286" s="64">
        <f t="shared" si="32"/>
        <v>-2.1535063500828304</v>
      </c>
      <c r="M286" s="64">
        <f t="shared" si="33"/>
        <v>-1.1953352769679366</v>
      </c>
      <c r="N286" s="64">
        <f t="shared" si="34"/>
        <v>-1.0350776308223182</v>
      </c>
    </row>
    <row r="287" spans="1:14" x14ac:dyDescent="0.3">
      <c r="A287" s="38">
        <f>SUM(Table15[[#This Row],[Cereals and products]:[Food and beverages]])/13</f>
        <v>158.89999999999998</v>
      </c>
      <c r="B287" s="38">
        <f>SUM(Table15[[#This Row],[Fuel and light]])</f>
        <v>150.9</v>
      </c>
      <c r="C287" s="38">
        <f>SUM(Table15[[#This Row],[Transport and communication]])</f>
        <v>147.5</v>
      </c>
      <c r="D287" s="38">
        <f>SUM(Table15[[#This Row],[Housing]],Table15[[#This Row],[Household goods and services]])/2</f>
        <v>155.80000000000001</v>
      </c>
      <c r="E287" s="38">
        <f>SUM(Table15[[#This Row],[Health]])</f>
        <v>162.5</v>
      </c>
      <c r="F287" s="38">
        <f>SUM(Table15[[#This Row],[Recreation and amusement]],Table15[[#This Row],[Education]])/2</f>
        <v>159.30000000000001</v>
      </c>
      <c r="G287" s="63">
        <f>SUM(Table15[[#This Row],[Miscellaneous]],Table15[[#This Row],[Personal care and effects]])/2</f>
        <v>156.05000000000001</v>
      </c>
      <c r="H287" s="64">
        <f t="shared" si="28"/>
        <v>-10.022650056625137</v>
      </c>
      <c r="I287" s="64">
        <f t="shared" si="29"/>
        <v>-16.445182724252486</v>
      </c>
      <c r="J287" s="64">
        <f t="shared" si="30"/>
        <v>-7.4654956085319979</v>
      </c>
      <c r="K287" s="64">
        <f t="shared" si="31"/>
        <v>-7.8106508875739582</v>
      </c>
      <c r="L287" s="64">
        <f t="shared" si="32"/>
        <v>-8.2957110609480758</v>
      </c>
      <c r="M287" s="64">
        <f t="shared" si="33"/>
        <v>-5.9899675420477889</v>
      </c>
      <c r="N287" s="64">
        <f t="shared" si="34"/>
        <v>-9.3259732713538543</v>
      </c>
    </row>
    <row r="288" spans="1:14" x14ac:dyDescent="0.3">
      <c r="A288" s="37">
        <f>SUM(Table15[[#This Row],[Cereals and products]:[Food and beverages]])/13</f>
        <v>159.73076923076923</v>
      </c>
      <c r="B288" s="37">
        <f>SUM(Table15[[#This Row],[Fuel and light]])</f>
        <v>147.9</v>
      </c>
      <c r="C288" s="37">
        <f>SUM(Table15[[#This Row],[Transport and communication]])</f>
        <v>141.9</v>
      </c>
      <c r="D288" s="37">
        <f>SUM(Table15[[#This Row],[Housing]],Table15[[#This Row],[Household goods and services]])/2</f>
        <v>153.85</v>
      </c>
      <c r="E288" s="37">
        <f>SUM(Table15[[#This Row],[Health]])</f>
        <v>159.30000000000001</v>
      </c>
      <c r="F288" s="37">
        <f>SUM(Table15[[#This Row],[Recreation and amusement]],Table15[[#This Row],[Education]])/2</f>
        <v>154.39999999999998</v>
      </c>
      <c r="G288" s="62">
        <f>SUM(Table15[[#This Row],[Miscellaneous]],Table15[[#This Row],[Personal care and effects]])/2</f>
        <v>154.35000000000002</v>
      </c>
      <c r="H288" s="64">
        <f t="shared" si="28"/>
        <v>0.52282519242872827</v>
      </c>
      <c r="I288" s="64">
        <f t="shared" si="29"/>
        <v>-1.9880715705765408</v>
      </c>
      <c r="J288" s="64">
        <f t="shared" si="30"/>
        <v>-3.796610169491522</v>
      </c>
      <c r="K288" s="64">
        <f t="shared" si="31"/>
        <v>-1.2516046213093819</v>
      </c>
      <c r="L288" s="64">
        <f t="shared" si="32"/>
        <v>-1.9692307692307625</v>
      </c>
      <c r="M288" s="64">
        <f t="shared" si="33"/>
        <v>-3.0759573132454703</v>
      </c>
      <c r="N288" s="64">
        <f t="shared" si="34"/>
        <v>-1.0893944248638183</v>
      </c>
    </row>
    <row r="289" spans="1:14" x14ac:dyDescent="0.3">
      <c r="A289" s="38">
        <f>SUM(Table15[[#This Row],[Cereals and products]:[Food and beverages]])/13</f>
        <v>161.30769230769232</v>
      </c>
      <c r="B289" s="38">
        <f>SUM(Table15[[#This Row],[Fuel and light]])</f>
        <v>142.9</v>
      </c>
      <c r="C289" s="38">
        <f>SUM(Table15[[#This Row],[Transport and communication]])</f>
        <v>136.9</v>
      </c>
      <c r="D289" s="38">
        <f>SUM(Table15[[#This Row],[Housing]],Table15[[#This Row],[Household goods and services]])/2</f>
        <v>151.69999999999999</v>
      </c>
      <c r="E289" s="38">
        <f>SUM(Table15[[#This Row],[Health]])</f>
        <v>154.1</v>
      </c>
      <c r="F289" s="38">
        <f>SUM(Table15[[#This Row],[Recreation and amusement]],Table15[[#This Row],[Education]])/2</f>
        <v>150.75</v>
      </c>
      <c r="G289" s="63">
        <f>SUM(Table15[[#This Row],[Miscellaneous]],Table15[[#This Row],[Personal care and effects]])/2</f>
        <v>152.64999999999998</v>
      </c>
      <c r="H289" s="64">
        <f t="shared" si="28"/>
        <v>0.98723814110282826</v>
      </c>
      <c r="I289" s="64">
        <f t="shared" si="29"/>
        <v>-3.3806626098715347</v>
      </c>
      <c r="J289" s="64">
        <f t="shared" si="30"/>
        <v>-3.5236081747709656</v>
      </c>
      <c r="K289" s="64">
        <f t="shared" si="31"/>
        <v>-1.3974650633734194</v>
      </c>
      <c r="L289" s="64">
        <f t="shared" si="32"/>
        <v>-3.2642812303829358</v>
      </c>
      <c r="M289" s="64">
        <f t="shared" si="33"/>
        <v>-2.3639896373056848</v>
      </c>
      <c r="N289" s="64">
        <f t="shared" si="34"/>
        <v>-1.1013929381276613</v>
      </c>
    </row>
    <row r="290" spans="1:14" x14ac:dyDescent="0.3">
      <c r="A290" s="37">
        <f>SUM(Table15[[#This Row],[Cereals and products]:[Food and beverages]])/13</f>
        <v>164.03076923076924</v>
      </c>
      <c r="B290" s="37">
        <f>SUM(Table15[[#This Row],[Fuel and light]])</f>
        <v>162.5</v>
      </c>
      <c r="C290" s="37">
        <f>SUM(Table15[[#This Row],[Transport and communication]])</f>
        <v>157.1</v>
      </c>
      <c r="D290" s="37">
        <f>SUM(Table15[[#This Row],[Housing]],Table15[[#This Row],[Household goods and services]])/2</f>
        <v>160.9</v>
      </c>
      <c r="E290" s="37">
        <f>SUM(Table15[[#This Row],[Health]])</f>
        <v>170.4</v>
      </c>
      <c r="F290" s="37">
        <f>SUM(Table15[[#This Row],[Recreation and amusement]],Table15[[#This Row],[Education]])/2</f>
        <v>163.95</v>
      </c>
      <c r="G290" s="62">
        <f>SUM(Table15[[#This Row],[Miscellaneous]],Table15[[#This Row],[Personal care and effects]])/2</f>
        <v>161.60000000000002</v>
      </c>
      <c r="H290" s="64">
        <f t="shared" si="28"/>
        <v>1.6881258941344739</v>
      </c>
      <c r="I290" s="64">
        <f t="shared" si="29"/>
        <v>13.715885234429667</v>
      </c>
      <c r="J290" s="64">
        <f t="shared" si="30"/>
        <v>14.755295836376908</v>
      </c>
      <c r="K290" s="64">
        <f t="shared" si="31"/>
        <v>6.0646011865524176</v>
      </c>
      <c r="L290" s="64">
        <f t="shared" si="32"/>
        <v>10.577547047371844</v>
      </c>
      <c r="M290" s="64">
        <f t="shared" si="33"/>
        <v>8.7562189054726289</v>
      </c>
      <c r="N290" s="64">
        <f t="shared" si="34"/>
        <v>5.8630854896823106</v>
      </c>
    </row>
    <row r="291" spans="1:14" x14ac:dyDescent="0.3">
      <c r="A291" s="38">
        <f>SUM(Table15[[#This Row],[Cereals and products]:[Food and beverages]])/13</f>
        <v>165.15384615384616</v>
      </c>
      <c r="B291" s="38">
        <f>SUM(Table15[[#This Row],[Fuel and light]])</f>
        <v>160.69999999999999</v>
      </c>
      <c r="C291" s="38">
        <f>SUM(Table15[[#This Row],[Transport and communication]])</f>
        <v>153.1</v>
      </c>
      <c r="D291" s="38">
        <f>SUM(Table15[[#This Row],[Housing]],Table15[[#This Row],[Household goods and services]])/2</f>
        <v>158.65</v>
      </c>
      <c r="E291" s="38">
        <f>SUM(Table15[[#This Row],[Health]])</f>
        <v>167</v>
      </c>
      <c r="F291" s="38">
        <f>SUM(Table15[[#This Row],[Recreation and amusement]],Table15[[#This Row],[Education]])/2</f>
        <v>159.25</v>
      </c>
      <c r="G291" s="63">
        <f>SUM(Table15[[#This Row],[Miscellaneous]],Table15[[#This Row],[Personal care and effects]])/2</f>
        <v>159.55000000000001</v>
      </c>
      <c r="H291" s="64">
        <f t="shared" si="28"/>
        <v>0.68467454511348691</v>
      </c>
      <c r="I291" s="64">
        <f t="shared" si="29"/>
        <v>-1.1076923076923146</v>
      </c>
      <c r="J291" s="64">
        <f t="shared" si="30"/>
        <v>-2.5461489497135581</v>
      </c>
      <c r="K291" s="64">
        <f t="shared" si="31"/>
        <v>-1.3983840894965818</v>
      </c>
      <c r="L291" s="64">
        <f t="shared" si="32"/>
        <v>-1.9953051643192519</v>
      </c>
      <c r="M291" s="64">
        <f t="shared" si="33"/>
        <v>-2.8667276608722103</v>
      </c>
      <c r="N291" s="64">
        <f t="shared" si="34"/>
        <v>-1.2685643564356504</v>
      </c>
    </row>
    <row r="292" spans="1:14" x14ac:dyDescent="0.3">
      <c r="A292" s="37">
        <f>SUM(Table15[[#This Row],[Cereals and products]:[Food and beverages]])/13</f>
        <v>167.06153846153848</v>
      </c>
      <c r="B292" s="37">
        <f>SUM(Table15[[#This Row],[Fuel and light]])</f>
        <v>157.69999999999999</v>
      </c>
      <c r="C292" s="37">
        <f>SUM(Table15[[#This Row],[Transport and communication]])</f>
        <v>149.5</v>
      </c>
      <c r="D292" s="37">
        <f>SUM(Table15[[#This Row],[Housing]],Table15[[#This Row],[Household goods and services]])/2</f>
        <v>156.1</v>
      </c>
      <c r="E292" s="37">
        <f>SUM(Table15[[#This Row],[Health]])</f>
        <v>161.5</v>
      </c>
      <c r="F292" s="37">
        <f>SUM(Table15[[#This Row],[Recreation and amusement]],Table15[[#This Row],[Education]])/2</f>
        <v>155.75</v>
      </c>
      <c r="G292" s="62">
        <f>SUM(Table15[[#This Row],[Miscellaneous]],Table15[[#This Row],[Personal care and effects]])/2</f>
        <v>157.30000000000001</v>
      </c>
      <c r="H292" s="64">
        <f t="shared" si="28"/>
        <v>1.1551001397298599</v>
      </c>
      <c r="I292" s="64">
        <f t="shared" si="29"/>
        <v>-1.8668326073428751</v>
      </c>
      <c r="J292" s="64">
        <f t="shared" si="30"/>
        <v>-2.3514043109078999</v>
      </c>
      <c r="K292" s="64">
        <f t="shared" si="31"/>
        <v>-1.6073116924046715</v>
      </c>
      <c r="L292" s="64">
        <f t="shared" si="32"/>
        <v>-3.293413173652695</v>
      </c>
      <c r="M292" s="64">
        <f t="shared" si="33"/>
        <v>-2.197802197802198</v>
      </c>
      <c r="N292" s="64">
        <f t="shared" si="34"/>
        <v>-1.4102162331557504</v>
      </c>
    </row>
    <row r="293" spans="1:14" x14ac:dyDescent="0.3">
      <c r="A293" s="38">
        <f>SUM(Table15[[#This Row],[Cereals and products]:[Food and beverages]])/13</f>
        <v>163.27692307692308</v>
      </c>
      <c r="B293" s="38">
        <f>SUM(Table15[[#This Row],[Fuel and light]])</f>
        <v>162.1</v>
      </c>
      <c r="C293" s="38">
        <f>SUM(Table15[[#This Row],[Transport and communication]])</f>
        <v>154.19999999999999</v>
      </c>
      <c r="D293" s="38">
        <f>SUM(Table15[[#This Row],[Housing]],Table15[[#This Row],[Household goods and services]])/2</f>
        <v>159.85</v>
      </c>
      <c r="E293" s="38">
        <f>SUM(Table15[[#This Row],[Health]])</f>
        <v>169.7</v>
      </c>
      <c r="F293" s="38">
        <f>SUM(Table15[[#This Row],[Recreation and amusement]],Table15[[#This Row],[Education]])/2</f>
        <v>163.60000000000002</v>
      </c>
      <c r="G293" s="63">
        <f>SUM(Table15[[#This Row],[Miscellaneous]],Table15[[#This Row],[Personal care and effects]])/2</f>
        <v>160.44999999999999</v>
      </c>
      <c r="H293" s="64">
        <f t="shared" si="28"/>
        <v>-2.2654019707155402</v>
      </c>
      <c r="I293" s="64">
        <f t="shared" si="29"/>
        <v>2.7901077996195345</v>
      </c>
      <c r="J293" s="64">
        <f t="shared" si="30"/>
        <v>3.1438127090300929</v>
      </c>
      <c r="K293" s="64">
        <f t="shared" si="31"/>
        <v>2.4023062139654066</v>
      </c>
      <c r="L293" s="64">
        <f t="shared" si="32"/>
        <v>5.0773993808049465</v>
      </c>
      <c r="M293" s="64">
        <f t="shared" si="33"/>
        <v>5.0401284109149422</v>
      </c>
      <c r="N293" s="64">
        <f t="shared" si="34"/>
        <v>2.0025429116338063</v>
      </c>
    </row>
    <row r="294" spans="1:14" x14ac:dyDescent="0.3">
      <c r="A294" s="37">
        <f>SUM(Table15[[#This Row],[Cereals and products]:[Food and beverages]])/13</f>
        <v>164.14615384615385</v>
      </c>
      <c r="B294" s="37">
        <f>SUM(Table15[[#This Row],[Fuel and light]])</f>
        <v>159.80000000000001</v>
      </c>
      <c r="C294" s="37">
        <f>SUM(Table15[[#This Row],[Transport and communication]])</f>
        <v>150.69999999999999</v>
      </c>
      <c r="D294" s="37">
        <f>SUM(Table15[[#This Row],[Housing]],Table15[[#This Row],[Household goods and services]])/2</f>
        <v>157.65</v>
      </c>
      <c r="E294" s="37">
        <f>SUM(Table15[[#This Row],[Health]])</f>
        <v>166.3</v>
      </c>
      <c r="F294" s="37">
        <f>SUM(Table15[[#This Row],[Recreation and amusement]],Table15[[#This Row],[Education]])/2</f>
        <v>158.30000000000001</v>
      </c>
      <c r="G294" s="62">
        <f>SUM(Table15[[#This Row],[Miscellaneous]],Table15[[#This Row],[Personal care and effects]])/2</f>
        <v>158.19999999999999</v>
      </c>
      <c r="H294" s="64">
        <f t="shared" si="28"/>
        <v>0.53236596626778399</v>
      </c>
      <c r="I294" s="64">
        <f t="shared" si="29"/>
        <v>-1.4188772362738946</v>
      </c>
      <c r="J294" s="64">
        <f t="shared" si="30"/>
        <v>-2.2697795071335931</v>
      </c>
      <c r="K294" s="64">
        <f t="shared" si="31"/>
        <v>-1.3762902721301149</v>
      </c>
      <c r="L294" s="64">
        <f t="shared" si="32"/>
        <v>-2.0035356511490732</v>
      </c>
      <c r="M294" s="64">
        <f t="shared" si="33"/>
        <v>-3.2396088019559968</v>
      </c>
      <c r="N294" s="64">
        <f t="shared" si="34"/>
        <v>-1.4023060143346839</v>
      </c>
    </row>
    <row r="295" spans="1:14" x14ac:dyDescent="0.3">
      <c r="A295" s="38">
        <f>SUM(Table15[[#This Row],[Cereals and products]:[Food and beverages]])/13</f>
        <v>165.7076923076923</v>
      </c>
      <c r="B295" s="38">
        <f>SUM(Table15[[#This Row],[Fuel and light]])</f>
        <v>156.1</v>
      </c>
      <c r="C295" s="38">
        <f>SUM(Table15[[#This Row],[Transport and communication]])</f>
        <v>147.5</v>
      </c>
      <c r="D295" s="38">
        <f>SUM(Table15[[#This Row],[Housing]],Table15[[#This Row],[Household goods and services]])/2</f>
        <v>155.15</v>
      </c>
      <c r="E295" s="38">
        <f>SUM(Table15[[#This Row],[Health]])</f>
        <v>160.80000000000001</v>
      </c>
      <c r="F295" s="38">
        <f>SUM(Table15[[#This Row],[Recreation and amusement]],Table15[[#This Row],[Education]])/2</f>
        <v>154.39999999999998</v>
      </c>
      <c r="G295" s="63">
        <f>SUM(Table15[[#This Row],[Miscellaneous]],Table15[[#This Row],[Personal care and effects]])/2</f>
        <v>155.69999999999999</v>
      </c>
      <c r="H295" s="64">
        <f t="shared" si="28"/>
        <v>0.95130980833215295</v>
      </c>
      <c r="I295" s="64">
        <f t="shared" si="29"/>
        <v>-2.315394242803515</v>
      </c>
      <c r="J295" s="64">
        <f t="shared" si="30"/>
        <v>-2.123424021234233</v>
      </c>
      <c r="K295" s="64">
        <f t="shared" si="31"/>
        <v>-1.5857913098636218</v>
      </c>
      <c r="L295" s="64">
        <f t="shared" si="32"/>
        <v>-3.3072760072158744</v>
      </c>
      <c r="M295" s="64">
        <f t="shared" si="33"/>
        <v>-2.4636765634870712</v>
      </c>
      <c r="N295" s="64">
        <f t="shared" si="34"/>
        <v>-1.5802781289506955</v>
      </c>
    </row>
    <row r="296" spans="1:14" x14ac:dyDescent="0.3">
      <c r="A296" s="37">
        <f>SUM(Table15[[#This Row],[Cereals and products]:[Food and beverages]])/13</f>
        <v>136.3923076923077</v>
      </c>
      <c r="B296" s="37">
        <f>SUM(Table15[[#This Row],[Fuel and light]])</f>
        <v>149</v>
      </c>
      <c r="C296" s="37">
        <f>SUM(Table15[[#This Row],[Transport and communication]])</f>
        <v>128.9</v>
      </c>
      <c r="D296" s="37">
        <f>SUM(Table15[[#This Row],[Housing]],Table15[[#This Row],[Household goods and services]])/2</f>
        <v>148</v>
      </c>
      <c r="E296" s="37">
        <f>SUM(Table15[[#This Row],[Health]])</f>
        <v>149.6</v>
      </c>
      <c r="F296" s="37">
        <f>SUM(Table15[[#This Row],[Recreation and amusement]],Table15[[#This Row],[Education]])/2</f>
        <v>149.19999999999999</v>
      </c>
      <c r="G296" s="62">
        <f>SUM(Table15[[#This Row],[Miscellaneous]],Table15[[#This Row],[Personal care and effects]])/2</f>
        <v>137.39999999999998</v>
      </c>
      <c r="H296" s="64">
        <f t="shared" si="28"/>
        <v>-17.691022189211765</v>
      </c>
      <c r="I296" s="64">
        <f t="shared" si="29"/>
        <v>-4.5483664317744994</v>
      </c>
      <c r="J296" s="64">
        <f t="shared" si="30"/>
        <v>-12.610169491525419</v>
      </c>
      <c r="K296" s="64">
        <f t="shared" si="31"/>
        <v>-4.6084434418304898</v>
      </c>
      <c r="L296" s="64">
        <f t="shared" si="32"/>
        <v>-6.9651741293532439</v>
      </c>
      <c r="M296" s="64">
        <f t="shared" si="33"/>
        <v>-3.3678756476683871</v>
      </c>
      <c r="N296" s="64">
        <f t="shared" si="34"/>
        <v>-11.753371868978814</v>
      </c>
    </row>
    <row r="297" spans="1:14" x14ac:dyDescent="0.3">
      <c r="A297" s="38">
        <f>SUM(Table15[[#This Row],[Cereals and products]:[Food and beverages]])/13</f>
        <v>135.59999999999997</v>
      </c>
      <c r="B297" s="38">
        <f>SUM(Table15[[#This Row],[Fuel and light]])</f>
        <v>142.69999999999999</v>
      </c>
      <c r="C297" s="38">
        <f>SUM(Table15[[#This Row],[Transport and communication]])</f>
        <v>123.6</v>
      </c>
      <c r="D297" s="38">
        <f>SUM(Table15[[#This Row],[Housing]],Table15[[#This Row],[Household goods and services]])/2</f>
        <v>144.85</v>
      </c>
      <c r="E297" s="38">
        <f>SUM(Table15[[#This Row],[Health]])</f>
        <v>144.9</v>
      </c>
      <c r="F297" s="38">
        <f>SUM(Table15[[#This Row],[Recreation and amusement]],Table15[[#This Row],[Education]])/2</f>
        <v>143.44999999999999</v>
      </c>
      <c r="G297" s="63">
        <f>SUM(Table15[[#This Row],[Miscellaneous]],Table15[[#This Row],[Personal care and effects]])/2</f>
        <v>134.5</v>
      </c>
      <c r="H297" s="64">
        <f t="shared" si="28"/>
        <v>-0.58090350234056143</v>
      </c>
      <c r="I297" s="64">
        <f t="shared" si="29"/>
        <v>-4.2281879194630951</v>
      </c>
      <c r="J297" s="64">
        <f t="shared" si="30"/>
        <v>-4.1117145073700634</v>
      </c>
      <c r="K297" s="64">
        <f t="shared" si="31"/>
        <v>-2.1283783783783825</v>
      </c>
      <c r="L297" s="64">
        <f t="shared" si="32"/>
        <v>-3.1417112299465164</v>
      </c>
      <c r="M297" s="64">
        <f t="shared" si="33"/>
        <v>-3.8538873994638077</v>
      </c>
      <c r="N297" s="64">
        <f t="shared" si="34"/>
        <v>-2.1106259097525308</v>
      </c>
    </row>
    <row r="298" spans="1:14" x14ac:dyDescent="0.3">
      <c r="A298" s="37">
        <f>SUM(Table15[[#This Row],[Cereals and products]:[Food and beverages]])/13</f>
        <v>134.35384615384615</v>
      </c>
      <c r="B298" s="37">
        <f>SUM(Table15[[#This Row],[Fuel and light]])</f>
        <v>132.4</v>
      </c>
      <c r="C298" s="37">
        <f>SUM(Table15[[#This Row],[Transport and communication]])</f>
        <v>118.8</v>
      </c>
      <c r="D298" s="37">
        <f>SUM(Table15[[#This Row],[Housing]],Table15[[#This Row],[Household goods and services]])/2</f>
        <v>141.35</v>
      </c>
      <c r="E298" s="37">
        <f>SUM(Table15[[#This Row],[Health]])</f>
        <v>137.30000000000001</v>
      </c>
      <c r="F298" s="37">
        <f>SUM(Table15[[#This Row],[Recreation and amusement]],Table15[[#This Row],[Education]])/2</f>
        <v>139.1</v>
      </c>
      <c r="G298" s="62">
        <f>SUM(Table15[[#This Row],[Miscellaneous]],Table15[[#This Row],[Personal care and effects]])/2</f>
        <v>131.25</v>
      </c>
      <c r="H298" s="64">
        <f t="shared" si="28"/>
        <v>-0.91899251191284448</v>
      </c>
      <c r="I298" s="64">
        <f t="shared" si="29"/>
        <v>-7.217939733707067</v>
      </c>
      <c r="J298" s="64">
        <f t="shared" si="30"/>
        <v>-3.8834951456310653</v>
      </c>
      <c r="K298" s="64">
        <f t="shared" si="31"/>
        <v>-2.4162927166033832</v>
      </c>
      <c r="L298" s="64">
        <f t="shared" si="32"/>
        <v>-5.2449965493443713</v>
      </c>
      <c r="M298" s="64">
        <f t="shared" si="33"/>
        <v>-3.0324154757755277</v>
      </c>
      <c r="N298" s="64">
        <f t="shared" si="34"/>
        <v>-2.4163568773234201</v>
      </c>
    </row>
    <row r="299" spans="1:14" x14ac:dyDescent="0.3">
      <c r="A299" s="38">
        <f>SUM(Table15[[#This Row],[Cereals and products]:[Food and beverages]])/13</f>
        <v>135.96153846153845</v>
      </c>
      <c r="B299" s="38">
        <f>SUM(Table15[[#This Row],[Fuel and light]])</f>
        <v>126.8</v>
      </c>
      <c r="C299" s="38">
        <f>SUM(Table15[[#This Row],[Transport and communication]])</f>
        <v>115.3</v>
      </c>
      <c r="D299" s="38">
        <f>SUM(Table15[[#This Row],[Housing]],Table15[[#This Row],[Household goods and services]])/2</f>
        <v>134.19999999999999</v>
      </c>
      <c r="E299" s="38">
        <f>SUM(Table15[[#This Row],[Health]])</f>
        <v>128.19999999999999</v>
      </c>
      <c r="F299" s="38">
        <f>SUM(Table15[[#This Row],[Recreation and amusement]],Table15[[#This Row],[Education]])/2</f>
        <v>131.14999999999998</v>
      </c>
      <c r="G299" s="63">
        <f>SUM(Table15[[#This Row],[Miscellaneous]],Table15[[#This Row],[Personal care and effects]])/2</f>
        <v>124.85</v>
      </c>
      <c r="H299" s="64">
        <f t="shared" si="28"/>
        <v>1.1966105576548693</v>
      </c>
      <c r="I299" s="64">
        <f t="shared" si="29"/>
        <v>-4.2296072507552935</v>
      </c>
      <c r="J299" s="64">
        <f t="shared" si="30"/>
        <v>-2.9461279461279464</v>
      </c>
      <c r="K299" s="64">
        <f t="shared" si="31"/>
        <v>-5.058365758754868</v>
      </c>
      <c r="L299" s="64">
        <f t="shared" si="32"/>
        <v>-6.6278222869628713</v>
      </c>
      <c r="M299" s="64">
        <f t="shared" si="33"/>
        <v>-5.7153127246585314</v>
      </c>
      <c r="N299" s="64">
        <f t="shared" si="34"/>
        <v>-4.8761904761904802</v>
      </c>
    </row>
    <row r="300" spans="1:14" x14ac:dyDescent="0.3">
      <c r="A300" s="37">
        <f>SUM(Table15[[#This Row],[Cereals and products]:[Food and beverages]])/13</f>
        <v>138.07692307692307</v>
      </c>
      <c r="B300" s="37">
        <f>SUM(Table15[[#This Row],[Fuel and light]])</f>
        <v>136.6</v>
      </c>
      <c r="C300" s="37">
        <f>SUM(Table15[[#This Row],[Transport and communication]])</f>
        <v>118.5</v>
      </c>
      <c r="D300" s="37">
        <f>SUM(Table15[[#This Row],[Housing]],Table15[[#This Row],[Household goods and services]])/2</f>
        <v>136.89999999999998</v>
      </c>
      <c r="E300" s="37">
        <f>SUM(Table15[[#This Row],[Health]])</f>
        <v>133.1</v>
      </c>
      <c r="F300" s="37">
        <f>SUM(Table15[[#This Row],[Recreation and amusement]],Table15[[#This Row],[Education]])/2</f>
        <v>133.75</v>
      </c>
      <c r="G300" s="62">
        <f>SUM(Table15[[#This Row],[Miscellaneous]],Table15[[#This Row],[Personal care and effects]])/2</f>
        <v>127.55</v>
      </c>
      <c r="H300" s="64">
        <f t="shared" si="28"/>
        <v>1.5558698727015545</v>
      </c>
      <c r="I300" s="64">
        <f t="shared" si="29"/>
        <v>7.7287066246056764</v>
      </c>
      <c r="J300" s="64">
        <f t="shared" si="30"/>
        <v>2.7753686036426739</v>
      </c>
      <c r="K300" s="64">
        <f t="shared" si="31"/>
        <v>2.0119225037257737</v>
      </c>
      <c r="L300" s="64">
        <f t="shared" si="32"/>
        <v>3.8221528861154495</v>
      </c>
      <c r="M300" s="64">
        <f t="shared" si="33"/>
        <v>1.9824628288219772</v>
      </c>
      <c r="N300" s="64">
        <f t="shared" si="34"/>
        <v>2.1625951141369666</v>
      </c>
    </row>
    <row r="301" spans="1:14" x14ac:dyDescent="0.3">
      <c r="A301" s="38">
        <f>SUM(Table15[[#This Row],[Cereals and products]:[Food and beverages]])/13</f>
        <v>139.50769230769231</v>
      </c>
      <c r="B301" s="38">
        <f>SUM(Table15[[#This Row],[Fuel and light]])</f>
        <v>142.6</v>
      </c>
      <c r="C301" s="38">
        <f>SUM(Table15[[#This Row],[Transport and communication]])</f>
        <v>122</v>
      </c>
      <c r="D301" s="38">
        <f>SUM(Table15[[#This Row],[Housing]],Table15[[#This Row],[Household goods and services]])/2</f>
        <v>139.30000000000001</v>
      </c>
      <c r="E301" s="38">
        <f>SUM(Table15[[#This Row],[Health]])</f>
        <v>136.1</v>
      </c>
      <c r="F301" s="38">
        <f>SUM(Table15[[#This Row],[Recreation and amusement]],Table15[[#This Row],[Education]])/2</f>
        <v>137.25</v>
      </c>
      <c r="G301" s="63">
        <f>SUM(Table15[[#This Row],[Miscellaneous]],Table15[[#This Row],[Personal care and effects]])/2</f>
        <v>129.85</v>
      </c>
      <c r="H301" s="64">
        <f t="shared" si="28"/>
        <v>1.0362116991643546</v>
      </c>
      <c r="I301" s="64">
        <f t="shared" si="29"/>
        <v>4.3923865300146412</v>
      </c>
      <c r="J301" s="64">
        <f t="shared" si="30"/>
        <v>2.9535864978902953</v>
      </c>
      <c r="K301" s="64">
        <f t="shared" si="31"/>
        <v>1.7531044558071838</v>
      </c>
      <c r="L301" s="64">
        <f t="shared" si="32"/>
        <v>2.2539444027047337</v>
      </c>
      <c r="M301" s="64">
        <f t="shared" si="33"/>
        <v>2.6168224299065423</v>
      </c>
      <c r="N301" s="64">
        <f t="shared" si="34"/>
        <v>1.8032144257154035</v>
      </c>
    </row>
    <row r="302" spans="1:14" x14ac:dyDescent="0.3">
      <c r="A302" s="37">
        <f>SUM(Table15[[#This Row],[Cereals and products]:[Food and beverages]])/13</f>
        <v>133.06153846153845</v>
      </c>
      <c r="B302" s="37">
        <f>SUM(Table15[[#This Row],[Fuel and light]])</f>
        <v>117.8</v>
      </c>
      <c r="C302" s="37">
        <f>SUM(Table15[[#This Row],[Transport and communication]])</f>
        <v>113.7</v>
      </c>
      <c r="D302" s="37">
        <f>SUM(Table15[[#This Row],[Housing]],Table15[[#This Row],[Household goods and services]])/2</f>
        <v>126.75</v>
      </c>
      <c r="E302" s="37">
        <f>SUM(Table15[[#This Row],[Health]])</f>
        <v>122.3</v>
      </c>
      <c r="F302" s="37">
        <f>SUM(Table15[[#This Row],[Recreation and amusement]],Table15[[#This Row],[Education]])/2</f>
        <v>127.05000000000001</v>
      </c>
      <c r="G302" s="62">
        <f>SUM(Table15[[#This Row],[Miscellaneous]],Table15[[#This Row],[Personal care and effects]])/2</f>
        <v>120.65</v>
      </c>
      <c r="H302" s="64">
        <f t="shared" si="28"/>
        <v>-4.6206440229378147</v>
      </c>
      <c r="I302" s="64">
        <f t="shared" si="29"/>
        <v>-17.391304347826086</v>
      </c>
      <c r="J302" s="64">
        <f t="shared" si="30"/>
        <v>-6.8032786885245873</v>
      </c>
      <c r="K302" s="64">
        <f t="shared" si="31"/>
        <v>-9.0093323761665545</v>
      </c>
      <c r="L302" s="64">
        <f t="shared" si="32"/>
        <v>-10.139603232916972</v>
      </c>
      <c r="M302" s="64">
        <f t="shared" si="33"/>
        <v>-7.4316939890710296</v>
      </c>
      <c r="N302" s="64">
        <f t="shared" si="34"/>
        <v>-7.0850981902194761</v>
      </c>
    </row>
    <row r="303" spans="1:14" x14ac:dyDescent="0.3">
      <c r="A303" s="38">
        <f>SUM(Table15[[#This Row],[Cereals and products]:[Food and beverages]])/13</f>
        <v>133.9</v>
      </c>
      <c r="B303" s="38">
        <f>SUM(Table15[[#This Row],[Fuel and light]])</f>
        <v>126.6</v>
      </c>
      <c r="C303" s="38">
        <f>SUM(Table15[[#This Row],[Transport and communication]])</f>
        <v>116</v>
      </c>
      <c r="D303" s="38">
        <f>SUM(Table15[[#This Row],[Housing]],Table15[[#This Row],[Household goods and services]])/2</f>
        <v>128.85</v>
      </c>
      <c r="E303" s="38">
        <f>SUM(Table15[[#This Row],[Health]])</f>
        <v>126.9</v>
      </c>
      <c r="F303" s="38">
        <f>SUM(Table15[[#This Row],[Recreation and amusement]],Table15[[#This Row],[Education]])/2</f>
        <v>128.65</v>
      </c>
      <c r="G303" s="63">
        <f>SUM(Table15[[#This Row],[Miscellaneous]],Table15[[#This Row],[Personal care and effects]])/2</f>
        <v>122.5</v>
      </c>
      <c r="H303" s="64">
        <f t="shared" si="28"/>
        <v>0.63013065094232068</v>
      </c>
      <c r="I303" s="64">
        <f t="shared" si="29"/>
        <v>7.4702886247877744</v>
      </c>
      <c r="J303" s="64">
        <f t="shared" si="30"/>
        <v>2.0228671943711496</v>
      </c>
      <c r="K303" s="64">
        <f t="shared" si="31"/>
        <v>1.6568047337278062</v>
      </c>
      <c r="L303" s="64">
        <f t="shared" si="32"/>
        <v>3.761242845461986</v>
      </c>
      <c r="M303" s="64">
        <f t="shared" si="33"/>
        <v>1.2593467138921639</v>
      </c>
      <c r="N303" s="64">
        <f t="shared" si="34"/>
        <v>1.5333609614587602</v>
      </c>
    </row>
    <row r="304" spans="1:14" x14ac:dyDescent="0.3">
      <c r="A304" s="37">
        <f>SUM(Table15[[#This Row],[Cereals and products]:[Food and beverages]])/13</f>
        <v>134.54615384615383</v>
      </c>
      <c r="B304" s="37">
        <f>SUM(Table15[[#This Row],[Fuel and light]])</f>
        <v>132</v>
      </c>
      <c r="C304" s="37">
        <f>SUM(Table15[[#This Row],[Transport and communication]])</f>
        <v>118.6</v>
      </c>
      <c r="D304" s="37">
        <f>SUM(Table15[[#This Row],[Housing]],Table15[[#This Row],[Household goods and services]])/2</f>
        <v>130.69999999999999</v>
      </c>
      <c r="E304" s="37">
        <f>SUM(Table15[[#This Row],[Health]])</f>
        <v>129.69999999999999</v>
      </c>
      <c r="F304" s="37">
        <f>SUM(Table15[[#This Row],[Recreation and amusement]],Table15[[#This Row],[Education]])/2</f>
        <v>130.75</v>
      </c>
      <c r="G304" s="62">
        <f>SUM(Table15[[#This Row],[Miscellaneous]],Table15[[#This Row],[Personal care and effects]])/2</f>
        <v>124.1</v>
      </c>
      <c r="H304" s="64">
        <f t="shared" si="28"/>
        <v>0.48256448555177189</v>
      </c>
      <c r="I304" s="64">
        <f t="shared" si="29"/>
        <v>4.2654028436019003</v>
      </c>
      <c r="J304" s="64">
        <f t="shared" si="30"/>
        <v>2.2413793103448225</v>
      </c>
      <c r="K304" s="64">
        <f t="shared" si="31"/>
        <v>1.4357780364765187</v>
      </c>
      <c r="L304" s="64">
        <f t="shared" si="32"/>
        <v>2.2064617809298523</v>
      </c>
      <c r="M304" s="64">
        <f t="shared" si="33"/>
        <v>1.6323357947920669</v>
      </c>
      <c r="N304" s="64">
        <f t="shared" si="34"/>
        <v>1.3061224489795873</v>
      </c>
    </row>
    <row r="305" spans="1:14" x14ac:dyDescent="0.3">
      <c r="A305" s="38">
        <f>SUM(Table15[[#This Row],[Cereals and products]:[Food and beverages]])/13</f>
        <v>130.67692307692306</v>
      </c>
      <c r="B305" s="38">
        <f>SUM(Table15[[#This Row],[Fuel and light]])</f>
        <v>116</v>
      </c>
      <c r="C305" s="38">
        <f>SUM(Table15[[#This Row],[Transport and communication]])</f>
        <v>109.3</v>
      </c>
      <c r="D305" s="38">
        <f>SUM(Table15[[#This Row],[Housing]],Table15[[#This Row],[Household goods and services]])/2</f>
        <v>121.7</v>
      </c>
      <c r="E305" s="38">
        <f>SUM(Table15[[#This Row],[Health]])</f>
        <v>118.6</v>
      </c>
      <c r="F305" s="38">
        <f>SUM(Table15[[#This Row],[Recreation and amusement]],Table15[[#This Row],[Education]])/2</f>
        <v>122.35</v>
      </c>
      <c r="G305" s="63">
        <f>SUM(Table15[[#This Row],[Miscellaneous]],Table15[[#This Row],[Personal care and effects]])/2</f>
        <v>114.95</v>
      </c>
      <c r="H305" s="64">
        <f t="shared" si="28"/>
        <v>-2.8757646789777596</v>
      </c>
      <c r="I305" s="64">
        <f t="shared" si="29"/>
        <v>-12.121212121212121</v>
      </c>
      <c r="J305" s="64">
        <f t="shared" si="30"/>
        <v>-7.8414839797639111</v>
      </c>
      <c r="K305" s="64">
        <f t="shared" si="31"/>
        <v>-6.8859984697781078</v>
      </c>
      <c r="L305" s="64">
        <f t="shared" si="32"/>
        <v>-8.5582112567463344</v>
      </c>
      <c r="M305" s="64">
        <f t="shared" si="33"/>
        <v>-6.4244741873805005</v>
      </c>
      <c r="N305" s="64">
        <f t="shared" si="34"/>
        <v>-7.3730862207896788</v>
      </c>
    </row>
    <row r="306" spans="1:14" x14ac:dyDescent="0.3">
      <c r="A306" s="37">
        <f>SUM(Table15[[#This Row],[Cereals and products]:[Food and beverages]])/13</f>
        <v>129.70000000000002</v>
      </c>
      <c r="B306" s="37">
        <f>SUM(Table15[[#This Row],[Fuel and light]])</f>
        <v>122</v>
      </c>
      <c r="C306" s="37">
        <f>SUM(Table15[[#This Row],[Transport and communication]])</f>
        <v>111.5</v>
      </c>
      <c r="D306" s="37">
        <f>SUM(Table15[[#This Row],[Housing]],Table15[[#This Row],[Household goods and services]])/2</f>
        <v>123</v>
      </c>
      <c r="E306" s="37">
        <f>SUM(Table15[[#This Row],[Health]])</f>
        <v>121.4</v>
      </c>
      <c r="F306" s="37">
        <f>SUM(Table15[[#This Row],[Recreation and amusement]],Table15[[#This Row],[Education]])/2</f>
        <v>122.9</v>
      </c>
      <c r="G306" s="62">
        <f>SUM(Table15[[#This Row],[Miscellaneous]],Table15[[#This Row],[Personal care and effects]])/2</f>
        <v>116</v>
      </c>
      <c r="H306" s="64">
        <f t="shared" si="28"/>
        <v>-0.74758653166938804</v>
      </c>
      <c r="I306" s="64">
        <f t="shared" si="29"/>
        <v>5.1724137931034484</v>
      </c>
      <c r="J306" s="64">
        <f t="shared" si="30"/>
        <v>2.0128087831656019</v>
      </c>
      <c r="K306" s="64">
        <f t="shared" si="31"/>
        <v>1.0682004930156097</v>
      </c>
      <c r="L306" s="64">
        <f t="shared" si="32"/>
        <v>2.3608768971332306</v>
      </c>
      <c r="M306" s="64">
        <f t="shared" si="33"/>
        <v>0.44953003677973957</v>
      </c>
      <c r="N306" s="64">
        <f t="shared" si="34"/>
        <v>0.91344062635928414</v>
      </c>
    </row>
    <row r="307" spans="1:14" x14ac:dyDescent="0.3">
      <c r="A307" s="38">
        <f>SUM(Table15[[#This Row],[Cereals and products]:[Food and beverages]])/13</f>
        <v>129.40769230769232</v>
      </c>
      <c r="B307" s="38">
        <f>SUM(Table15[[#This Row],[Fuel and light]])</f>
        <v>125.7</v>
      </c>
      <c r="C307" s="38">
        <f>SUM(Table15[[#This Row],[Transport and communication]])</f>
        <v>114</v>
      </c>
      <c r="D307" s="38">
        <f>SUM(Table15[[#This Row],[Housing]],Table15[[#This Row],[Household goods and services]])/2</f>
        <v>124.2</v>
      </c>
      <c r="E307" s="38">
        <f>SUM(Table15[[#This Row],[Health]])</f>
        <v>123.1</v>
      </c>
      <c r="F307" s="38">
        <f>SUM(Table15[[#This Row],[Recreation and amusement]],Table15[[#This Row],[Education]])/2</f>
        <v>123.6</v>
      </c>
      <c r="G307" s="63">
        <f>SUM(Table15[[#This Row],[Miscellaneous]],Table15[[#This Row],[Personal care and effects]])/2</f>
        <v>116.94999999999999</v>
      </c>
      <c r="H307" s="64">
        <f t="shared" si="28"/>
        <v>-0.22537216060732604</v>
      </c>
      <c r="I307" s="64">
        <f t="shared" si="29"/>
        <v>3.0327868852459039</v>
      </c>
      <c r="J307" s="64">
        <f t="shared" si="30"/>
        <v>2.2421524663677128</v>
      </c>
      <c r="K307" s="64">
        <f t="shared" si="31"/>
        <v>0.97560975609756317</v>
      </c>
      <c r="L307" s="64">
        <f t="shared" si="32"/>
        <v>1.4003294892915887</v>
      </c>
      <c r="M307" s="64">
        <f t="shared" si="33"/>
        <v>0.56956875508542604</v>
      </c>
      <c r="N307" s="64">
        <f t="shared" si="34"/>
        <v>0.81896551724136946</v>
      </c>
    </row>
    <row r="308" spans="1:14" x14ac:dyDescent="0.3">
      <c r="A308" s="37">
        <f>SUM(Table15[[#This Row],[Cereals and products]:[Food and beverages]])/13</f>
        <v>120.73846153846154</v>
      </c>
      <c r="B308" s="37">
        <f>SUM(Table15[[#This Row],[Fuel and light]])</f>
        <v>117.4</v>
      </c>
      <c r="C308" s="37">
        <f>SUM(Table15[[#This Row],[Transport and communication]])</f>
        <v>111.5</v>
      </c>
      <c r="D308" s="37">
        <f>SUM(Table15[[#This Row],[Housing]],Table15[[#This Row],[Household goods and services]])/2</f>
        <v>117.35</v>
      </c>
      <c r="E308" s="37">
        <f>SUM(Table15[[#This Row],[Health]])</f>
        <v>116.2</v>
      </c>
      <c r="F308" s="37">
        <f>SUM(Table15[[#This Row],[Recreation and amusement]],Table15[[#This Row],[Education]])/2</f>
        <v>115.5</v>
      </c>
      <c r="G308" s="62">
        <f>SUM(Table15[[#This Row],[Miscellaneous]],Table15[[#This Row],[Personal care and effects]])/2</f>
        <v>111.80000000000001</v>
      </c>
      <c r="H308" s="64">
        <f t="shared" si="28"/>
        <v>-6.6991618617369157</v>
      </c>
      <c r="I308" s="64">
        <f t="shared" si="29"/>
        <v>-6.6030230708034976</v>
      </c>
      <c r="J308" s="64">
        <f t="shared" si="30"/>
        <v>-2.1929824561403506</v>
      </c>
      <c r="K308" s="64">
        <f t="shared" si="31"/>
        <v>-5.5152979066022612</v>
      </c>
      <c r="L308" s="64">
        <f t="shared" si="32"/>
        <v>-5.6051990251827712</v>
      </c>
      <c r="M308" s="64">
        <f t="shared" si="33"/>
        <v>-6.5533980582524229</v>
      </c>
      <c r="N308" s="64">
        <f t="shared" si="34"/>
        <v>-4.4035912783240514</v>
      </c>
    </row>
    <row r="309" spans="1:14" x14ac:dyDescent="0.3">
      <c r="A309" s="38">
        <f>SUM(Table15[[#This Row],[Cereals and products]:[Food and beverages]])/13</f>
        <v>120.89999999999999</v>
      </c>
      <c r="B309" s="38">
        <f>SUM(Table15[[#This Row],[Fuel and light]])</f>
        <v>115.7</v>
      </c>
      <c r="C309" s="38">
        <f>SUM(Table15[[#This Row],[Transport and communication]])</f>
        <v>110.1</v>
      </c>
      <c r="D309" s="38">
        <f>SUM(Table15[[#This Row],[Housing]],Table15[[#This Row],[Household goods and services]])/2</f>
        <v>117</v>
      </c>
      <c r="E309" s="38">
        <f>SUM(Table15[[#This Row],[Health]])</f>
        <v>115.1</v>
      </c>
      <c r="F309" s="38">
        <f>SUM(Table15[[#This Row],[Recreation and amusement]],Table15[[#This Row],[Education]])/2</f>
        <v>116.7</v>
      </c>
      <c r="G309" s="63">
        <f>SUM(Table15[[#This Row],[Miscellaneous]],Table15[[#This Row],[Personal care and effects]])/2</f>
        <v>111.8</v>
      </c>
      <c r="H309" s="64">
        <f t="shared" si="28"/>
        <v>0.13379204892965874</v>
      </c>
      <c r="I309" s="64">
        <f t="shared" si="29"/>
        <v>-1.4480408858603089</v>
      </c>
      <c r="J309" s="64">
        <f t="shared" si="30"/>
        <v>-1.2556053811659245</v>
      </c>
      <c r="K309" s="64">
        <f t="shared" si="31"/>
        <v>-0.29825308904984604</v>
      </c>
      <c r="L309" s="64">
        <f t="shared" si="32"/>
        <v>-0.94664371772806233</v>
      </c>
      <c r="M309" s="64">
        <f t="shared" si="33"/>
        <v>1.0389610389610413</v>
      </c>
      <c r="N309" s="64">
        <f t="shared" si="34"/>
        <v>-1.2710961283722722E-14</v>
      </c>
    </row>
    <row r="310" spans="1:14" x14ac:dyDescent="0.3">
      <c r="A310" s="37">
        <f>SUM(Table15[[#This Row],[Cereals and products]:[Food and beverages]])/13</f>
        <v>121.32307692307691</v>
      </c>
      <c r="B310" s="37">
        <f>SUM(Table15[[#This Row],[Fuel and light]])</f>
        <v>113</v>
      </c>
      <c r="C310" s="37">
        <f>SUM(Table15[[#This Row],[Transport and communication]])</f>
        <v>108.8</v>
      </c>
      <c r="D310" s="37">
        <f>SUM(Table15[[#This Row],[Housing]],Table15[[#This Row],[Household goods and services]])/2</f>
        <v>116.65</v>
      </c>
      <c r="E310" s="37">
        <f>SUM(Table15[[#This Row],[Health]])</f>
        <v>113.2</v>
      </c>
      <c r="F310" s="37">
        <f>SUM(Table15[[#This Row],[Recreation and amusement]],Table15[[#This Row],[Education]])/2</f>
        <v>117.5</v>
      </c>
      <c r="G310" s="62">
        <f>SUM(Table15[[#This Row],[Miscellaneous]],Table15[[#This Row],[Personal care and effects]])/2</f>
        <v>111.9</v>
      </c>
      <c r="H310" s="64">
        <f t="shared" si="28"/>
        <v>0.34993955589488818</v>
      </c>
      <c r="I310" s="64">
        <f t="shared" si="29"/>
        <v>-2.3336214347450328</v>
      </c>
      <c r="J310" s="64">
        <f t="shared" si="30"/>
        <v>-1.1807447774750202</v>
      </c>
      <c r="K310" s="64">
        <f t="shared" si="31"/>
        <v>-0.29914529914529425</v>
      </c>
      <c r="L310" s="64">
        <f t="shared" si="32"/>
        <v>-1.6507384882710614</v>
      </c>
      <c r="M310" s="64">
        <f t="shared" si="33"/>
        <v>0.68551842330762391</v>
      </c>
      <c r="N310" s="64">
        <f t="shared" si="34"/>
        <v>8.9445438282655221E-2</v>
      </c>
    </row>
    <row r="311" spans="1:14" x14ac:dyDescent="0.3">
      <c r="A311" s="38">
        <f>SUM(Table15[[#This Row],[Cereals and products]:[Food and beverages]])/13</f>
        <v>116.07692307692308</v>
      </c>
      <c r="B311" s="38">
        <f>SUM(Table15[[#This Row],[Fuel and light]])</f>
        <v>112.8</v>
      </c>
      <c r="C311" s="38">
        <f>SUM(Table15[[#This Row],[Transport and communication]])</f>
        <v>109.9</v>
      </c>
      <c r="D311" s="38">
        <f>SUM(Table15[[#This Row],[Housing]],Table15[[#This Row],[Household goods and services]])/2</f>
        <v>111.4</v>
      </c>
      <c r="E311" s="38">
        <f>SUM(Table15[[#This Row],[Health]])</f>
        <v>110.1</v>
      </c>
      <c r="F311" s="38">
        <f>SUM(Table15[[#This Row],[Recreation and amusement]],Table15[[#This Row],[Education]])/2</f>
        <v>110.4</v>
      </c>
      <c r="G311" s="63">
        <f>SUM(Table15[[#This Row],[Miscellaneous]],Table15[[#This Row],[Personal care and effects]])/2</f>
        <v>109.1</v>
      </c>
      <c r="H311" s="64">
        <f t="shared" si="28"/>
        <v>-4.3241186913517504</v>
      </c>
      <c r="I311" s="64">
        <f t="shared" si="29"/>
        <v>-0.1769911504424804</v>
      </c>
      <c r="J311" s="64">
        <f t="shared" si="30"/>
        <v>1.0110294117647138</v>
      </c>
      <c r="K311" s="64">
        <f t="shared" si="31"/>
        <v>-4.5006429489927129</v>
      </c>
      <c r="L311" s="64">
        <f t="shared" si="32"/>
        <v>-2.7385159010600781</v>
      </c>
      <c r="M311" s="64">
        <f t="shared" si="33"/>
        <v>-6.0425531914893567</v>
      </c>
      <c r="N311" s="64">
        <f t="shared" si="34"/>
        <v>-2.5022341376228874</v>
      </c>
    </row>
    <row r="312" spans="1:14" x14ac:dyDescent="0.3">
      <c r="A312" s="37">
        <f>SUM(Table15[[#This Row],[Cereals and products]:[Food and beverages]])/13</f>
        <v>115.94615384615386</v>
      </c>
      <c r="B312" s="37">
        <f>SUM(Table15[[#This Row],[Fuel and light]])</f>
        <v>111.9</v>
      </c>
      <c r="C312" s="37">
        <f>SUM(Table15[[#This Row],[Transport and communication]])</f>
        <v>109.8</v>
      </c>
      <c r="D312" s="37">
        <f>SUM(Table15[[#This Row],[Housing]],Table15[[#This Row],[Household goods and services]])/2</f>
        <v>111.2</v>
      </c>
      <c r="E312" s="37">
        <f>SUM(Table15[[#This Row],[Health]])</f>
        <v>109.7</v>
      </c>
      <c r="F312" s="37">
        <f>SUM(Table15[[#This Row],[Recreation and amusement]],Table15[[#This Row],[Education]])/2</f>
        <v>110.25</v>
      </c>
      <c r="G312" s="62">
        <f>SUM(Table15[[#This Row],[Miscellaneous]],Table15[[#This Row],[Personal care and effects]])/2</f>
        <v>108.95</v>
      </c>
      <c r="H312" s="64">
        <f t="shared" si="28"/>
        <v>-0.11265738899932619</v>
      </c>
      <c r="I312" s="64">
        <f t="shared" si="29"/>
        <v>-0.79787234042552435</v>
      </c>
      <c r="J312" s="64">
        <f t="shared" si="30"/>
        <v>-9.099181073704142E-2</v>
      </c>
      <c r="K312" s="64">
        <f t="shared" si="31"/>
        <v>-0.17953321364452679</v>
      </c>
      <c r="L312" s="64">
        <f t="shared" si="32"/>
        <v>-0.36330608537692233</v>
      </c>
      <c r="M312" s="64">
        <f t="shared" si="33"/>
        <v>-0.13586956521739643</v>
      </c>
      <c r="N312" s="64">
        <f t="shared" si="34"/>
        <v>-0.13748854262144039</v>
      </c>
    </row>
    <row r="313" spans="1:14" x14ac:dyDescent="0.3">
      <c r="A313" s="38">
        <f>SUM(Table15[[#This Row],[Cereals and products]:[Food and beverages]])/13</f>
        <v>115.72307692307693</v>
      </c>
      <c r="B313" s="38">
        <f>SUM(Table15[[#This Row],[Fuel and light]])</f>
        <v>110.4</v>
      </c>
      <c r="C313" s="38">
        <f>SUM(Table15[[#This Row],[Transport and communication]])</f>
        <v>109.7</v>
      </c>
      <c r="D313" s="38">
        <f>SUM(Table15[[#This Row],[Housing]],Table15[[#This Row],[Household goods and services]])/2</f>
        <v>111</v>
      </c>
      <c r="E313" s="38">
        <f>SUM(Table15[[#This Row],[Health]])</f>
        <v>109</v>
      </c>
      <c r="F313" s="38">
        <f>SUM(Table15[[#This Row],[Recreation and amusement]],Table15[[#This Row],[Education]])/2</f>
        <v>110.15</v>
      </c>
      <c r="G313" s="63">
        <f>SUM(Table15[[#This Row],[Miscellaneous]],Table15[[#This Row],[Personal care and effects]])/2</f>
        <v>108.75</v>
      </c>
      <c r="H313" s="64">
        <f t="shared" si="28"/>
        <v>-0.19239700126053905</v>
      </c>
      <c r="I313" s="64">
        <f t="shared" si="29"/>
        <v>-1.3404825737265413</v>
      </c>
      <c r="J313" s="64">
        <f t="shared" si="30"/>
        <v>-9.1074681238610497E-2</v>
      </c>
      <c r="K313" s="64">
        <f t="shared" si="31"/>
        <v>-0.17985611510791621</v>
      </c>
      <c r="L313" s="64">
        <f t="shared" si="32"/>
        <v>-0.63810391978122416</v>
      </c>
      <c r="M313" s="64">
        <f t="shared" si="33"/>
        <v>-9.0702947845799839E-2</v>
      </c>
      <c r="N313" s="64">
        <f t="shared" si="34"/>
        <v>-0.18357044515833212</v>
      </c>
    </row>
    <row r="314" spans="1:14" x14ac:dyDescent="0.3">
      <c r="A314" s="37">
        <f>SUM(Table15[[#This Row],[Cereals and products]:[Food and beverages]])/13</f>
        <v>173.5230769230769</v>
      </c>
      <c r="B314" s="37">
        <f>SUM(Table15[[#This Row],[Fuel and light]])</f>
        <v>179.1</v>
      </c>
      <c r="C314" s="37">
        <f>SUM(Table15[[#This Row],[Transport and communication]])</f>
        <v>166.6</v>
      </c>
      <c r="D314" s="37">
        <f>SUM(Table15[[#This Row],[Housing]],Table15[[#This Row],[Household goods and services]])/2</f>
        <v>170.65</v>
      </c>
      <c r="E314" s="37">
        <f>SUM(Table15[[#This Row],[Health]])</f>
        <v>179.4</v>
      </c>
      <c r="F314" s="37">
        <f>SUM(Table15[[#This Row],[Recreation and amusement]],Table15[[#This Row],[Education]])/2</f>
        <v>172.5</v>
      </c>
      <c r="G314" s="62">
        <f>SUM(Table15[[#This Row],[Miscellaneous]],Table15[[#This Row],[Personal care and effects]])/2</f>
        <v>171.85</v>
      </c>
      <c r="H314" s="64">
        <f t="shared" si="28"/>
        <v>49.946822653549553</v>
      </c>
      <c r="I314" s="64">
        <f t="shared" si="29"/>
        <v>62.228260869565197</v>
      </c>
      <c r="J314" s="64">
        <f t="shared" si="30"/>
        <v>51.868732907930713</v>
      </c>
      <c r="K314" s="64">
        <f t="shared" si="31"/>
        <v>53.738738738738746</v>
      </c>
      <c r="L314" s="64">
        <f t="shared" si="32"/>
        <v>64.587155963302763</v>
      </c>
      <c r="M314" s="64">
        <f t="shared" si="33"/>
        <v>56.604630049931906</v>
      </c>
      <c r="N314" s="64">
        <f t="shared" si="34"/>
        <v>58.022988505747122</v>
      </c>
    </row>
    <row r="315" spans="1:14" x14ac:dyDescent="0.3">
      <c r="A315" s="38">
        <f>SUM(Table15[[#This Row],[Cereals and products]:[Food and beverages]])/13</f>
        <v>174.55384615384617</v>
      </c>
      <c r="B315" s="38">
        <f>SUM(Table15[[#This Row],[Fuel and light]])</f>
        <v>178.8</v>
      </c>
      <c r="C315" s="38">
        <f>SUM(Table15[[#This Row],[Transport and communication]])</f>
        <v>161.9</v>
      </c>
      <c r="D315" s="38">
        <f>SUM(Table15[[#This Row],[Housing]],Table15[[#This Row],[Household goods and services]])/2</f>
        <v>168.75</v>
      </c>
      <c r="E315" s="38">
        <f>SUM(Table15[[#This Row],[Health]])</f>
        <v>176.8</v>
      </c>
      <c r="F315" s="38">
        <f>SUM(Table15[[#This Row],[Recreation and amusement]],Table15[[#This Row],[Education]])/2</f>
        <v>169.60000000000002</v>
      </c>
      <c r="G315" s="63">
        <f>SUM(Table15[[#This Row],[Miscellaneous]],Table15[[#This Row],[Personal care and effects]])/2</f>
        <v>170.14999999999998</v>
      </c>
      <c r="H315" s="64">
        <f t="shared" si="28"/>
        <v>0.59402429293379122</v>
      </c>
      <c r="I315" s="64">
        <f t="shared" si="29"/>
        <v>-0.16750418760468061</v>
      </c>
      <c r="J315" s="64">
        <f t="shared" si="30"/>
        <v>-2.8211284513805457</v>
      </c>
      <c r="K315" s="64">
        <f t="shared" si="31"/>
        <v>-1.113389979490188</v>
      </c>
      <c r="L315" s="64">
        <f t="shared" si="32"/>
        <v>-1.4492753623188372</v>
      </c>
      <c r="M315" s="64">
        <f t="shared" si="33"/>
        <v>-1.6811594202898419</v>
      </c>
      <c r="N315" s="64">
        <f t="shared" si="34"/>
        <v>-0.98923479778877921</v>
      </c>
    </row>
    <row r="316" spans="1:14" x14ac:dyDescent="0.3">
      <c r="A316" s="37">
        <f>SUM(Table15[[#This Row],[Cereals and products]:[Food and beverages]])/13</f>
        <v>176.43846153846152</v>
      </c>
      <c r="B316" s="37">
        <f>SUM(Table15[[#This Row],[Fuel and light]])</f>
        <v>178.4</v>
      </c>
      <c r="C316" s="37">
        <f>SUM(Table15[[#This Row],[Transport and communication]])</f>
        <v>157.69999999999999</v>
      </c>
      <c r="D316" s="37">
        <f>SUM(Table15[[#This Row],[Housing]],Table15[[#This Row],[Household goods and services]])/2</f>
        <v>166.6</v>
      </c>
      <c r="E316" s="37">
        <f>SUM(Table15[[#This Row],[Health]])</f>
        <v>172.6</v>
      </c>
      <c r="F316" s="37">
        <f>SUM(Table15[[#This Row],[Recreation and amusement]],Table15[[#This Row],[Education]])/2</f>
        <v>167.5</v>
      </c>
      <c r="G316" s="62">
        <f>SUM(Table15[[#This Row],[Miscellaneous]],Table15[[#This Row],[Personal care and effects]])/2</f>
        <v>168.4</v>
      </c>
      <c r="H316" s="64">
        <f t="shared" si="28"/>
        <v>1.0796756566190577</v>
      </c>
      <c r="I316" s="64">
        <f t="shared" si="29"/>
        <v>-0.22371364653244163</v>
      </c>
      <c r="J316" s="64">
        <f t="shared" si="30"/>
        <v>-2.5941939468808011</v>
      </c>
      <c r="K316" s="64">
        <f t="shared" si="31"/>
        <v>-1.2740740740740775</v>
      </c>
      <c r="L316" s="64">
        <f t="shared" si="32"/>
        <v>-2.3755656108597383</v>
      </c>
      <c r="M316" s="64">
        <f t="shared" si="33"/>
        <v>-1.2382075471698246</v>
      </c>
      <c r="N316" s="64">
        <f t="shared" si="34"/>
        <v>-1.0285042609462074</v>
      </c>
    </row>
    <row r="317" spans="1:14" x14ac:dyDescent="0.3">
      <c r="A317" s="38">
        <f>SUM(Table15[[#This Row],[Cereals and products]:[Food and beverages]])/13</f>
        <v>155.82307692307694</v>
      </c>
      <c r="B317" s="38">
        <f>SUM(Table15[[#This Row],[Fuel and light]])</f>
        <v>156</v>
      </c>
      <c r="C317" s="38">
        <f>SUM(Table15[[#This Row],[Transport and communication]])</f>
        <v>151.30000000000001</v>
      </c>
      <c r="D317" s="38">
        <f>SUM(Table15[[#This Row],[Housing]],Table15[[#This Row],[Household goods and services]])/2</f>
        <v>157.35000000000002</v>
      </c>
      <c r="E317" s="38">
        <f>SUM(Table15[[#This Row],[Health]])</f>
        <v>164.6</v>
      </c>
      <c r="F317" s="38">
        <f>SUM(Table15[[#This Row],[Recreation and amusement]],Table15[[#This Row],[Education]])/2</f>
        <v>160.80000000000001</v>
      </c>
      <c r="G317" s="63">
        <f>SUM(Table15[[#This Row],[Miscellaneous]],Table15[[#This Row],[Personal care and effects]])/2</f>
        <v>155.19999999999999</v>
      </c>
      <c r="H317" s="64">
        <f t="shared" si="28"/>
        <v>-11.684178401709012</v>
      </c>
      <c r="I317" s="64">
        <f t="shared" si="29"/>
        <v>-12.556053811659195</v>
      </c>
      <c r="J317" s="64">
        <f t="shared" si="30"/>
        <v>-4.0583386176283947</v>
      </c>
      <c r="K317" s="64">
        <f t="shared" si="31"/>
        <v>-5.5522208883553255</v>
      </c>
      <c r="L317" s="64">
        <f t="shared" si="32"/>
        <v>-4.6349942062572422</v>
      </c>
      <c r="M317" s="64">
        <f t="shared" si="33"/>
        <v>-3.9999999999999933</v>
      </c>
      <c r="N317" s="64">
        <f t="shared" si="34"/>
        <v>-7.8384798099762563</v>
      </c>
    </row>
    <row r="318" spans="1:14" x14ac:dyDescent="0.3">
      <c r="A318" s="37">
        <f>SUM(Table15[[#This Row],[Cereals and products]:[Food and beverages]])/13</f>
        <v>156.87692307692308</v>
      </c>
      <c r="B318" s="37">
        <f>SUM(Table15[[#This Row],[Fuel and light]])</f>
        <v>155.5</v>
      </c>
      <c r="C318" s="37">
        <f>SUM(Table15[[#This Row],[Transport and communication]])</f>
        <v>146.19999999999999</v>
      </c>
      <c r="D318" s="37">
        <f>SUM(Table15[[#This Row],[Housing]],Table15[[#This Row],[Household goods and services]])/2</f>
        <v>155.55000000000001</v>
      </c>
      <c r="E318" s="37">
        <f>SUM(Table15[[#This Row],[Health]])</f>
        <v>161.69999999999999</v>
      </c>
      <c r="F318" s="37">
        <f>SUM(Table15[[#This Row],[Recreation and amusement]],Table15[[#This Row],[Education]])/2</f>
        <v>156.39999999999998</v>
      </c>
      <c r="G318" s="62">
        <f>SUM(Table15[[#This Row],[Miscellaneous]],Table15[[#This Row],[Personal care and effects]])/2</f>
        <v>153.80000000000001</v>
      </c>
      <c r="H318" s="64">
        <f t="shared" si="28"/>
        <v>0.67630942390283799</v>
      </c>
      <c r="I318" s="64">
        <f t="shared" si="29"/>
        <v>-0.32051282051282048</v>
      </c>
      <c r="J318" s="64">
        <f t="shared" si="30"/>
        <v>-3.370786516853947</v>
      </c>
      <c r="K318" s="64">
        <f t="shared" si="31"/>
        <v>-1.1439466158246019</v>
      </c>
      <c r="L318" s="64">
        <f t="shared" si="32"/>
        <v>-1.7618469015795903</v>
      </c>
      <c r="M318" s="64">
        <f t="shared" si="33"/>
        <v>-2.7363184079602201</v>
      </c>
      <c r="N318" s="64">
        <f t="shared" si="34"/>
        <v>-0.90206185567008845</v>
      </c>
    </row>
    <row r="319" spans="1:14" x14ac:dyDescent="0.3">
      <c r="A319" s="38">
        <f>SUM(Table15[[#This Row],[Cereals and products]:[Food and beverages]])/13</f>
        <v>158.80769230769226</v>
      </c>
      <c r="B319" s="38">
        <f>SUM(Table15[[#This Row],[Fuel and light]])</f>
        <v>154.80000000000001</v>
      </c>
      <c r="C319" s="38">
        <f>SUM(Table15[[#This Row],[Transport and communication]])</f>
        <v>141.69999999999999</v>
      </c>
      <c r="D319" s="38">
        <f>SUM(Table15[[#This Row],[Housing]],Table15[[#This Row],[Household goods and services]])/2</f>
        <v>153.55000000000001</v>
      </c>
      <c r="E319" s="38">
        <f>SUM(Table15[[#This Row],[Health]])</f>
        <v>156.9</v>
      </c>
      <c r="F319" s="38">
        <f>SUM(Table15[[#This Row],[Recreation and amusement]],Table15[[#This Row],[Education]])/2</f>
        <v>153.1</v>
      </c>
      <c r="G319" s="63">
        <f>SUM(Table15[[#This Row],[Miscellaneous]],Table15[[#This Row],[Personal care and effects]])/2</f>
        <v>152.44999999999999</v>
      </c>
      <c r="H319" s="64">
        <f t="shared" si="28"/>
        <v>1.2307541433754743</v>
      </c>
      <c r="I319" s="64">
        <f t="shared" si="29"/>
        <v>-0.45016077170417274</v>
      </c>
      <c r="J319" s="64">
        <f t="shared" si="30"/>
        <v>-3.0779753761969908</v>
      </c>
      <c r="K319" s="64">
        <f t="shared" si="31"/>
        <v>-1.2857602057216329</v>
      </c>
      <c r="L319" s="64">
        <f t="shared" si="32"/>
        <v>-2.9684601113172437</v>
      </c>
      <c r="M319" s="64">
        <f t="shared" si="33"/>
        <v>-2.1099744245524192</v>
      </c>
      <c r="N319" s="64">
        <f t="shared" si="34"/>
        <v>-0.87776332899871434</v>
      </c>
    </row>
    <row r="320" spans="1:14" x14ac:dyDescent="0.3">
      <c r="A320" s="37">
        <f>SUM(Table15[[#This Row],[Cereals and products]:[Food and beverages]])/13</f>
        <v>161.17692307692306</v>
      </c>
      <c r="B320" s="37">
        <f>SUM(Table15[[#This Row],[Fuel and light]])</f>
        <v>161.69999999999999</v>
      </c>
      <c r="C320" s="37">
        <f>SUM(Table15[[#This Row],[Transport and communication]])</f>
        <v>153.19999999999999</v>
      </c>
      <c r="D320" s="37">
        <f>SUM(Table15[[#This Row],[Housing]],Table15[[#This Row],[Household goods and services]])/2</f>
        <v>154.44999999999999</v>
      </c>
      <c r="E320" s="37">
        <f>SUM(Table15[[#This Row],[Health]])</f>
        <v>169.1</v>
      </c>
      <c r="F320" s="37">
        <f>SUM(Table15[[#This Row],[Recreation and amusement]],Table15[[#This Row],[Education]])/2</f>
        <v>163.80000000000001</v>
      </c>
      <c r="G320" s="62">
        <f>SUM(Table15[[#This Row],[Miscellaneous]],Table15[[#This Row],[Personal care and effects]])/2</f>
        <v>160.19999999999999</v>
      </c>
      <c r="H320" s="64">
        <f t="shared" si="28"/>
        <v>1.4918866553645125</v>
      </c>
      <c r="I320" s="64">
        <f t="shared" si="29"/>
        <v>4.4573643410852561</v>
      </c>
      <c r="J320" s="64">
        <f t="shared" si="30"/>
        <v>8.1157374735356385</v>
      </c>
      <c r="K320" s="64">
        <f t="shared" si="31"/>
        <v>0.58612829697165558</v>
      </c>
      <c r="L320" s="64">
        <f t="shared" si="32"/>
        <v>7.7756532823454352</v>
      </c>
      <c r="M320" s="64">
        <f t="shared" si="33"/>
        <v>6.9888961463096129</v>
      </c>
      <c r="N320" s="64">
        <f t="shared" si="34"/>
        <v>5.0836339783535589</v>
      </c>
    </row>
    <row r="321" spans="1:14" x14ac:dyDescent="0.3">
      <c r="A321" s="38">
        <f>SUM(Table15[[#This Row],[Cereals and products]:[Food and beverages]])/13</f>
        <v>161.9769230769231</v>
      </c>
      <c r="B321" s="38">
        <f>SUM(Table15[[#This Row],[Fuel and light]])</f>
        <v>159.4</v>
      </c>
      <c r="C321" s="38">
        <f>SUM(Table15[[#This Row],[Transport and communication]])</f>
        <v>148.9</v>
      </c>
      <c r="D321" s="38">
        <f>SUM(Table15[[#This Row],[Housing]],Table15[[#This Row],[Household goods and services]])/2</f>
        <v>158.14999999999998</v>
      </c>
      <c r="E321" s="38">
        <f>SUM(Table15[[#This Row],[Health]])</f>
        <v>165.8</v>
      </c>
      <c r="F321" s="38">
        <f>SUM(Table15[[#This Row],[Recreation and amusement]],Table15[[#This Row],[Education]])/2</f>
        <v>158.5</v>
      </c>
      <c r="G321" s="63">
        <f>SUM(Table15[[#This Row],[Miscellaneous]],Table15[[#This Row],[Personal care and effects]])/2</f>
        <v>157.69999999999999</v>
      </c>
      <c r="H321" s="64">
        <f t="shared" si="28"/>
        <v>0.49634897150768476</v>
      </c>
      <c r="I321" s="64">
        <f t="shared" si="29"/>
        <v>-1.4223871366728404</v>
      </c>
      <c r="J321" s="64">
        <f t="shared" si="30"/>
        <v>-2.8067885117493363</v>
      </c>
      <c r="K321" s="64">
        <f t="shared" si="31"/>
        <v>2.3955972806733499</v>
      </c>
      <c r="L321" s="64">
        <f t="shared" si="32"/>
        <v>-1.9515079834417404</v>
      </c>
      <c r="M321" s="64">
        <f t="shared" si="33"/>
        <v>-3.2356532356532424</v>
      </c>
      <c r="N321" s="64">
        <f t="shared" si="34"/>
        <v>-1.5605493133583024</v>
      </c>
    </row>
    <row r="322" spans="1:14" x14ac:dyDescent="0.3">
      <c r="A322" s="37">
        <f>SUM(Table15[[#This Row],[Cereals and products]:[Food and beverages]])/13</f>
        <v>163.43846153846155</v>
      </c>
      <c r="B322" s="37">
        <f>SUM(Table15[[#This Row],[Fuel and light]])</f>
        <v>155.5</v>
      </c>
      <c r="C322" s="37">
        <f>SUM(Table15[[#This Row],[Transport and communication]])</f>
        <v>145</v>
      </c>
      <c r="D322" s="37">
        <f>SUM(Table15[[#This Row],[Housing]],Table15[[#This Row],[Household goods and services]])/2</f>
        <v>155.85</v>
      </c>
      <c r="E322" s="37">
        <f>SUM(Table15[[#This Row],[Health]])</f>
        <v>160.4</v>
      </c>
      <c r="F322" s="37">
        <f>SUM(Table15[[#This Row],[Recreation and amusement]],Table15[[#This Row],[Education]])/2</f>
        <v>154.6</v>
      </c>
      <c r="G322" s="62">
        <f>SUM(Table15[[#This Row],[Miscellaneous]],Table15[[#This Row],[Personal care and effects]])/2</f>
        <v>154.9</v>
      </c>
      <c r="H322" s="64">
        <f t="shared" si="28"/>
        <v>0.90231277010019861</v>
      </c>
      <c r="I322" s="64">
        <f t="shared" si="29"/>
        <v>-2.446675031367632</v>
      </c>
      <c r="J322" s="64">
        <f t="shared" si="30"/>
        <v>-2.6192075218267332</v>
      </c>
      <c r="K322" s="64">
        <f t="shared" si="31"/>
        <v>-1.4543155232374223</v>
      </c>
      <c r="L322" s="64">
        <f t="shared" si="32"/>
        <v>-3.25693606755127</v>
      </c>
      <c r="M322" s="64">
        <f t="shared" si="33"/>
        <v>-2.4605678233438519</v>
      </c>
      <c r="N322" s="64">
        <f t="shared" si="34"/>
        <v>-1.7755231452124178</v>
      </c>
    </row>
    <row r="323" spans="1:14" x14ac:dyDescent="0.3">
      <c r="A323" s="38">
        <f>SUM(Table15[[#This Row],[Cereals and products]:[Food and beverages]])/13</f>
        <v>167.84615384615384</v>
      </c>
      <c r="B323" s="38">
        <f>SUM(Table15[[#This Row],[Fuel and light]])</f>
        <v>165.3</v>
      </c>
      <c r="C323" s="38">
        <f>SUM(Table15[[#This Row],[Transport and communication]])</f>
        <v>158.9</v>
      </c>
      <c r="D323" s="38">
        <f>SUM(Table15[[#This Row],[Housing]],Table15[[#This Row],[Household goods and services]])/2</f>
        <v>160.44999999999999</v>
      </c>
      <c r="E323" s="38">
        <f>SUM(Table15[[#This Row],[Health]])</f>
        <v>173.4</v>
      </c>
      <c r="F323" s="38">
        <f>SUM(Table15[[#This Row],[Recreation and amusement]],Table15[[#This Row],[Education]])/2</f>
        <v>166.55</v>
      </c>
      <c r="G323" s="63">
        <f>SUM(Table15[[#This Row],[Miscellaneous]],Table15[[#This Row],[Personal care and effects]])/2</f>
        <v>163.80000000000001</v>
      </c>
      <c r="H323" s="64">
        <f t="shared" si="28"/>
        <v>2.696851320186366</v>
      </c>
      <c r="I323" s="64">
        <f t="shared" si="29"/>
        <v>6.3022508038585281</v>
      </c>
      <c r="J323" s="64">
        <f t="shared" si="30"/>
        <v>9.5862068965517278</v>
      </c>
      <c r="K323" s="64">
        <f t="shared" si="31"/>
        <v>2.9515559833172889</v>
      </c>
      <c r="L323" s="64">
        <f t="shared" si="32"/>
        <v>8.1047381546134662</v>
      </c>
      <c r="M323" s="64">
        <f t="shared" si="33"/>
        <v>7.7296248382923789</v>
      </c>
      <c r="N323" s="64">
        <f t="shared" si="34"/>
        <v>5.745642349903167</v>
      </c>
    </row>
    <row r="324" spans="1:14" x14ac:dyDescent="0.3">
      <c r="A324" s="37">
        <f>SUM(Table15[[#This Row],[Cereals and products]:[Food and beverages]])/13</f>
        <v>168.77692307692308</v>
      </c>
      <c r="B324" s="37">
        <f>SUM(Table15[[#This Row],[Fuel and light]])</f>
        <v>163.9</v>
      </c>
      <c r="C324" s="37">
        <f>SUM(Table15[[#This Row],[Transport and communication]])</f>
        <v>154.80000000000001</v>
      </c>
      <c r="D324" s="37">
        <f>SUM(Table15[[#This Row],[Housing]],Table15[[#This Row],[Household goods and services]])/2</f>
        <v>161.75</v>
      </c>
      <c r="E324" s="37">
        <f>SUM(Table15[[#This Row],[Health]])</f>
        <v>169.9</v>
      </c>
      <c r="F324" s="37">
        <f>SUM(Table15[[#This Row],[Recreation and amusement]],Table15[[#This Row],[Education]])/2</f>
        <v>162.05000000000001</v>
      </c>
      <c r="G324" s="62">
        <f>SUM(Table15[[#This Row],[Miscellaneous]],Table15[[#This Row],[Personal care and effects]])/2</f>
        <v>161.80000000000001</v>
      </c>
      <c r="H324" s="64">
        <f t="shared" ref="H324:H373" si="35">((A324-A323)/A323* 100)</f>
        <v>0.55453712190651538</v>
      </c>
      <c r="I324" s="64">
        <f t="shared" ref="I324:I373" si="36">((B324-B323)/B323 *100)</f>
        <v>-0.84694494857834568</v>
      </c>
      <c r="J324" s="64">
        <f t="shared" ref="J324:J373" si="37">((C324-C323)/C323 * 100)</f>
        <v>-2.5802391441157924</v>
      </c>
      <c r="K324" s="64">
        <f t="shared" ref="K324:K373" si="38">((D324-D323)/D323 * 100)</f>
        <v>0.81022125272671319</v>
      </c>
      <c r="L324" s="64">
        <f t="shared" ref="L324:L373" si="39">((E324-E323)/E323 * 100)</f>
        <v>-2.0184544405997693</v>
      </c>
      <c r="M324" s="64">
        <f t="shared" ref="M324:M373" si="40">((F324-F323)/F323 * 100)</f>
        <v>-2.7018913239267488</v>
      </c>
      <c r="N324" s="64">
        <f t="shared" ref="N324:N373" si="41">((G324-G323)/G323 *100)</f>
        <v>-1.2210012210012211</v>
      </c>
    </row>
    <row r="325" spans="1:14" x14ac:dyDescent="0.3">
      <c r="A325" s="38">
        <f>SUM(Table15[[#This Row],[Cereals and products]:[Food and beverages]])/13</f>
        <v>170.60769230769228</v>
      </c>
      <c r="B325" s="38">
        <f>SUM(Table15[[#This Row],[Fuel and light]])</f>
        <v>161.6</v>
      </c>
      <c r="C325" s="38">
        <f>SUM(Table15[[#This Row],[Transport and communication]])</f>
        <v>151.19999999999999</v>
      </c>
      <c r="D325" s="38">
        <f>SUM(Table15[[#This Row],[Housing]],Table15[[#This Row],[Household goods and services]])/2</f>
        <v>159.69999999999999</v>
      </c>
      <c r="E325" s="38">
        <f>SUM(Table15[[#This Row],[Health]])</f>
        <v>164.2</v>
      </c>
      <c r="F325" s="38">
        <f>SUM(Table15[[#This Row],[Recreation and amusement]],Table15[[#This Row],[Education]])/2</f>
        <v>158.75</v>
      </c>
      <c r="G325" s="63">
        <f>SUM(Table15[[#This Row],[Miscellaneous]],Table15[[#This Row],[Personal care and effects]])/2</f>
        <v>159.55000000000001</v>
      </c>
      <c r="H325" s="64">
        <f t="shared" si="35"/>
        <v>1.0847272230071325</v>
      </c>
      <c r="I325" s="64">
        <f t="shared" si="36"/>
        <v>-1.4032946918853029</v>
      </c>
      <c r="J325" s="64">
        <f t="shared" si="37"/>
        <v>-2.3255813953488516</v>
      </c>
      <c r="K325" s="64">
        <f t="shared" si="38"/>
        <v>-1.2673879443585852</v>
      </c>
      <c r="L325" s="64">
        <f t="shared" si="39"/>
        <v>-3.3549146556798215</v>
      </c>
      <c r="M325" s="64">
        <f t="shared" si="40"/>
        <v>-2.0364085158901641</v>
      </c>
      <c r="N325" s="64">
        <f t="shared" si="41"/>
        <v>-1.3906056860321383</v>
      </c>
    </row>
    <row r="326" spans="1:14" x14ac:dyDescent="0.3">
      <c r="A326" s="37">
        <f>SUM(Table15[[#This Row],[Cereals and products]:[Food and beverages]])/13</f>
        <v>135.96923076923076</v>
      </c>
      <c r="B326" s="37">
        <f>SUM(Table15[[#This Row],[Fuel and light]])</f>
        <v>129.80000000000001</v>
      </c>
      <c r="C326" s="37">
        <f>SUM(Table15[[#This Row],[Transport and communication]])</f>
        <v>120.7</v>
      </c>
      <c r="D326" s="37">
        <f>SUM(Table15[[#This Row],[Housing]],Table15[[#This Row],[Household goods and services]])/2</f>
        <v>139.5</v>
      </c>
      <c r="E326" s="37">
        <f>SUM(Table15[[#This Row],[Health]])</f>
        <v>134.9</v>
      </c>
      <c r="F326" s="37">
        <f>SUM(Table15[[#This Row],[Recreation and amusement]],Table15[[#This Row],[Education]])/2</f>
        <v>137.55000000000001</v>
      </c>
      <c r="G326" s="62">
        <f>SUM(Table15[[#This Row],[Miscellaneous]],Table15[[#This Row],[Personal care and effects]])/2</f>
        <v>129.65</v>
      </c>
      <c r="H326" s="64">
        <f t="shared" si="35"/>
        <v>-20.302989314216138</v>
      </c>
      <c r="I326" s="64">
        <f t="shared" si="36"/>
        <v>-19.678217821782169</v>
      </c>
      <c r="J326" s="64">
        <f t="shared" si="37"/>
        <v>-20.171957671957664</v>
      </c>
      <c r="K326" s="64">
        <f t="shared" si="38"/>
        <v>-12.648716343143388</v>
      </c>
      <c r="L326" s="64">
        <f t="shared" si="39"/>
        <v>-17.844092570036533</v>
      </c>
      <c r="M326" s="64">
        <f t="shared" si="40"/>
        <v>-13.354330708661411</v>
      </c>
      <c r="N326" s="64">
        <f t="shared" si="41"/>
        <v>-18.740206831714197</v>
      </c>
    </row>
    <row r="327" spans="1:14" x14ac:dyDescent="0.3">
      <c r="A327" s="38">
        <f>SUM(Table15[[#This Row],[Cereals and products]:[Food and beverages]])/13</f>
        <v>138.36153846153849</v>
      </c>
      <c r="B327" s="38">
        <f>SUM(Table15[[#This Row],[Fuel and light]])</f>
        <v>140.9</v>
      </c>
      <c r="C327" s="38">
        <f>SUM(Table15[[#This Row],[Transport and communication]])</f>
        <v>124.3</v>
      </c>
      <c r="D327" s="38">
        <f>SUM(Table15[[#This Row],[Housing]],Table15[[#This Row],[Household goods and services]])/2</f>
        <v>142</v>
      </c>
      <c r="E327" s="38">
        <f>SUM(Table15[[#This Row],[Health]])</f>
        <v>137.69999999999999</v>
      </c>
      <c r="F327" s="38">
        <f>SUM(Table15[[#This Row],[Recreation and amusement]],Table15[[#This Row],[Education]])/2</f>
        <v>139.80000000000001</v>
      </c>
      <c r="G327" s="63">
        <f>SUM(Table15[[#This Row],[Miscellaneous]],Table15[[#This Row],[Personal care and effects]])/2</f>
        <v>132</v>
      </c>
      <c r="H327" s="64">
        <f t="shared" si="35"/>
        <v>1.759447838877598</v>
      </c>
      <c r="I327" s="64">
        <f t="shared" si="36"/>
        <v>8.5516178736517663</v>
      </c>
      <c r="J327" s="64">
        <f t="shared" si="37"/>
        <v>2.9826014913007408</v>
      </c>
      <c r="K327" s="64">
        <f t="shared" si="38"/>
        <v>1.7921146953405016</v>
      </c>
      <c r="L327" s="64">
        <f t="shared" si="39"/>
        <v>2.0756115641215591</v>
      </c>
      <c r="M327" s="64">
        <f t="shared" si="40"/>
        <v>1.6357688113413302</v>
      </c>
      <c r="N327" s="64">
        <f t="shared" si="41"/>
        <v>1.8125723100655566</v>
      </c>
    </row>
    <row r="328" spans="1:14" x14ac:dyDescent="0.3">
      <c r="A328" s="37">
        <f>SUM(Table15[[#This Row],[Cereals and products]:[Food and beverages]])/13</f>
        <v>139.90769230769232</v>
      </c>
      <c r="B328" s="37">
        <f>SUM(Table15[[#This Row],[Fuel and light]])</f>
        <v>147.69999999999999</v>
      </c>
      <c r="C328" s="37">
        <f>SUM(Table15[[#This Row],[Transport and communication]])</f>
        <v>128.30000000000001</v>
      </c>
      <c r="D328" s="37">
        <f>SUM(Table15[[#This Row],[Housing]],Table15[[#This Row],[Household goods and services]])/2</f>
        <v>144.19999999999999</v>
      </c>
      <c r="E328" s="37">
        <f>SUM(Table15[[#This Row],[Health]])</f>
        <v>139.4</v>
      </c>
      <c r="F328" s="37">
        <f>SUM(Table15[[#This Row],[Recreation and amusement]],Table15[[#This Row],[Education]])/2</f>
        <v>142.75</v>
      </c>
      <c r="G328" s="62">
        <f>SUM(Table15[[#This Row],[Miscellaneous]],Table15[[#This Row],[Personal care and effects]])/2</f>
        <v>133.94999999999999</v>
      </c>
      <c r="H328" s="64">
        <f t="shared" si="35"/>
        <v>1.1174737310279514</v>
      </c>
      <c r="I328" s="64">
        <f t="shared" si="36"/>
        <v>4.8261178140525072</v>
      </c>
      <c r="J328" s="64">
        <f t="shared" si="37"/>
        <v>3.2180209171359726</v>
      </c>
      <c r="K328" s="64">
        <f t="shared" si="38"/>
        <v>1.5492957746478793</v>
      </c>
      <c r="L328" s="64">
        <f t="shared" si="39"/>
        <v>1.2345679012345803</v>
      </c>
      <c r="M328" s="64">
        <f t="shared" si="40"/>
        <v>2.1101573676680889</v>
      </c>
      <c r="N328" s="64">
        <f t="shared" si="41"/>
        <v>1.4772727272727186</v>
      </c>
    </row>
    <row r="329" spans="1:14" x14ac:dyDescent="0.3">
      <c r="A329" s="38">
        <f>SUM(Table15[[#This Row],[Cereals and products]:[Food and beverages]])/13</f>
        <v>136.38461538461536</v>
      </c>
      <c r="B329" s="38">
        <f>SUM(Table15[[#This Row],[Fuel and light]])</f>
        <v>118.9</v>
      </c>
      <c r="C329" s="38">
        <f>SUM(Table15[[#This Row],[Transport and communication]])</f>
        <v>114.6</v>
      </c>
      <c r="D329" s="38">
        <f>SUM(Table15[[#This Row],[Housing]],Table15[[#This Row],[Household goods and services]])/2</f>
        <v>131.05000000000001</v>
      </c>
      <c r="E329" s="38">
        <f>SUM(Table15[[#This Row],[Health]])</f>
        <v>125.7</v>
      </c>
      <c r="F329" s="38">
        <f>SUM(Table15[[#This Row],[Recreation and amusement]],Table15[[#This Row],[Education]])/2</f>
        <v>129.89999999999998</v>
      </c>
      <c r="G329" s="63">
        <f>SUM(Table15[[#This Row],[Miscellaneous]],Table15[[#This Row],[Personal care and effects]])/2</f>
        <v>123.55</v>
      </c>
      <c r="H329" s="64">
        <f t="shared" si="35"/>
        <v>-2.5181438310974507</v>
      </c>
      <c r="I329" s="64">
        <f t="shared" si="36"/>
        <v>-19.498984427894371</v>
      </c>
      <c r="J329" s="64">
        <f t="shared" si="37"/>
        <v>-10.67809820732659</v>
      </c>
      <c r="K329" s="64">
        <f t="shared" si="38"/>
        <v>-9.1192787794729391</v>
      </c>
      <c r="L329" s="64">
        <f t="shared" si="39"/>
        <v>-9.8278335724533736</v>
      </c>
      <c r="M329" s="64">
        <f t="shared" si="40"/>
        <v>-9.0017513134851299</v>
      </c>
      <c r="N329" s="64">
        <f t="shared" si="41"/>
        <v>-7.7640910787607265</v>
      </c>
    </row>
    <row r="330" spans="1:14" x14ac:dyDescent="0.3">
      <c r="A330" s="37">
        <f>SUM(Table15[[#This Row],[Cereals and products]:[Food and beverages]])/13</f>
        <v>137.21538461538461</v>
      </c>
      <c r="B330" s="37">
        <f>SUM(Table15[[#This Row],[Fuel and light]])</f>
        <v>129.80000000000001</v>
      </c>
      <c r="C330" s="37">
        <f>SUM(Table15[[#This Row],[Transport and communication]])</f>
        <v>117.3</v>
      </c>
      <c r="D330" s="37">
        <f>SUM(Table15[[#This Row],[Housing]],Table15[[#This Row],[Household goods and services]])/2</f>
        <v>133.60000000000002</v>
      </c>
      <c r="E330" s="37">
        <f>SUM(Table15[[#This Row],[Health]])</f>
        <v>130.19999999999999</v>
      </c>
      <c r="F330" s="37">
        <f>SUM(Table15[[#This Row],[Recreation and amusement]],Table15[[#This Row],[Education]])/2</f>
        <v>132.44999999999999</v>
      </c>
      <c r="G330" s="62">
        <f>SUM(Table15[[#This Row],[Miscellaneous]],Table15[[#This Row],[Personal care and effects]])/2</f>
        <v>125.65</v>
      </c>
      <c r="H330" s="64">
        <f t="shared" si="35"/>
        <v>0.60913705583757705</v>
      </c>
      <c r="I330" s="64">
        <f t="shared" si="36"/>
        <v>9.1673675357443276</v>
      </c>
      <c r="J330" s="64">
        <f t="shared" si="37"/>
        <v>2.3560209424083793</v>
      </c>
      <c r="K330" s="64">
        <f t="shared" si="38"/>
        <v>1.9458222052651746</v>
      </c>
      <c r="L330" s="64">
        <f t="shared" si="39"/>
        <v>3.5799522673030908</v>
      </c>
      <c r="M330" s="64">
        <f t="shared" si="40"/>
        <v>1.9630484988452748</v>
      </c>
      <c r="N330" s="64">
        <f t="shared" si="41"/>
        <v>1.699716713881027</v>
      </c>
    </row>
    <row r="331" spans="1:14" x14ac:dyDescent="0.3">
      <c r="A331" s="38">
        <f>SUM(Table15[[#This Row],[Cereals and products]:[Food and beverages]])/13</f>
        <v>137.88461538461536</v>
      </c>
      <c r="B331" s="38">
        <f>SUM(Table15[[#This Row],[Fuel and light]])</f>
        <v>136.4</v>
      </c>
      <c r="C331" s="38">
        <f>SUM(Table15[[#This Row],[Transport and communication]])</f>
        <v>120.3</v>
      </c>
      <c r="D331" s="38">
        <f>SUM(Table15[[#This Row],[Housing]],Table15[[#This Row],[Household goods and services]])/2</f>
        <v>135.85000000000002</v>
      </c>
      <c r="E331" s="38">
        <f>SUM(Table15[[#This Row],[Health]])</f>
        <v>133</v>
      </c>
      <c r="F331" s="38">
        <f>SUM(Table15[[#This Row],[Recreation and amusement]],Table15[[#This Row],[Education]])/2</f>
        <v>135.85</v>
      </c>
      <c r="G331" s="63">
        <f>SUM(Table15[[#This Row],[Miscellaneous]],Table15[[#This Row],[Personal care and effects]])/2</f>
        <v>127.55</v>
      </c>
      <c r="H331" s="64">
        <f t="shared" si="35"/>
        <v>0.4877228388832695</v>
      </c>
      <c r="I331" s="64">
        <f t="shared" si="36"/>
        <v>5.0847457627118597</v>
      </c>
      <c r="J331" s="64">
        <f t="shared" si="37"/>
        <v>2.5575447570332481</v>
      </c>
      <c r="K331" s="64">
        <f t="shared" si="38"/>
        <v>1.6841317365269459</v>
      </c>
      <c r="L331" s="64">
        <f t="shared" si="39"/>
        <v>2.1505376344086109</v>
      </c>
      <c r="M331" s="64">
        <f t="shared" si="40"/>
        <v>2.5670064175160481</v>
      </c>
      <c r="N331" s="64">
        <f t="shared" si="41"/>
        <v>1.5121368881814496</v>
      </c>
    </row>
    <row r="332" spans="1:14" x14ac:dyDescent="0.3">
      <c r="A332" s="37">
        <f>SUM(Table15[[#This Row],[Cereals and products]:[Food and beverages]])/13</f>
        <v>137.2307692307692</v>
      </c>
      <c r="B332" s="37">
        <f>SUM(Table15[[#This Row],[Fuel and light]])</f>
        <v>114.7</v>
      </c>
      <c r="C332" s="37">
        <f>SUM(Table15[[#This Row],[Transport and communication]])</f>
        <v>110.4</v>
      </c>
      <c r="D332" s="37">
        <f>SUM(Table15[[#This Row],[Housing]],Table15[[#This Row],[Household goods and services]])/2</f>
        <v>125.6</v>
      </c>
      <c r="E332" s="37">
        <f>SUM(Table15[[#This Row],[Health]])</f>
        <v>121.2</v>
      </c>
      <c r="F332" s="37">
        <f>SUM(Table15[[#This Row],[Recreation and amusement]],Table15[[#This Row],[Education]])/2</f>
        <v>126.05</v>
      </c>
      <c r="G332" s="62">
        <f>SUM(Table15[[#This Row],[Miscellaneous]],Table15[[#This Row],[Personal care and effects]])/2</f>
        <v>120.4</v>
      </c>
      <c r="H332" s="64">
        <f t="shared" si="35"/>
        <v>-0.47419804741980953</v>
      </c>
      <c r="I332" s="64">
        <f t="shared" si="36"/>
        <v>-15.909090909090912</v>
      </c>
      <c r="J332" s="64">
        <f t="shared" si="37"/>
        <v>-8.2294264339152043</v>
      </c>
      <c r="K332" s="64">
        <f t="shared" si="38"/>
        <v>-7.5450864924549332</v>
      </c>
      <c r="L332" s="64">
        <f t="shared" si="39"/>
        <v>-8.8721804511278179</v>
      </c>
      <c r="M332" s="64">
        <f t="shared" si="40"/>
        <v>-7.2138387927861594</v>
      </c>
      <c r="N332" s="64">
        <f t="shared" si="41"/>
        <v>-5.6056448451587544</v>
      </c>
    </row>
    <row r="333" spans="1:14" x14ac:dyDescent="0.3">
      <c r="A333" s="38">
        <f>SUM(Table15[[#This Row],[Cereals and products]:[Food and beverages]])/13</f>
        <v>136.76153846153846</v>
      </c>
      <c r="B333" s="38">
        <f>SUM(Table15[[#This Row],[Fuel and light]])</f>
        <v>123.6</v>
      </c>
      <c r="C333" s="38">
        <f>SUM(Table15[[#This Row],[Transport and communication]])</f>
        <v>113.1</v>
      </c>
      <c r="D333" s="38">
        <f>SUM(Table15[[#This Row],[Housing]],Table15[[#This Row],[Household goods and services]])/2</f>
        <v>127.35</v>
      </c>
      <c r="E333" s="38">
        <f>SUM(Table15[[#This Row],[Health]])</f>
        <v>124.8</v>
      </c>
      <c r="F333" s="38">
        <f>SUM(Table15[[#This Row],[Recreation and amusement]],Table15[[#This Row],[Education]])/2</f>
        <v>127.19999999999999</v>
      </c>
      <c r="G333" s="63">
        <f>SUM(Table15[[#This Row],[Miscellaneous]],Table15[[#This Row],[Personal care and effects]])/2</f>
        <v>121.8</v>
      </c>
      <c r="H333" s="64">
        <f t="shared" si="35"/>
        <v>-0.34192825112105052</v>
      </c>
      <c r="I333" s="64">
        <f t="shared" si="36"/>
        <v>7.7593722755012999</v>
      </c>
      <c r="J333" s="64">
        <f t="shared" si="37"/>
        <v>2.4456521739130332</v>
      </c>
      <c r="K333" s="64">
        <f t="shared" si="38"/>
        <v>1.3933121019108281</v>
      </c>
      <c r="L333" s="64">
        <f t="shared" si="39"/>
        <v>2.9702970297029658</v>
      </c>
      <c r="M333" s="64">
        <f t="shared" si="40"/>
        <v>0.91233637445457472</v>
      </c>
      <c r="N333" s="64">
        <f t="shared" si="41"/>
        <v>1.1627906976744116</v>
      </c>
    </row>
    <row r="334" spans="1:14" x14ac:dyDescent="0.3">
      <c r="A334" s="37">
        <f>SUM(Table15[[#This Row],[Cereals and products]:[Food and beverages]])/13</f>
        <v>136.73076923076923</v>
      </c>
      <c r="B334" s="37">
        <f>SUM(Table15[[#This Row],[Fuel and light]])</f>
        <v>129.1</v>
      </c>
      <c r="C334" s="37">
        <f>SUM(Table15[[#This Row],[Transport and communication]])</f>
        <v>116</v>
      </c>
      <c r="D334" s="37">
        <f>SUM(Table15[[#This Row],[Housing]],Table15[[#This Row],[Household goods and services]])/2</f>
        <v>128.94999999999999</v>
      </c>
      <c r="E334" s="37">
        <f>SUM(Table15[[#This Row],[Health]])</f>
        <v>127</v>
      </c>
      <c r="F334" s="37">
        <f>SUM(Table15[[#This Row],[Recreation and amusement]],Table15[[#This Row],[Education]])/2</f>
        <v>128.69999999999999</v>
      </c>
      <c r="G334" s="62">
        <f>SUM(Table15[[#This Row],[Miscellaneous]],Table15[[#This Row],[Personal care and effects]])/2</f>
        <v>123.1</v>
      </c>
      <c r="H334" s="64">
        <f t="shared" si="35"/>
        <v>-2.2498453231345462E-2</v>
      </c>
      <c r="I334" s="64">
        <f t="shared" si="36"/>
        <v>4.449838187702265</v>
      </c>
      <c r="J334" s="64">
        <f t="shared" si="37"/>
        <v>2.5641025641025692</v>
      </c>
      <c r="K334" s="64">
        <f t="shared" si="38"/>
        <v>1.2563800549666229</v>
      </c>
      <c r="L334" s="64">
        <f t="shared" si="39"/>
        <v>1.7628205128205152</v>
      </c>
      <c r="M334" s="64">
        <f t="shared" si="40"/>
        <v>1.179245283018868</v>
      </c>
      <c r="N334" s="64">
        <f t="shared" si="41"/>
        <v>1.0673234811165822</v>
      </c>
    </row>
    <row r="335" spans="1:14" x14ac:dyDescent="0.3">
      <c r="A335" s="38">
        <f>SUM(Table15[[#This Row],[Cereals and products]:[Food and beverages]])/13</f>
        <v>127.6076923076923</v>
      </c>
      <c r="B335" s="38">
        <f>SUM(Table15[[#This Row],[Fuel and light]])</f>
        <v>115.3</v>
      </c>
      <c r="C335" s="38">
        <f>SUM(Table15[[#This Row],[Transport and communication]])</f>
        <v>109.9</v>
      </c>
      <c r="D335" s="38">
        <f>SUM(Table15[[#This Row],[Housing]],Table15[[#This Row],[Household goods and services]])/2</f>
        <v>120.45</v>
      </c>
      <c r="E335" s="38">
        <f>SUM(Table15[[#This Row],[Health]])</f>
        <v>116.6</v>
      </c>
      <c r="F335" s="38">
        <f>SUM(Table15[[#This Row],[Recreation and amusement]],Table15[[#This Row],[Education]])/2</f>
        <v>121.7</v>
      </c>
      <c r="G335" s="63">
        <f>SUM(Table15[[#This Row],[Miscellaneous]],Table15[[#This Row],[Personal care and effects]])/2</f>
        <v>114.1</v>
      </c>
      <c r="H335" s="64">
        <f t="shared" si="35"/>
        <v>-6.6722925457102678</v>
      </c>
      <c r="I335" s="64">
        <f t="shared" si="36"/>
        <v>-10.689388071262586</v>
      </c>
      <c r="J335" s="64">
        <f t="shared" si="37"/>
        <v>-5.2586206896551673</v>
      </c>
      <c r="K335" s="64">
        <f t="shared" si="38"/>
        <v>-6.5917022101589655</v>
      </c>
      <c r="L335" s="64">
        <f t="shared" si="39"/>
        <v>-8.1889763779527591</v>
      </c>
      <c r="M335" s="64">
        <f t="shared" si="40"/>
        <v>-5.4390054390054292</v>
      </c>
      <c r="N335" s="64">
        <f t="shared" si="41"/>
        <v>-7.3111291632818851</v>
      </c>
    </row>
    <row r="336" spans="1:14" x14ac:dyDescent="0.3">
      <c r="A336" s="37">
        <f>SUM(Table15[[#This Row],[Cereals and products]:[Food and beverages]])/13</f>
        <v>126.89230769230768</v>
      </c>
      <c r="B336" s="37">
        <f>SUM(Table15[[#This Row],[Fuel and light]])</f>
        <v>120.6</v>
      </c>
      <c r="C336" s="37">
        <f>SUM(Table15[[#This Row],[Transport and communication]])</f>
        <v>111.7</v>
      </c>
      <c r="D336" s="37">
        <f>SUM(Table15[[#This Row],[Housing]],Table15[[#This Row],[Household goods and services]])/2</f>
        <v>121.45</v>
      </c>
      <c r="E336" s="37">
        <f>SUM(Table15[[#This Row],[Health]])</f>
        <v>119.4</v>
      </c>
      <c r="F336" s="37">
        <f>SUM(Table15[[#This Row],[Recreation and amusement]],Table15[[#This Row],[Education]])/2</f>
        <v>121.44999999999999</v>
      </c>
      <c r="G336" s="62">
        <f>SUM(Table15[[#This Row],[Miscellaneous]],Table15[[#This Row],[Personal care and effects]])/2</f>
        <v>114.75</v>
      </c>
      <c r="H336" s="64">
        <f t="shared" si="35"/>
        <v>-0.56061245403581184</v>
      </c>
      <c r="I336" s="64">
        <f t="shared" si="36"/>
        <v>4.5967042497831718</v>
      </c>
      <c r="J336" s="64">
        <f t="shared" si="37"/>
        <v>1.6378525932666033</v>
      </c>
      <c r="K336" s="64">
        <f t="shared" si="38"/>
        <v>0.8302200083022</v>
      </c>
      <c r="L336" s="64">
        <f t="shared" si="39"/>
        <v>2.4013722126929773</v>
      </c>
      <c r="M336" s="64">
        <f t="shared" si="40"/>
        <v>-0.20542317173378324</v>
      </c>
      <c r="N336" s="64">
        <f t="shared" si="41"/>
        <v>0.56967572304996117</v>
      </c>
    </row>
    <row r="337" spans="1:14" x14ac:dyDescent="0.3">
      <c r="A337" s="38">
        <f>SUM(Table15[[#This Row],[Cereals and products]:[Food and beverages]])/13</f>
        <v>126.66153846153846</v>
      </c>
      <c r="B337" s="38">
        <f>SUM(Table15[[#This Row],[Fuel and light]])</f>
        <v>123.8</v>
      </c>
      <c r="C337" s="38">
        <f>SUM(Table15[[#This Row],[Transport and communication]])</f>
        <v>113.6</v>
      </c>
      <c r="D337" s="38">
        <f>SUM(Table15[[#This Row],[Housing]],Table15[[#This Row],[Household goods and services]])/2</f>
        <v>122.30000000000001</v>
      </c>
      <c r="E337" s="38">
        <f>SUM(Table15[[#This Row],[Health]])</f>
        <v>121.1</v>
      </c>
      <c r="F337" s="38">
        <f>SUM(Table15[[#This Row],[Recreation and amusement]],Table15[[#This Row],[Education]])/2</f>
        <v>121.05</v>
      </c>
      <c r="G337" s="63">
        <f>SUM(Table15[[#This Row],[Miscellaneous]],Table15[[#This Row],[Personal care and effects]])/2</f>
        <v>115.35</v>
      </c>
      <c r="H337" s="64">
        <f t="shared" si="35"/>
        <v>-0.18186226964112168</v>
      </c>
      <c r="I337" s="64">
        <f t="shared" si="36"/>
        <v>2.653399668325044</v>
      </c>
      <c r="J337" s="64">
        <f t="shared" si="37"/>
        <v>1.7009847806624809</v>
      </c>
      <c r="K337" s="64">
        <f t="shared" si="38"/>
        <v>0.69987649238370397</v>
      </c>
      <c r="L337" s="64">
        <f t="shared" si="39"/>
        <v>1.4237855946398565</v>
      </c>
      <c r="M337" s="64">
        <f t="shared" si="40"/>
        <v>-0.32935364347467394</v>
      </c>
      <c r="N337" s="64">
        <f t="shared" si="41"/>
        <v>0.52287581699345909</v>
      </c>
    </row>
    <row r="338" spans="1:14" x14ac:dyDescent="0.3">
      <c r="A338" s="37">
        <f>SUM(Table15[[#This Row],[Cereals and products]:[Food and beverages]])/13</f>
        <v>121.71538461538459</v>
      </c>
      <c r="B338" s="37">
        <f>SUM(Table15[[#This Row],[Fuel and light]])</f>
        <v>115.4</v>
      </c>
      <c r="C338" s="37">
        <f>SUM(Table15[[#This Row],[Transport and communication]])</f>
        <v>113.2</v>
      </c>
      <c r="D338" s="37">
        <f>SUM(Table15[[#This Row],[Housing]],Table15[[#This Row],[Household goods and services]])/2</f>
        <v>115.7</v>
      </c>
      <c r="E338" s="37">
        <f>SUM(Table15[[#This Row],[Health]])</f>
        <v>114</v>
      </c>
      <c r="F338" s="37">
        <f>SUM(Table15[[#This Row],[Recreation and amusement]],Table15[[#This Row],[Education]])/2</f>
        <v>114.2</v>
      </c>
      <c r="G338" s="62">
        <f>SUM(Table15[[#This Row],[Miscellaneous]],Table15[[#This Row],[Personal care and effects]])/2</f>
        <v>111.45</v>
      </c>
      <c r="H338" s="64">
        <f t="shared" si="35"/>
        <v>-3.9050163974250096</v>
      </c>
      <c r="I338" s="64">
        <f t="shared" si="36"/>
        <v>-6.7851373182552441</v>
      </c>
      <c r="J338" s="64">
        <f t="shared" si="37"/>
        <v>-0.35211267605633051</v>
      </c>
      <c r="K338" s="64">
        <f t="shared" si="38"/>
        <v>-5.3965658217498023</v>
      </c>
      <c r="L338" s="64">
        <f t="shared" si="39"/>
        <v>-5.8629232039636614</v>
      </c>
      <c r="M338" s="64">
        <f t="shared" si="40"/>
        <v>-5.6588186699710814</v>
      </c>
      <c r="N338" s="64">
        <f t="shared" si="41"/>
        <v>-3.3810143042912797</v>
      </c>
    </row>
    <row r="339" spans="1:14" x14ac:dyDescent="0.3">
      <c r="A339" s="38">
        <f>SUM(Table15[[#This Row],[Cereals and products]:[Food and beverages]])/13</f>
        <v>122.65384615384613</v>
      </c>
      <c r="B339" s="38">
        <f>SUM(Table15[[#This Row],[Fuel and light]])</f>
        <v>114</v>
      </c>
      <c r="C339" s="38">
        <f>SUM(Table15[[#This Row],[Transport and communication]])</f>
        <v>112.8</v>
      </c>
      <c r="D339" s="38">
        <f>SUM(Table15[[#This Row],[Housing]],Table15[[#This Row],[Household goods and services]])/2</f>
        <v>115.55</v>
      </c>
      <c r="E339" s="38">
        <f>SUM(Table15[[#This Row],[Health]])</f>
        <v>113.3</v>
      </c>
      <c r="F339" s="38">
        <f>SUM(Table15[[#This Row],[Recreation and amusement]],Table15[[#This Row],[Education]])/2</f>
        <v>115.3</v>
      </c>
      <c r="G339" s="63">
        <f>SUM(Table15[[#This Row],[Miscellaneous]],Table15[[#This Row],[Personal care and effects]])/2</f>
        <v>111.80000000000001</v>
      </c>
      <c r="H339" s="64">
        <f t="shared" si="35"/>
        <v>0.77102951399860997</v>
      </c>
      <c r="I339" s="64">
        <f t="shared" si="36"/>
        <v>-1.2131715771230551</v>
      </c>
      <c r="J339" s="64">
        <f t="shared" si="37"/>
        <v>-0.35335689045936897</v>
      </c>
      <c r="K339" s="64">
        <f t="shared" si="38"/>
        <v>-0.12964563526361772</v>
      </c>
      <c r="L339" s="64">
        <f t="shared" si="39"/>
        <v>-0.61403508771930071</v>
      </c>
      <c r="M339" s="64">
        <f t="shared" si="40"/>
        <v>0.96322241681260445</v>
      </c>
      <c r="N339" s="64">
        <f t="shared" si="41"/>
        <v>0.31404217137730689</v>
      </c>
    </row>
    <row r="340" spans="1:14" x14ac:dyDescent="0.3">
      <c r="A340" s="37">
        <f>SUM(Table15[[#This Row],[Cereals and products]:[Food and beverages]])/13</f>
        <v>124.38461538461539</v>
      </c>
      <c r="B340" s="37">
        <f>SUM(Table15[[#This Row],[Fuel and light]])</f>
        <v>111.8</v>
      </c>
      <c r="C340" s="37">
        <f>SUM(Table15[[#This Row],[Transport and communication]])</f>
        <v>112.5</v>
      </c>
      <c r="D340" s="37">
        <f>SUM(Table15[[#This Row],[Housing]],Table15[[#This Row],[Household goods and services]])/2</f>
        <v>115.4</v>
      </c>
      <c r="E340" s="37">
        <f>SUM(Table15[[#This Row],[Health]])</f>
        <v>112.2</v>
      </c>
      <c r="F340" s="37">
        <f>SUM(Table15[[#This Row],[Recreation and amusement]],Table15[[#This Row],[Education]])/2</f>
        <v>116.05000000000001</v>
      </c>
      <c r="G340" s="62">
        <f>SUM(Table15[[#This Row],[Miscellaneous]],Table15[[#This Row],[Personal care and effects]])/2</f>
        <v>112.2</v>
      </c>
      <c r="H340" s="64">
        <f t="shared" si="35"/>
        <v>1.4111006585136605</v>
      </c>
      <c r="I340" s="64">
        <f t="shared" si="36"/>
        <v>-1.9298245614035112</v>
      </c>
      <c r="J340" s="64">
        <f t="shared" si="37"/>
        <v>-0.26595744680850814</v>
      </c>
      <c r="K340" s="64">
        <f t="shared" si="38"/>
        <v>-0.12981393336217351</v>
      </c>
      <c r="L340" s="64">
        <f t="shared" si="39"/>
        <v>-0.97087378640776201</v>
      </c>
      <c r="M340" s="64">
        <f t="shared" si="40"/>
        <v>0.65047701647876344</v>
      </c>
      <c r="N340" s="64">
        <f t="shared" si="41"/>
        <v>0.35778175313058269</v>
      </c>
    </row>
    <row r="341" spans="1:14" x14ac:dyDescent="0.3">
      <c r="A341" s="38">
        <f>SUM(Table15[[#This Row],[Cereals and products]:[Food and beverages]])/13</f>
        <v>112.5</v>
      </c>
      <c r="B341" s="38">
        <f>SUM(Table15[[#This Row],[Fuel and light]])</f>
        <v>109.9</v>
      </c>
      <c r="C341" s="38">
        <f>SUM(Table15[[#This Row],[Transport and communication]])</f>
        <v>107.8</v>
      </c>
      <c r="D341" s="38">
        <f>SUM(Table15[[#This Row],[Housing]],Table15[[#This Row],[Household goods and services]])/2</f>
        <v>108.80000000000001</v>
      </c>
      <c r="E341" s="38">
        <f>SUM(Table15[[#This Row],[Health]])</f>
        <v>107.5</v>
      </c>
      <c r="F341" s="38">
        <f>SUM(Table15[[#This Row],[Recreation and amusement]],Table15[[#This Row],[Education]])/2</f>
        <v>107.75</v>
      </c>
      <c r="G341" s="63">
        <f>SUM(Table15[[#This Row],[Miscellaneous]],Table15[[#This Row],[Personal care and effects]])/2</f>
        <v>106.25</v>
      </c>
      <c r="H341" s="64">
        <f t="shared" si="35"/>
        <v>-9.554730983302413</v>
      </c>
      <c r="I341" s="64">
        <f t="shared" si="36"/>
        <v>-1.6994633273702966</v>
      </c>
      <c r="J341" s="64">
        <f t="shared" si="37"/>
        <v>-4.1777777777777807</v>
      </c>
      <c r="K341" s="64">
        <f t="shared" si="38"/>
        <v>-5.7192374350086599</v>
      </c>
      <c r="L341" s="64">
        <f t="shared" si="39"/>
        <v>-4.1889483065953677</v>
      </c>
      <c r="M341" s="64">
        <f t="shared" si="40"/>
        <v>-7.1520896165446022</v>
      </c>
      <c r="N341" s="64">
        <f t="shared" si="41"/>
        <v>-5.3030303030303054</v>
      </c>
    </row>
    <row r="342" spans="1:14" x14ac:dyDescent="0.3">
      <c r="A342" s="37">
        <f>SUM(Table15[[#This Row],[Cereals and products]:[Food and beverages]])/13</f>
        <v>113.64615384615385</v>
      </c>
      <c r="B342" s="37">
        <f>SUM(Table15[[#This Row],[Fuel and light]])</f>
        <v>109.7</v>
      </c>
      <c r="C342" s="37">
        <f>SUM(Table15[[#This Row],[Transport and communication]])</f>
        <v>108</v>
      </c>
      <c r="D342" s="37">
        <f>SUM(Table15[[#This Row],[Housing]],Table15[[#This Row],[Household goods and services]])/2</f>
        <v>108.80000000000001</v>
      </c>
      <c r="E342" s="37">
        <f>SUM(Table15[[#This Row],[Health]])</f>
        <v>107.5</v>
      </c>
      <c r="F342" s="37">
        <f>SUM(Table15[[#This Row],[Recreation and amusement]],Table15[[#This Row],[Education]])/2</f>
        <v>108.25</v>
      </c>
      <c r="G342" s="62">
        <f>SUM(Table15[[#This Row],[Miscellaneous]],Table15[[#This Row],[Personal care and effects]])/2</f>
        <v>106.65</v>
      </c>
      <c r="H342" s="64">
        <f t="shared" si="35"/>
        <v>1.0188034188034232</v>
      </c>
      <c r="I342" s="64">
        <f t="shared" si="36"/>
        <v>-0.18198362147406993</v>
      </c>
      <c r="J342" s="64">
        <f t="shared" si="37"/>
        <v>0.18552875695733104</v>
      </c>
      <c r="K342" s="64">
        <f t="shared" si="38"/>
        <v>0</v>
      </c>
      <c r="L342" s="64">
        <f t="shared" si="39"/>
        <v>0</v>
      </c>
      <c r="M342" s="64">
        <f t="shared" si="40"/>
        <v>0.46403712296983757</v>
      </c>
      <c r="N342" s="64">
        <f t="shared" si="41"/>
        <v>0.37647058823529944</v>
      </c>
    </row>
    <row r="343" spans="1:14" x14ac:dyDescent="0.3">
      <c r="A343" s="38">
        <f>SUM(Table15[[#This Row],[Cereals and products]:[Food and beverages]])/13</f>
        <v>115.85384615384616</v>
      </c>
      <c r="B343" s="38">
        <f>SUM(Table15[[#This Row],[Fuel and light]])</f>
        <v>109.3</v>
      </c>
      <c r="C343" s="38">
        <f>SUM(Table15[[#This Row],[Transport and communication]])</f>
        <v>108.1</v>
      </c>
      <c r="D343" s="38">
        <f>SUM(Table15[[#This Row],[Housing]],Table15[[#This Row],[Household goods and services]])/2</f>
        <v>108.80000000000001</v>
      </c>
      <c r="E343" s="38">
        <f>SUM(Table15[[#This Row],[Health]])</f>
        <v>107.6</v>
      </c>
      <c r="F343" s="38">
        <f>SUM(Table15[[#This Row],[Recreation and amusement]],Table15[[#This Row],[Education]])/2</f>
        <v>108.65</v>
      </c>
      <c r="G343" s="63">
        <f>SUM(Table15[[#This Row],[Miscellaneous]],Table15[[#This Row],[Personal care and effects]])/2</f>
        <v>107.15</v>
      </c>
      <c r="H343" s="64">
        <f t="shared" si="35"/>
        <v>1.9426018681467483</v>
      </c>
      <c r="I343" s="64">
        <f t="shared" si="36"/>
        <v>-0.36463081130356029</v>
      </c>
      <c r="J343" s="64">
        <f t="shared" si="37"/>
        <v>9.2592592592587328E-2</v>
      </c>
      <c r="K343" s="64">
        <f t="shared" si="38"/>
        <v>0</v>
      </c>
      <c r="L343" s="64">
        <f t="shared" si="39"/>
        <v>9.30232558139482E-2</v>
      </c>
      <c r="M343" s="64">
        <f t="shared" si="40"/>
        <v>0.36951501154734934</v>
      </c>
      <c r="N343" s="64">
        <f t="shared" si="41"/>
        <v>0.46882325363338018</v>
      </c>
    </row>
    <row r="344" spans="1:14" x14ac:dyDescent="0.3">
      <c r="A344" s="37">
        <f>SUM(Table15[[#This Row],[Cereals and products]:[Food and beverages]])/13</f>
        <v>174.93846153846152</v>
      </c>
      <c r="B344" s="37">
        <f>SUM(Table15[[#This Row],[Fuel and light]])</f>
        <v>181.5</v>
      </c>
      <c r="C344" s="37">
        <f>SUM(Table15[[#This Row],[Transport and communication]])</f>
        <v>169.4</v>
      </c>
      <c r="D344" s="37">
        <f>SUM(Table15[[#This Row],[Housing]],Table15[[#This Row],[Household goods and services]])/2</f>
        <v>177.14999999999998</v>
      </c>
      <c r="E344" s="37">
        <f>SUM(Table15[[#This Row],[Health]])</f>
        <v>187.2</v>
      </c>
      <c r="F344" s="37">
        <f>SUM(Table15[[#This Row],[Recreation and amusement]],Table15[[#This Row],[Education]])/2</f>
        <v>176.3</v>
      </c>
      <c r="G344" s="62">
        <f>SUM(Table15[[#This Row],[Miscellaneous]],Table15[[#This Row],[Personal care and effects]])/2</f>
        <v>181.35000000000002</v>
      </c>
      <c r="H344" s="64">
        <f t="shared" si="35"/>
        <v>50.999269636810283</v>
      </c>
      <c r="I344" s="64">
        <f t="shared" si="36"/>
        <v>66.05672461116194</v>
      </c>
      <c r="J344" s="64">
        <f t="shared" si="37"/>
        <v>56.706753006475495</v>
      </c>
      <c r="K344" s="64">
        <f t="shared" si="38"/>
        <v>62.821691176470551</v>
      </c>
      <c r="L344" s="64">
        <f t="shared" si="39"/>
        <v>73.977695167286242</v>
      </c>
      <c r="M344" s="64">
        <f t="shared" si="40"/>
        <v>62.264150943396224</v>
      </c>
      <c r="N344" s="64">
        <f t="shared" si="41"/>
        <v>69.248716752216538</v>
      </c>
    </row>
    <row r="345" spans="1:14" x14ac:dyDescent="0.3">
      <c r="A345" s="38">
        <f>SUM(Table15[[#This Row],[Cereals and products]:[Food and beverages]])/13</f>
        <v>176.12307692307695</v>
      </c>
      <c r="B345" s="38">
        <f>SUM(Table15[[#This Row],[Fuel and light]])</f>
        <v>181.7</v>
      </c>
      <c r="C345" s="38">
        <f>SUM(Table15[[#This Row],[Transport and communication]])</f>
        <v>164.5</v>
      </c>
      <c r="D345" s="38">
        <f>SUM(Table15[[#This Row],[Housing]],Table15[[#This Row],[Household goods and services]])/2</f>
        <v>174.89999999999998</v>
      </c>
      <c r="E345" s="38">
        <f>SUM(Table15[[#This Row],[Health]])</f>
        <v>185</v>
      </c>
      <c r="F345" s="38">
        <f>SUM(Table15[[#This Row],[Recreation and amusement]],Table15[[#This Row],[Education]])/2</f>
        <v>173.55</v>
      </c>
      <c r="G345" s="63">
        <f>SUM(Table15[[#This Row],[Miscellaneous]],Table15[[#This Row],[Personal care and effects]])/2</f>
        <v>179.5</v>
      </c>
      <c r="H345" s="64">
        <f t="shared" si="35"/>
        <v>0.67716119954272036</v>
      </c>
      <c r="I345" s="64">
        <f t="shared" si="36"/>
        <v>0.11019283746555848</v>
      </c>
      <c r="J345" s="64">
        <f t="shared" si="37"/>
        <v>-2.8925619834710776</v>
      </c>
      <c r="K345" s="64">
        <f t="shared" si="38"/>
        <v>-1.2701100762066047</v>
      </c>
      <c r="L345" s="64">
        <f t="shared" si="39"/>
        <v>-1.175213675213669</v>
      </c>
      <c r="M345" s="64">
        <f t="shared" si="40"/>
        <v>-1.5598411798071468</v>
      </c>
      <c r="N345" s="64">
        <f t="shared" si="41"/>
        <v>-1.0201268265784518</v>
      </c>
    </row>
    <row r="346" spans="1:14" x14ac:dyDescent="0.3">
      <c r="A346" s="37">
        <f>SUM(Table15[[#This Row],[Cereals and products]:[Food and beverages]])/13</f>
        <v>178.28461538461539</v>
      </c>
      <c r="B346" s="37">
        <f>SUM(Table15[[#This Row],[Fuel and light]])</f>
        <v>182.1</v>
      </c>
      <c r="C346" s="37">
        <f>SUM(Table15[[#This Row],[Transport and communication]])</f>
        <v>160.1</v>
      </c>
      <c r="D346" s="37">
        <f>SUM(Table15[[#This Row],[Housing]],Table15[[#This Row],[Household goods and services]])/2</f>
        <v>172.39999999999998</v>
      </c>
      <c r="E346" s="37">
        <f>SUM(Table15[[#This Row],[Health]])</f>
        <v>181.5</v>
      </c>
      <c r="F346" s="37">
        <f>SUM(Table15[[#This Row],[Recreation and amusement]],Table15[[#This Row],[Education]])/2</f>
        <v>171.5</v>
      </c>
      <c r="G346" s="62">
        <f>SUM(Table15[[#This Row],[Miscellaneous]],Table15[[#This Row],[Personal care and effects]])/2</f>
        <v>177.65</v>
      </c>
      <c r="H346" s="64">
        <f t="shared" si="35"/>
        <v>1.2272886093640694</v>
      </c>
      <c r="I346" s="64">
        <f t="shared" si="36"/>
        <v>0.22014309301045995</v>
      </c>
      <c r="J346" s="64">
        <f t="shared" si="37"/>
        <v>-2.6747720364741676</v>
      </c>
      <c r="K346" s="64">
        <f t="shared" si="38"/>
        <v>-1.4293882218410521</v>
      </c>
      <c r="L346" s="64">
        <f t="shared" si="39"/>
        <v>-1.8918918918918921</v>
      </c>
      <c r="M346" s="64">
        <f t="shared" si="40"/>
        <v>-1.1812157879573675</v>
      </c>
      <c r="N346" s="64">
        <f t="shared" si="41"/>
        <v>-1.0306406685236738</v>
      </c>
    </row>
    <row r="347" spans="1:14" x14ac:dyDescent="0.3">
      <c r="A347" s="38">
        <f>SUM(Table15[[#This Row],[Cereals and products]:[Food and beverages]])/13</f>
        <v>169.73846153846154</v>
      </c>
      <c r="B347" s="38">
        <f>SUM(Table15[[#This Row],[Fuel and light]])</f>
        <v>173.3</v>
      </c>
      <c r="C347" s="38">
        <f>SUM(Table15[[#This Row],[Transport and communication]])</f>
        <v>166.2</v>
      </c>
      <c r="D347" s="38">
        <f>SUM(Table15[[#This Row],[Housing]],Table15[[#This Row],[Household goods and services]])/2</f>
        <v>167.35</v>
      </c>
      <c r="E347" s="38">
        <f>SUM(Table15[[#This Row],[Health]])</f>
        <v>177</v>
      </c>
      <c r="F347" s="38">
        <f>SUM(Table15[[#This Row],[Recreation and amusement]],Table15[[#This Row],[Education]])/2</f>
        <v>169.05</v>
      </c>
      <c r="G347" s="63">
        <f>SUM(Table15[[#This Row],[Miscellaneous]],Table15[[#This Row],[Personal care and effects]])/2</f>
        <v>169.6</v>
      </c>
      <c r="H347" s="64">
        <f t="shared" si="35"/>
        <v>-4.793545325106793</v>
      </c>
      <c r="I347" s="64">
        <f t="shared" si="36"/>
        <v>-4.8325096101043288</v>
      </c>
      <c r="J347" s="64">
        <f t="shared" si="37"/>
        <v>3.8101186758276042</v>
      </c>
      <c r="K347" s="64">
        <f t="shared" si="38"/>
        <v>-2.92923433874709</v>
      </c>
      <c r="L347" s="64">
        <f t="shared" si="39"/>
        <v>-2.4793388429752068</v>
      </c>
      <c r="M347" s="64">
        <f t="shared" si="40"/>
        <v>-1.4285714285714219</v>
      </c>
      <c r="N347" s="64">
        <f t="shared" si="41"/>
        <v>-4.5313819307627421</v>
      </c>
    </row>
    <row r="348" spans="1:14" x14ac:dyDescent="0.3">
      <c r="A348" s="37">
        <f>SUM(Table15[[#This Row],[Cereals and products]:[Food and beverages]])/13</f>
        <v>170.33076923076925</v>
      </c>
      <c r="B348" s="37">
        <f>SUM(Table15[[#This Row],[Fuel and light]])</f>
        <v>172.2</v>
      </c>
      <c r="C348" s="37">
        <f>SUM(Table15[[#This Row],[Transport and communication]])</f>
        <v>162.6</v>
      </c>
      <c r="D348" s="37">
        <f>SUM(Table15[[#This Row],[Housing]],Table15[[#This Row],[Household goods and services]])/2</f>
        <v>165.5</v>
      </c>
      <c r="E348" s="37">
        <f>SUM(Table15[[#This Row],[Health]])</f>
        <v>174</v>
      </c>
      <c r="F348" s="37">
        <f>SUM(Table15[[#This Row],[Recreation and amusement]],Table15[[#This Row],[Education]])/2</f>
        <v>165.65</v>
      </c>
      <c r="G348" s="62">
        <f>SUM(Table15[[#This Row],[Miscellaneous]],Table15[[#This Row],[Personal care and effects]])/2</f>
        <v>167.8</v>
      </c>
      <c r="H348" s="64">
        <f t="shared" si="35"/>
        <v>0.34895314057827753</v>
      </c>
      <c r="I348" s="64">
        <f t="shared" si="36"/>
        <v>-0.63473744950953415</v>
      </c>
      <c r="J348" s="64">
        <f t="shared" si="37"/>
        <v>-2.1660649819494551</v>
      </c>
      <c r="K348" s="64">
        <f t="shared" si="38"/>
        <v>-1.1054675829100655</v>
      </c>
      <c r="L348" s="64">
        <f t="shared" si="39"/>
        <v>-1.6949152542372881</v>
      </c>
      <c r="M348" s="64">
        <f t="shared" si="40"/>
        <v>-2.0112392783200268</v>
      </c>
      <c r="N348" s="64">
        <f t="shared" si="41"/>
        <v>-1.0613207547169712</v>
      </c>
    </row>
    <row r="349" spans="1:14" x14ac:dyDescent="0.3">
      <c r="A349" s="38">
        <f>SUM(Table15[[#This Row],[Cereals and products]:[Food and beverages]])/13</f>
        <v>171.56923076923078</v>
      </c>
      <c r="B349" s="38">
        <f>SUM(Table15[[#This Row],[Fuel and light]])</f>
        <v>170.5</v>
      </c>
      <c r="C349" s="38">
        <f>SUM(Table15[[#This Row],[Transport and communication]])</f>
        <v>159.30000000000001</v>
      </c>
      <c r="D349" s="38">
        <f>SUM(Table15[[#This Row],[Housing]],Table15[[#This Row],[Household goods and services]])/2</f>
        <v>163.4</v>
      </c>
      <c r="E349" s="38">
        <f>SUM(Table15[[#This Row],[Health]])</f>
        <v>169</v>
      </c>
      <c r="F349" s="38">
        <f>SUM(Table15[[#This Row],[Recreation and amusement]],Table15[[#This Row],[Education]])/2</f>
        <v>163.1</v>
      </c>
      <c r="G349" s="63">
        <f>SUM(Table15[[#This Row],[Miscellaneous]],Table15[[#This Row],[Personal care and effects]])/2</f>
        <v>165.75</v>
      </c>
      <c r="H349" s="64">
        <f t="shared" si="35"/>
        <v>0.72709208327688046</v>
      </c>
      <c r="I349" s="64">
        <f t="shared" si="36"/>
        <v>-0.98722415795585872</v>
      </c>
      <c r="J349" s="64">
        <f t="shared" si="37"/>
        <v>-2.0295202952029414</v>
      </c>
      <c r="K349" s="64">
        <f t="shared" si="38"/>
        <v>-1.2688821752265826</v>
      </c>
      <c r="L349" s="64">
        <f t="shared" si="39"/>
        <v>-2.8735632183908044</v>
      </c>
      <c r="M349" s="64">
        <f t="shared" si="40"/>
        <v>-1.5393902807123521</v>
      </c>
      <c r="N349" s="64">
        <f t="shared" si="41"/>
        <v>-1.2216924910607934</v>
      </c>
    </row>
    <row r="350" spans="1:14" x14ac:dyDescent="0.3">
      <c r="A350" s="37">
        <f>SUM(Table15[[#This Row],[Cereals and products]:[Food and beverages]])/13</f>
        <v>166.47692307692307</v>
      </c>
      <c r="B350" s="37">
        <f>SUM(Table15[[#This Row],[Fuel and light]])</f>
        <v>165.5</v>
      </c>
      <c r="C350" s="37">
        <f>SUM(Table15[[#This Row],[Transport and communication]])</f>
        <v>159.5</v>
      </c>
      <c r="D350" s="37">
        <f>SUM(Table15[[#This Row],[Housing]],Table15[[#This Row],[Household goods and services]])/2</f>
        <v>159.25</v>
      </c>
      <c r="E350" s="37">
        <f>SUM(Table15[[#This Row],[Health]])</f>
        <v>172.5</v>
      </c>
      <c r="F350" s="37">
        <f>SUM(Table15[[#This Row],[Recreation and amusement]],Table15[[#This Row],[Education]])/2</f>
        <v>166.1</v>
      </c>
      <c r="G350" s="62">
        <f>SUM(Table15[[#This Row],[Miscellaneous]],Table15[[#This Row],[Personal care and effects]])/2</f>
        <v>162.89999999999998</v>
      </c>
      <c r="H350" s="64">
        <f t="shared" si="35"/>
        <v>-2.9680774748924077</v>
      </c>
      <c r="I350" s="64">
        <f t="shared" si="36"/>
        <v>-2.9325513196480939</v>
      </c>
      <c r="J350" s="64">
        <f t="shared" si="37"/>
        <v>0.12554927809164382</v>
      </c>
      <c r="K350" s="64">
        <f t="shared" si="38"/>
        <v>-2.5397796817625493</v>
      </c>
      <c r="L350" s="64">
        <f t="shared" si="39"/>
        <v>2.0710059171597637</v>
      </c>
      <c r="M350" s="64">
        <f t="shared" si="40"/>
        <v>1.8393623543838136</v>
      </c>
      <c r="N350" s="64">
        <f t="shared" si="41"/>
        <v>-1.7194570135746743</v>
      </c>
    </row>
    <row r="351" spans="1:14" x14ac:dyDescent="0.3">
      <c r="A351" s="38">
        <f>SUM(Table15[[#This Row],[Cereals and products]:[Food and beverages]])/13</f>
        <v>167.34615384615384</v>
      </c>
      <c r="B351" s="38">
        <f>SUM(Table15[[#This Row],[Fuel and light]])</f>
        <v>164.2</v>
      </c>
      <c r="C351" s="38">
        <f>SUM(Table15[[#This Row],[Transport and communication]])</f>
        <v>155.69999999999999</v>
      </c>
      <c r="D351" s="38">
        <f>SUM(Table15[[#This Row],[Housing]],Table15[[#This Row],[Household goods and services]])/2</f>
        <v>161</v>
      </c>
      <c r="E351" s="38">
        <f>SUM(Table15[[#This Row],[Health]])</f>
        <v>169.1</v>
      </c>
      <c r="F351" s="38">
        <f>SUM(Table15[[#This Row],[Recreation and amusement]],Table15[[#This Row],[Education]])/2</f>
        <v>161.25</v>
      </c>
      <c r="G351" s="63">
        <f>SUM(Table15[[#This Row],[Miscellaneous]],Table15[[#This Row],[Personal care and effects]])/2</f>
        <v>160.9</v>
      </c>
      <c r="H351" s="64">
        <f t="shared" si="35"/>
        <v>0.52213288975140859</v>
      </c>
      <c r="I351" s="64">
        <f t="shared" si="36"/>
        <v>-0.78549848942598877</v>
      </c>
      <c r="J351" s="64">
        <f t="shared" si="37"/>
        <v>-2.3824451410658378</v>
      </c>
      <c r="K351" s="64">
        <f t="shared" si="38"/>
        <v>1.098901098901099</v>
      </c>
      <c r="L351" s="64">
        <f t="shared" si="39"/>
        <v>-1.9710144927536266</v>
      </c>
      <c r="M351" s="64">
        <f t="shared" si="40"/>
        <v>-2.9199277543648372</v>
      </c>
      <c r="N351" s="64">
        <f t="shared" si="41"/>
        <v>-1.2277470841006579</v>
      </c>
    </row>
    <row r="352" spans="1:14" x14ac:dyDescent="0.3">
      <c r="A352" s="37">
        <f>SUM(Table15[[#This Row],[Cereals and products]:[Food and beverages]])/13</f>
        <v>169.10769230769236</v>
      </c>
      <c r="B352" s="37">
        <f>SUM(Table15[[#This Row],[Fuel and light]])</f>
        <v>162.19999999999999</v>
      </c>
      <c r="C352" s="37">
        <f>SUM(Table15[[#This Row],[Transport and communication]])</f>
        <v>152.19999999999999</v>
      </c>
      <c r="D352" s="37">
        <f>SUM(Table15[[#This Row],[Housing]],Table15[[#This Row],[Household goods and services]])/2</f>
        <v>158.94999999999999</v>
      </c>
      <c r="E352" s="37">
        <f>SUM(Table15[[#This Row],[Health]])</f>
        <v>163.5</v>
      </c>
      <c r="F352" s="37">
        <f>SUM(Table15[[#This Row],[Recreation and amusement]],Table15[[#This Row],[Education]])/2</f>
        <v>157.69999999999999</v>
      </c>
      <c r="G352" s="62">
        <f>SUM(Table15[[#This Row],[Miscellaneous]],Table15[[#This Row],[Personal care and effects]])/2</f>
        <v>158.65</v>
      </c>
      <c r="H352" s="64">
        <f t="shared" si="35"/>
        <v>1.0526315789474039</v>
      </c>
      <c r="I352" s="64">
        <f t="shared" si="36"/>
        <v>-1.2180267965895251</v>
      </c>
      <c r="J352" s="64">
        <f t="shared" si="37"/>
        <v>-2.2479126525369302</v>
      </c>
      <c r="K352" s="64">
        <f t="shared" si="38"/>
        <v>-1.2732919254658457</v>
      </c>
      <c r="L352" s="64">
        <f t="shared" si="39"/>
        <v>-3.3116499112950883</v>
      </c>
      <c r="M352" s="64">
        <f t="shared" si="40"/>
        <v>-2.2015503875969062</v>
      </c>
      <c r="N352" s="64">
        <f t="shared" si="41"/>
        <v>-1.3983840894965818</v>
      </c>
    </row>
    <row r="353" spans="1:14" x14ac:dyDescent="0.3">
      <c r="A353" s="38">
        <f>SUM(Table15[[#This Row],[Cereals and products]:[Food and beverages]])/13</f>
        <v>164.12307692307692</v>
      </c>
      <c r="B353" s="38">
        <f>SUM(Table15[[#This Row],[Fuel and light]])</f>
        <v>163.69999999999999</v>
      </c>
      <c r="C353" s="38">
        <f>SUM(Table15[[#This Row],[Transport and communication]])</f>
        <v>157.80000000000001</v>
      </c>
      <c r="D353" s="38">
        <f>SUM(Table15[[#This Row],[Housing]],Table15[[#This Row],[Household goods and services]])/2</f>
        <v>158.80000000000001</v>
      </c>
      <c r="E353" s="38">
        <f>SUM(Table15[[#This Row],[Health]])</f>
        <v>171.9</v>
      </c>
      <c r="F353" s="38">
        <f>SUM(Table15[[#This Row],[Recreation and amusement]],Table15[[#This Row],[Education]])/2</f>
        <v>165.6</v>
      </c>
      <c r="G353" s="63">
        <f>SUM(Table15[[#This Row],[Miscellaneous]],Table15[[#This Row],[Personal care and effects]])/2</f>
        <v>162</v>
      </c>
      <c r="H353" s="64">
        <f t="shared" si="35"/>
        <v>-2.9475982532751397</v>
      </c>
      <c r="I353" s="64">
        <f t="shared" si="36"/>
        <v>0.92478421701602964</v>
      </c>
      <c r="J353" s="64">
        <f t="shared" si="37"/>
        <v>3.6793692509855607</v>
      </c>
      <c r="K353" s="64">
        <f t="shared" si="38"/>
        <v>-9.4369298521533362E-2</v>
      </c>
      <c r="L353" s="64">
        <f t="shared" si="39"/>
        <v>5.1376146788990864</v>
      </c>
      <c r="M353" s="64">
        <f t="shared" si="40"/>
        <v>5.0095117311350705</v>
      </c>
      <c r="N353" s="64">
        <f t="shared" si="41"/>
        <v>2.1115663410022023</v>
      </c>
    </row>
    <row r="354" spans="1:14" x14ac:dyDescent="0.3">
      <c r="A354" s="37">
        <f>SUM(Table15[[#This Row],[Cereals and products]:[Food and beverages]])/13</f>
        <v>164.76923076923077</v>
      </c>
      <c r="B354" s="37">
        <f>SUM(Table15[[#This Row],[Fuel and light]])</f>
        <v>162.6</v>
      </c>
      <c r="C354" s="37">
        <f>SUM(Table15[[#This Row],[Transport and communication]])</f>
        <v>154</v>
      </c>
      <c r="D354" s="37">
        <f>SUM(Table15[[#This Row],[Housing]],Table15[[#This Row],[Household goods and services]])/2</f>
        <v>159.80000000000001</v>
      </c>
      <c r="E354" s="37">
        <f>SUM(Table15[[#This Row],[Health]])</f>
        <v>168.4</v>
      </c>
      <c r="F354" s="37">
        <f>SUM(Table15[[#This Row],[Recreation and amusement]],Table15[[#This Row],[Education]])/2</f>
        <v>160.69999999999999</v>
      </c>
      <c r="G354" s="62">
        <f>SUM(Table15[[#This Row],[Miscellaneous]],Table15[[#This Row],[Personal care and effects]])/2</f>
        <v>160</v>
      </c>
      <c r="H354" s="64">
        <f t="shared" si="35"/>
        <v>0.39370078740157777</v>
      </c>
      <c r="I354" s="64">
        <f t="shared" si="36"/>
        <v>-0.67196090409284936</v>
      </c>
      <c r="J354" s="64">
        <f t="shared" si="37"/>
        <v>-2.4081115335868257</v>
      </c>
      <c r="K354" s="64">
        <f t="shared" si="38"/>
        <v>0.62972292191435764</v>
      </c>
      <c r="L354" s="64">
        <f t="shared" si="39"/>
        <v>-2.0360674810936592</v>
      </c>
      <c r="M354" s="64">
        <f t="shared" si="40"/>
        <v>-2.9589371980676362</v>
      </c>
      <c r="N354" s="64">
        <f t="shared" si="41"/>
        <v>-1.2345679012345678</v>
      </c>
    </row>
    <row r="355" spans="1:14" x14ac:dyDescent="0.3">
      <c r="A355" s="38">
        <f>SUM(Table15[[#This Row],[Cereals and products]:[Food and beverages]])/13</f>
        <v>165.99230769230769</v>
      </c>
      <c r="B355" s="38">
        <f>SUM(Table15[[#This Row],[Fuel and light]])</f>
        <v>160.80000000000001</v>
      </c>
      <c r="C355" s="38">
        <f>SUM(Table15[[#This Row],[Transport and communication]])</f>
        <v>150.5</v>
      </c>
      <c r="D355" s="38">
        <f>SUM(Table15[[#This Row],[Housing]],Table15[[#This Row],[Household goods and services]])/2</f>
        <v>157.69999999999999</v>
      </c>
      <c r="E355" s="38">
        <f>SUM(Table15[[#This Row],[Health]])</f>
        <v>162.80000000000001</v>
      </c>
      <c r="F355" s="38">
        <f>SUM(Table15[[#This Row],[Recreation and amusement]],Table15[[#This Row],[Education]])/2</f>
        <v>157.10000000000002</v>
      </c>
      <c r="G355" s="63">
        <f>SUM(Table15[[#This Row],[Miscellaneous]],Table15[[#This Row],[Personal care and effects]])/2</f>
        <v>157.80000000000001</v>
      </c>
      <c r="H355" s="64">
        <f t="shared" si="35"/>
        <v>0.74229691876750326</v>
      </c>
      <c r="I355" s="64">
        <f t="shared" si="36"/>
        <v>-1.1070110701106906</v>
      </c>
      <c r="J355" s="64">
        <f t="shared" si="37"/>
        <v>-2.2727272727272729</v>
      </c>
      <c r="K355" s="64">
        <f t="shared" si="38"/>
        <v>-1.3141426783479491</v>
      </c>
      <c r="L355" s="64">
        <f t="shared" si="39"/>
        <v>-3.3254156769596164</v>
      </c>
      <c r="M355" s="64">
        <f t="shared" si="40"/>
        <v>-2.2401991288114287</v>
      </c>
      <c r="N355" s="64">
        <f t="shared" si="41"/>
        <v>-1.3749999999999929</v>
      </c>
    </row>
    <row r="356" spans="1:14" x14ac:dyDescent="0.3">
      <c r="A356" s="37">
        <f>SUM(Table15[[#This Row],[Cereals and products]:[Food and beverages]])/13</f>
        <v>132.30769230769232</v>
      </c>
      <c r="B356" s="37">
        <f>SUM(Table15[[#This Row],[Fuel and light]])</f>
        <v>124.6</v>
      </c>
      <c r="C356" s="37">
        <f>SUM(Table15[[#This Row],[Transport and communication]])</f>
        <v>118.9</v>
      </c>
      <c r="D356" s="37">
        <f>SUM(Table15[[#This Row],[Housing]],Table15[[#This Row],[Household goods and services]])/2</f>
        <v>137.35000000000002</v>
      </c>
      <c r="E356" s="37">
        <f>SUM(Table15[[#This Row],[Health]])</f>
        <v>131.30000000000001</v>
      </c>
      <c r="F356" s="37">
        <f>SUM(Table15[[#This Row],[Recreation and amusement]],Table15[[#This Row],[Education]])/2</f>
        <v>133.64999999999998</v>
      </c>
      <c r="G356" s="62">
        <f>SUM(Table15[[#This Row],[Miscellaneous]],Table15[[#This Row],[Personal care and effects]])/2</f>
        <v>127.89999999999999</v>
      </c>
      <c r="H356" s="64">
        <f t="shared" si="35"/>
        <v>-20.292877334445517</v>
      </c>
      <c r="I356" s="64">
        <f t="shared" si="36"/>
        <v>-22.512437810945283</v>
      </c>
      <c r="J356" s="64">
        <f t="shared" si="37"/>
        <v>-20.996677740863785</v>
      </c>
      <c r="K356" s="64">
        <f t="shared" si="38"/>
        <v>-12.904248573240309</v>
      </c>
      <c r="L356" s="64">
        <f t="shared" si="39"/>
        <v>-19.348894348894348</v>
      </c>
      <c r="M356" s="64">
        <f t="shared" si="40"/>
        <v>-14.926798217695762</v>
      </c>
      <c r="N356" s="64">
        <f t="shared" si="41"/>
        <v>-18.948035487959451</v>
      </c>
    </row>
    <row r="357" spans="1:14" x14ac:dyDescent="0.3">
      <c r="A357" s="38">
        <f>SUM(Table15[[#This Row],[Cereals and products]:[Food and beverages]])/13</f>
        <v>135.16153846153847</v>
      </c>
      <c r="B357" s="38">
        <f>SUM(Table15[[#This Row],[Fuel and light]])</f>
        <v>136.5</v>
      </c>
      <c r="C357" s="38">
        <f>SUM(Table15[[#This Row],[Transport and communication]])</f>
        <v>121.9</v>
      </c>
      <c r="D357" s="38">
        <f>SUM(Table15[[#This Row],[Housing]],Table15[[#This Row],[Household goods and services]])/2</f>
        <v>139.75</v>
      </c>
      <c r="E357" s="38">
        <f>SUM(Table15[[#This Row],[Health]])</f>
        <v>135.19999999999999</v>
      </c>
      <c r="F357" s="38">
        <f>SUM(Table15[[#This Row],[Recreation and amusement]],Table15[[#This Row],[Education]])/2</f>
        <v>136.35000000000002</v>
      </c>
      <c r="G357" s="63">
        <f>SUM(Table15[[#This Row],[Miscellaneous]],Table15[[#This Row],[Personal care and effects]])/2</f>
        <v>130.25</v>
      </c>
      <c r="H357" s="64">
        <f t="shared" si="35"/>
        <v>2.1569767441860428</v>
      </c>
      <c r="I357" s="64">
        <f t="shared" si="36"/>
        <v>9.550561797752815</v>
      </c>
      <c r="J357" s="64">
        <f t="shared" si="37"/>
        <v>2.5231286795626575</v>
      </c>
      <c r="K357" s="64">
        <f t="shared" si="38"/>
        <v>1.7473607571896446</v>
      </c>
      <c r="L357" s="64">
        <f t="shared" si="39"/>
        <v>2.970297029702953</v>
      </c>
      <c r="M357" s="64">
        <f t="shared" si="40"/>
        <v>2.0202020202020545</v>
      </c>
      <c r="N357" s="64">
        <f t="shared" si="41"/>
        <v>1.8373729476153313</v>
      </c>
    </row>
    <row r="358" spans="1:14" x14ac:dyDescent="0.3">
      <c r="A358" s="37">
        <f>SUM(Table15[[#This Row],[Cereals and products]:[Food and beverages]])/13</f>
        <v>136.92307692307693</v>
      </c>
      <c r="B358" s="37">
        <f>SUM(Table15[[#This Row],[Fuel and light]])</f>
        <v>143.80000000000001</v>
      </c>
      <c r="C358" s="37">
        <f>SUM(Table15[[#This Row],[Transport and communication]])</f>
        <v>125.3</v>
      </c>
      <c r="D358" s="37">
        <f>SUM(Table15[[#This Row],[Housing]],Table15[[#This Row],[Household goods and services]])/2</f>
        <v>141.9</v>
      </c>
      <c r="E358" s="37">
        <f>SUM(Table15[[#This Row],[Health]])</f>
        <v>137.6</v>
      </c>
      <c r="F358" s="37">
        <f>SUM(Table15[[#This Row],[Recreation and amusement]],Table15[[#This Row],[Education]])/2</f>
        <v>139.85</v>
      </c>
      <c r="G358" s="62">
        <f>SUM(Table15[[#This Row],[Miscellaneous]],Table15[[#This Row],[Personal care and effects]])/2</f>
        <v>132.30000000000001</v>
      </c>
      <c r="H358" s="64">
        <f t="shared" si="35"/>
        <v>1.3032838199305694</v>
      </c>
      <c r="I358" s="64">
        <f t="shared" si="36"/>
        <v>5.3479853479853556</v>
      </c>
      <c r="J358" s="64">
        <f t="shared" si="37"/>
        <v>2.7891714520098367</v>
      </c>
      <c r="K358" s="64">
        <f t="shared" si="38"/>
        <v>1.5384615384615425</v>
      </c>
      <c r="L358" s="64">
        <f t="shared" si="39"/>
        <v>1.775147928994087</v>
      </c>
      <c r="M358" s="64">
        <f t="shared" si="40"/>
        <v>2.5669233590025455</v>
      </c>
      <c r="N358" s="64">
        <f t="shared" si="41"/>
        <v>1.5738963531669952</v>
      </c>
    </row>
    <row r="359" spans="1:14" x14ac:dyDescent="0.3">
      <c r="A359" s="38">
        <f>SUM(Table15[[#This Row],[Cereals and products]:[Food and beverages]])/13</f>
        <v>131.3923076923077</v>
      </c>
      <c r="B359" s="38">
        <f>SUM(Table15[[#This Row],[Fuel and light]])</f>
        <v>121.4</v>
      </c>
      <c r="C359" s="38">
        <f>SUM(Table15[[#This Row],[Transport and communication]])</f>
        <v>114.3</v>
      </c>
      <c r="D359" s="38">
        <f>SUM(Table15[[#This Row],[Housing]],Table15[[#This Row],[Household goods and services]])/2</f>
        <v>128.85</v>
      </c>
      <c r="E359" s="38">
        <f>SUM(Table15[[#This Row],[Health]])</f>
        <v>123.4</v>
      </c>
      <c r="F359" s="38">
        <f>SUM(Table15[[#This Row],[Recreation and amusement]],Table15[[#This Row],[Education]])/2</f>
        <v>128.1</v>
      </c>
      <c r="G359" s="63">
        <f>SUM(Table15[[#This Row],[Miscellaneous]],Table15[[#This Row],[Personal care and effects]])/2</f>
        <v>122.35</v>
      </c>
      <c r="H359" s="64">
        <f t="shared" si="35"/>
        <v>-4.0393258426966341</v>
      </c>
      <c r="I359" s="64">
        <f t="shared" si="36"/>
        <v>-15.577190542420031</v>
      </c>
      <c r="J359" s="64">
        <f t="shared" si="37"/>
        <v>-8.7789305666400637</v>
      </c>
      <c r="K359" s="64">
        <f t="shared" si="38"/>
        <v>-9.1966173361522277</v>
      </c>
      <c r="L359" s="64">
        <f t="shared" si="39"/>
        <v>-10.319767441860456</v>
      </c>
      <c r="M359" s="64">
        <f t="shared" si="40"/>
        <v>-8.4018591347872729</v>
      </c>
      <c r="N359" s="64">
        <f t="shared" si="41"/>
        <v>-7.5207860922146761</v>
      </c>
    </row>
    <row r="360" spans="1:14" x14ac:dyDescent="0.3">
      <c r="A360" s="37">
        <f>SUM(Table15[[#This Row],[Cereals and products]:[Food and beverages]])/13</f>
        <v>132.1846153846154</v>
      </c>
      <c r="B360" s="37">
        <f>SUM(Table15[[#This Row],[Fuel and light]])</f>
        <v>129.80000000000001</v>
      </c>
      <c r="C360" s="37">
        <f>SUM(Table15[[#This Row],[Transport and communication]])</f>
        <v>116.6</v>
      </c>
      <c r="D360" s="37">
        <f>SUM(Table15[[#This Row],[Housing]],Table15[[#This Row],[Household goods and services]])/2</f>
        <v>131.05000000000001</v>
      </c>
      <c r="E360" s="37">
        <f>SUM(Table15[[#This Row],[Health]])</f>
        <v>128.1</v>
      </c>
      <c r="F360" s="37">
        <f>SUM(Table15[[#This Row],[Recreation and amusement]],Table15[[#This Row],[Education]])/2</f>
        <v>129.80000000000001</v>
      </c>
      <c r="G360" s="62">
        <f>SUM(Table15[[#This Row],[Miscellaneous]],Table15[[#This Row],[Personal care and effects]])/2</f>
        <v>124.1</v>
      </c>
      <c r="H360" s="64">
        <f t="shared" si="35"/>
        <v>0.60300919149933407</v>
      </c>
      <c r="I360" s="64">
        <f t="shared" si="36"/>
        <v>6.9192751235584886</v>
      </c>
      <c r="J360" s="64">
        <f t="shared" si="37"/>
        <v>2.01224846894138</v>
      </c>
      <c r="K360" s="64">
        <f t="shared" si="38"/>
        <v>1.7074117190531761</v>
      </c>
      <c r="L360" s="64">
        <f t="shared" si="39"/>
        <v>3.808752025931919</v>
      </c>
      <c r="M360" s="64">
        <f t="shared" si="40"/>
        <v>1.3270882123341274</v>
      </c>
      <c r="N360" s="64">
        <f t="shared" si="41"/>
        <v>1.4303228442991418</v>
      </c>
    </row>
    <row r="361" spans="1:14" x14ac:dyDescent="0.3">
      <c r="A361" s="38">
        <f>SUM(Table15[[#This Row],[Cereals and products]:[Food and beverages]])/13</f>
        <v>132.7923076923077</v>
      </c>
      <c r="B361" s="38">
        <f>SUM(Table15[[#This Row],[Fuel and light]])</f>
        <v>135</v>
      </c>
      <c r="C361" s="38">
        <f>SUM(Table15[[#This Row],[Transport and communication]])</f>
        <v>119.2</v>
      </c>
      <c r="D361" s="38">
        <f>SUM(Table15[[#This Row],[Housing]],Table15[[#This Row],[Household goods and services]])/2</f>
        <v>133</v>
      </c>
      <c r="E361" s="38">
        <f>SUM(Table15[[#This Row],[Health]])</f>
        <v>131</v>
      </c>
      <c r="F361" s="38">
        <f>SUM(Table15[[#This Row],[Recreation and amusement]],Table15[[#This Row],[Education]])/2</f>
        <v>132</v>
      </c>
      <c r="G361" s="63">
        <f>SUM(Table15[[#This Row],[Miscellaneous]],Table15[[#This Row],[Personal care and effects]])/2</f>
        <v>125.6</v>
      </c>
      <c r="H361" s="64">
        <f t="shared" si="35"/>
        <v>0.45972998137802307</v>
      </c>
      <c r="I361" s="64">
        <f t="shared" si="36"/>
        <v>4.0061633281972178</v>
      </c>
      <c r="J361" s="64">
        <f t="shared" si="37"/>
        <v>2.2298456260720485</v>
      </c>
      <c r="K361" s="64">
        <f t="shared" si="38"/>
        <v>1.4879816863792357</v>
      </c>
      <c r="L361" s="64">
        <f t="shared" si="39"/>
        <v>2.2638563622170227</v>
      </c>
      <c r="M361" s="64">
        <f t="shared" si="40"/>
        <v>1.6949152542372792</v>
      </c>
      <c r="N361" s="64">
        <f t="shared" si="41"/>
        <v>1.2087026591458501</v>
      </c>
    </row>
    <row r="362" spans="1:14" x14ac:dyDescent="0.3">
      <c r="A362" s="37">
        <f>SUM(Table15[[#This Row],[Cereals and products]:[Food and beverages]])/13</f>
        <v>131.25384615384615</v>
      </c>
      <c r="B362" s="37">
        <f>SUM(Table15[[#This Row],[Fuel and light]])</f>
        <v>114.6</v>
      </c>
      <c r="C362" s="37">
        <f>SUM(Table15[[#This Row],[Transport and communication]])</f>
        <v>110</v>
      </c>
      <c r="D362" s="37">
        <f>SUM(Table15[[#This Row],[Housing]],Table15[[#This Row],[Household goods and services]])/2</f>
        <v>124.19999999999999</v>
      </c>
      <c r="E362" s="37">
        <f>SUM(Table15[[#This Row],[Health]])</f>
        <v>120</v>
      </c>
      <c r="F362" s="37">
        <f>SUM(Table15[[#This Row],[Recreation and amusement]],Table15[[#This Row],[Education]])/2</f>
        <v>123.55</v>
      </c>
      <c r="G362" s="62">
        <f>SUM(Table15[[#This Row],[Miscellaneous]],Table15[[#This Row],[Personal care and effects]])/2</f>
        <v>117.9</v>
      </c>
      <c r="H362" s="64">
        <f t="shared" si="35"/>
        <v>-1.1585471818339865</v>
      </c>
      <c r="I362" s="64">
        <f t="shared" si="36"/>
        <v>-15.111111111111114</v>
      </c>
      <c r="J362" s="64">
        <f t="shared" si="37"/>
        <v>-7.7181208053691304</v>
      </c>
      <c r="K362" s="64">
        <f t="shared" si="38"/>
        <v>-6.616541353383468</v>
      </c>
      <c r="L362" s="64">
        <f t="shared" si="39"/>
        <v>-8.3969465648854964</v>
      </c>
      <c r="M362" s="64">
        <f t="shared" si="40"/>
        <v>-6.401515151515154</v>
      </c>
      <c r="N362" s="64">
        <f t="shared" si="41"/>
        <v>-6.1305732484076341</v>
      </c>
    </row>
    <row r="363" spans="1:14" x14ac:dyDescent="0.3">
      <c r="A363" s="38">
        <f>SUM(Table15[[#This Row],[Cereals and products]:[Food and beverages]])/13</f>
        <v>130.86923076923077</v>
      </c>
      <c r="B363" s="38">
        <f>SUM(Table15[[#This Row],[Fuel and light]])</f>
        <v>122.3</v>
      </c>
      <c r="C363" s="38">
        <f>SUM(Table15[[#This Row],[Transport and communication]])</f>
        <v>112.1</v>
      </c>
      <c r="D363" s="38">
        <f>SUM(Table15[[#This Row],[Housing]],Table15[[#This Row],[Household goods and services]])/2</f>
        <v>125.55</v>
      </c>
      <c r="E363" s="38">
        <f>SUM(Table15[[#This Row],[Health]])</f>
        <v>123.2</v>
      </c>
      <c r="F363" s="38">
        <f>SUM(Table15[[#This Row],[Recreation and amusement]],Table15[[#This Row],[Education]])/2</f>
        <v>124.4</v>
      </c>
      <c r="G363" s="63">
        <f>SUM(Table15[[#This Row],[Miscellaneous]],Table15[[#This Row],[Personal care and effects]])/2</f>
        <v>119.05</v>
      </c>
      <c r="H363" s="64">
        <f t="shared" si="35"/>
        <v>-0.29303170603059414</v>
      </c>
      <c r="I363" s="64">
        <f t="shared" si="36"/>
        <v>6.7190226876090779</v>
      </c>
      <c r="J363" s="64">
        <f t="shared" si="37"/>
        <v>1.9090909090909041</v>
      </c>
      <c r="K363" s="64">
        <f t="shared" si="38"/>
        <v>1.0869565217391373</v>
      </c>
      <c r="L363" s="64">
        <f t="shared" si="39"/>
        <v>2.6666666666666687</v>
      </c>
      <c r="M363" s="64">
        <f t="shared" si="40"/>
        <v>0.68798057466613394</v>
      </c>
      <c r="N363" s="64">
        <f t="shared" si="41"/>
        <v>0.97540288379982309</v>
      </c>
    </row>
    <row r="364" spans="1:14" x14ac:dyDescent="0.3">
      <c r="A364" s="37">
        <f>SUM(Table15[[#This Row],[Cereals and products]:[Food and beverages]])/13</f>
        <v>130.89230769230772</v>
      </c>
      <c r="B364" s="37">
        <f>SUM(Table15[[#This Row],[Fuel and light]])</f>
        <v>127</v>
      </c>
      <c r="C364" s="37">
        <f>SUM(Table15[[#This Row],[Transport and communication]])</f>
        <v>114.4</v>
      </c>
      <c r="D364" s="37">
        <f>SUM(Table15[[#This Row],[Housing]],Table15[[#This Row],[Household goods and services]])/2</f>
        <v>126.8</v>
      </c>
      <c r="E364" s="37">
        <f>SUM(Table15[[#This Row],[Health]])</f>
        <v>125.2</v>
      </c>
      <c r="F364" s="37">
        <f>SUM(Table15[[#This Row],[Recreation and amusement]],Table15[[#This Row],[Education]])/2</f>
        <v>125.55000000000001</v>
      </c>
      <c r="G364" s="62">
        <f>SUM(Table15[[#This Row],[Miscellaneous]],Table15[[#This Row],[Personal care and effects]])/2</f>
        <v>120.05000000000001</v>
      </c>
      <c r="H364" s="64">
        <f t="shared" si="35"/>
        <v>1.7633574325541509E-2</v>
      </c>
      <c r="I364" s="64">
        <f t="shared" si="36"/>
        <v>3.8430089942763721</v>
      </c>
      <c r="J364" s="64">
        <f t="shared" si="37"/>
        <v>2.0517395182872535</v>
      </c>
      <c r="K364" s="64">
        <f t="shared" si="38"/>
        <v>0.99561927518916771</v>
      </c>
      <c r="L364" s="64">
        <f t="shared" si="39"/>
        <v>1.6233766233766231</v>
      </c>
      <c r="M364" s="64">
        <f t="shared" si="40"/>
        <v>0.92443729903537419</v>
      </c>
      <c r="N364" s="64">
        <f t="shared" si="41"/>
        <v>0.83998320033600526</v>
      </c>
    </row>
    <row r="365" spans="1:14" x14ac:dyDescent="0.3">
      <c r="A365" s="38">
        <f>SUM(Table15[[#This Row],[Cereals and products]:[Food and beverages]])/13</f>
        <v>121.32307692307693</v>
      </c>
      <c r="B365" s="38">
        <f>SUM(Table15[[#This Row],[Fuel and light]])</f>
        <v>121.2</v>
      </c>
      <c r="C365" s="38">
        <f>SUM(Table15[[#This Row],[Transport and communication]])</f>
        <v>111.9</v>
      </c>
      <c r="D365" s="38">
        <f>SUM(Table15[[#This Row],[Housing]],Table15[[#This Row],[Household goods and services]])/2</f>
        <v>120.05000000000001</v>
      </c>
      <c r="E365" s="38">
        <f>SUM(Table15[[#This Row],[Health]])</f>
        <v>118.6</v>
      </c>
      <c r="F365" s="38">
        <f>SUM(Table15[[#This Row],[Recreation and amusement]],Table15[[#This Row],[Education]])/2</f>
        <v>118.05000000000001</v>
      </c>
      <c r="G365" s="63">
        <f>SUM(Table15[[#This Row],[Miscellaneous]],Table15[[#This Row],[Personal care and effects]])/2</f>
        <v>113.8</v>
      </c>
      <c r="H365" s="64">
        <f t="shared" si="35"/>
        <v>-7.3107663375646652</v>
      </c>
      <c r="I365" s="64">
        <f t="shared" si="36"/>
        <v>-4.5669291338582658</v>
      </c>
      <c r="J365" s="64">
        <f t="shared" si="37"/>
        <v>-2.1853146853146854</v>
      </c>
      <c r="K365" s="64">
        <f t="shared" si="38"/>
        <v>-5.3233438485804303</v>
      </c>
      <c r="L365" s="64">
        <f t="shared" si="39"/>
        <v>-5.2715654952076747</v>
      </c>
      <c r="M365" s="64">
        <f t="shared" si="40"/>
        <v>-5.9737156511350049</v>
      </c>
      <c r="N365" s="64">
        <f t="shared" si="41"/>
        <v>-5.2061640982923896</v>
      </c>
    </row>
    <row r="366" spans="1:14" x14ac:dyDescent="0.3">
      <c r="A366" s="37">
        <f>SUM(Table15[[#This Row],[Cereals and products]:[Food and beverages]])/13</f>
        <v>121.20769230769231</v>
      </c>
      <c r="B366" s="37">
        <f>SUM(Table15[[#This Row],[Fuel and light]])</f>
        <v>118.7</v>
      </c>
      <c r="C366" s="37">
        <f>SUM(Table15[[#This Row],[Transport and communication]])</f>
        <v>110.1</v>
      </c>
      <c r="D366" s="37">
        <f>SUM(Table15[[#This Row],[Housing]],Table15[[#This Row],[Household goods and services]])/2</f>
        <v>119.45</v>
      </c>
      <c r="E366" s="37">
        <f>SUM(Table15[[#This Row],[Health]])</f>
        <v>117.1</v>
      </c>
      <c r="F366" s="37">
        <f>SUM(Table15[[#This Row],[Recreation and amusement]],Table15[[#This Row],[Education]])/2</f>
        <v>118.45</v>
      </c>
      <c r="G366" s="62">
        <f>SUM(Table15[[#This Row],[Miscellaneous]],Table15[[#This Row],[Personal care and effects]])/2</f>
        <v>113.4</v>
      </c>
      <c r="H366" s="64">
        <f t="shared" si="35"/>
        <v>-9.5105249809787698E-2</v>
      </c>
      <c r="I366" s="64">
        <f t="shared" si="36"/>
        <v>-2.0627062706270625</v>
      </c>
      <c r="J366" s="64">
        <f t="shared" si="37"/>
        <v>-1.60857908847186</v>
      </c>
      <c r="K366" s="64">
        <f t="shared" si="38"/>
        <v>-0.49979175343607535</v>
      </c>
      <c r="L366" s="64">
        <f t="shared" si="39"/>
        <v>-1.2647554806070826</v>
      </c>
      <c r="M366" s="64">
        <f t="shared" si="40"/>
        <v>0.33883947479880683</v>
      </c>
      <c r="N366" s="64">
        <f t="shared" si="41"/>
        <v>-0.35149384885763751</v>
      </c>
    </row>
    <row r="367" spans="1:14" x14ac:dyDescent="0.3">
      <c r="A367" s="38">
        <f>SUM(Table15[[#This Row],[Cereals and products]:[Food and beverages]])/13</f>
        <v>121.23846153846154</v>
      </c>
      <c r="B367" s="38">
        <f>SUM(Table15[[#This Row],[Fuel and light]])</f>
        <v>114.7</v>
      </c>
      <c r="C367" s="38">
        <f>SUM(Table15[[#This Row],[Transport and communication]])</f>
        <v>108.4</v>
      </c>
      <c r="D367" s="38">
        <f>SUM(Table15[[#This Row],[Housing]],Table15[[#This Row],[Household goods and services]])/2</f>
        <v>118.80000000000001</v>
      </c>
      <c r="E367" s="38">
        <f>SUM(Table15[[#This Row],[Health]])</f>
        <v>114.6</v>
      </c>
      <c r="F367" s="38">
        <f>SUM(Table15[[#This Row],[Recreation and amusement]],Table15[[#This Row],[Education]])/2</f>
        <v>118.65</v>
      </c>
      <c r="G367" s="63">
        <f>SUM(Table15[[#This Row],[Miscellaneous]],Table15[[#This Row],[Personal care and effects]])/2</f>
        <v>113</v>
      </c>
      <c r="H367" s="64">
        <f t="shared" si="35"/>
        <v>2.5385542933293533E-2</v>
      </c>
      <c r="I367" s="64">
        <f t="shared" si="36"/>
        <v>-3.3698399326032011</v>
      </c>
      <c r="J367" s="64">
        <f t="shared" si="37"/>
        <v>-1.5440508628519427</v>
      </c>
      <c r="K367" s="64">
        <f t="shared" si="38"/>
        <v>-0.54416073670991338</v>
      </c>
      <c r="L367" s="64">
        <f t="shared" si="39"/>
        <v>-2.134927412467976</v>
      </c>
      <c r="M367" s="64">
        <f t="shared" si="40"/>
        <v>0.16884761502744014</v>
      </c>
      <c r="N367" s="64">
        <f t="shared" si="41"/>
        <v>-0.35273368606702443</v>
      </c>
    </row>
    <row r="368" spans="1:14" x14ac:dyDescent="0.3">
      <c r="A368" s="37">
        <f>SUM(Table15[[#This Row],[Cereals and products]:[Food and beverages]])/13</f>
        <v>115.70000000000002</v>
      </c>
      <c r="B368" s="37">
        <f>SUM(Table15[[#This Row],[Fuel and light]])</f>
        <v>113.4</v>
      </c>
      <c r="C368" s="37">
        <f>SUM(Table15[[#This Row],[Transport and communication]])</f>
        <v>111.2</v>
      </c>
      <c r="D368" s="37">
        <f>SUM(Table15[[#This Row],[Housing]],Table15[[#This Row],[Household goods and services]])/2</f>
        <v>113.80000000000001</v>
      </c>
      <c r="E368" s="37">
        <f>SUM(Table15[[#This Row],[Health]])</f>
        <v>111.8</v>
      </c>
      <c r="F368" s="37">
        <f>SUM(Table15[[#This Row],[Recreation and amusement]],Table15[[#This Row],[Education]])/2</f>
        <v>111.75</v>
      </c>
      <c r="G368" s="62">
        <f>SUM(Table15[[#This Row],[Miscellaneous]],Table15[[#This Row],[Personal care and effects]])/2</f>
        <v>110.2</v>
      </c>
      <c r="H368" s="64">
        <f t="shared" si="35"/>
        <v>-4.5682380559608999</v>
      </c>
      <c r="I368" s="64">
        <f t="shared" si="36"/>
        <v>-1.1333914559720988</v>
      </c>
      <c r="J368" s="64">
        <f t="shared" si="37"/>
        <v>2.5830258302583</v>
      </c>
      <c r="K368" s="64">
        <f t="shared" si="38"/>
        <v>-4.2087542087542085</v>
      </c>
      <c r="L368" s="64">
        <f t="shared" si="39"/>
        <v>-2.4432809773123885</v>
      </c>
      <c r="M368" s="64">
        <f t="shared" si="40"/>
        <v>-5.8154235145385629</v>
      </c>
      <c r="N368" s="64">
        <f t="shared" si="41"/>
        <v>-2.4778761061946879</v>
      </c>
    </row>
    <row r="369" spans="1:14" x14ac:dyDescent="0.3">
      <c r="A369" s="38">
        <f>SUM(Table15[[#This Row],[Cereals and products]:[Food and beverages]])/13</f>
        <v>115.69999999999999</v>
      </c>
      <c r="B369" s="38">
        <f>SUM(Table15[[#This Row],[Fuel and light]])</f>
        <v>112.5</v>
      </c>
      <c r="C369" s="38">
        <f>SUM(Table15[[#This Row],[Transport and communication]])</f>
        <v>111.2</v>
      </c>
      <c r="D369" s="38">
        <f>SUM(Table15[[#This Row],[Housing]],Table15[[#This Row],[Household goods and services]])/2</f>
        <v>113.75</v>
      </c>
      <c r="E369" s="38">
        <f>SUM(Table15[[#This Row],[Health]])</f>
        <v>111.5</v>
      </c>
      <c r="F369" s="38">
        <f>SUM(Table15[[#This Row],[Recreation and amusement]],Table15[[#This Row],[Education]])/2</f>
        <v>111.80000000000001</v>
      </c>
      <c r="G369" s="63">
        <f>SUM(Table15[[#This Row],[Miscellaneous]],Table15[[#This Row],[Personal care and effects]])/2</f>
        <v>110.25</v>
      </c>
      <c r="H369" s="64">
        <f t="shared" si="35"/>
        <v>-2.4565003829216943E-14</v>
      </c>
      <c r="I369" s="64">
        <f t="shared" si="36"/>
        <v>-0.7936507936507986</v>
      </c>
      <c r="J369" s="64">
        <f t="shared" si="37"/>
        <v>0</v>
      </c>
      <c r="K369" s="64">
        <f t="shared" si="38"/>
        <v>-4.3936731107215611E-2</v>
      </c>
      <c r="L369" s="64">
        <f t="shared" si="39"/>
        <v>-0.26833631484794024</v>
      </c>
      <c r="M369" s="64">
        <f t="shared" si="40"/>
        <v>4.4742729306497864E-2</v>
      </c>
      <c r="N369" s="64">
        <f t="shared" si="41"/>
        <v>4.5372050816694334E-2</v>
      </c>
    </row>
    <row r="370" spans="1:14" x14ac:dyDescent="0.3">
      <c r="A370" s="37">
        <f>SUM(Table15[[#This Row],[Cereals and products]:[Food and beverages]])/13</f>
        <v>115.69230769230771</v>
      </c>
      <c r="B370" s="37">
        <f>SUM(Table15[[#This Row],[Fuel and light]])</f>
        <v>110.9</v>
      </c>
      <c r="C370" s="37">
        <f>SUM(Table15[[#This Row],[Transport and communication]])</f>
        <v>111.2</v>
      </c>
      <c r="D370" s="37">
        <f>SUM(Table15[[#This Row],[Housing]],Table15[[#This Row],[Household goods and services]])/2</f>
        <v>113.65</v>
      </c>
      <c r="E370" s="37">
        <f>SUM(Table15[[#This Row],[Health]])</f>
        <v>111</v>
      </c>
      <c r="F370" s="37">
        <f>SUM(Table15[[#This Row],[Recreation and amusement]],Table15[[#This Row],[Education]])/2</f>
        <v>111.85</v>
      </c>
      <c r="G370" s="62">
        <f>SUM(Table15[[#This Row],[Miscellaneous]],Table15[[#This Row],[Personal care and effects]])/2</f>
        <v>110.25</v>
      </c>
      <c r="H370" s="64">
        <f t="shared" si="35"/>
        <v>-6.6484941160596545E-3</v>
      </c>
      <c r="I370" s="64">
        <f t="shared" si="36"/>
        <v>-1.4222222222222172</v>
      </c>
      <c r="J370" s="64">
        <f t="shared" si="37"/>
        <v>0</v>
      </c>
      <c r="K370" s="64">
        <f t="shared" si="38"/>
        <v>-8.7912087912082909E-2</v>
      </c>
      <c r="L370" s="64">
        <f t="shared" si="39"/>
        <v>-0.44843049327354262</v>
      </c>
      <c r="M370" s="64">
        <f t="shared" si="40"/>
        <v>4.4722719141308535E-2</v>
      </c>
      <c r="N370" s="64">
        <f t="shared" si="41"/>
        <v>0</v>
      </c>
    </row>
    <row r="371" spans="1:14" x14ac:dyDescent="0.3">
      <c r="A371" s="38">
        <f>SUM(Table15[[#This Row],[Cereals and products]:[Food and beverages]])/13</f>
        <v>106.6</v>
      </c>
      <c r="B371" s="38">
        <f>SUM(Table15[[#This Row],[Fuel and light]])</f>
        <v>106.5</v>
      </c>
      <c r="C371" s="38">
        <f>SUM(Table15[[#This Row],[Transport and communication]])</f>
        <v>104.4</v>
      </c>
      <c r="D371" s="38">
        <f>SUM(Table15[[#This Row],[Housing]],Table15[[#This Row],[Household goods and services]])/2</f>
        <v>103.3</v>
      </c>
      <c r="E371" s="38">
        <f>SUM(Table15[[#This Row],[Health]])</f>
        <v>105.1</v>
      </c>
      <c r="F371" s="38">
        <f>SUM(Table15[[#This Row],[Recreation and amusement]],Table15[[#This Row],[Education]])/2</f>
        <v>104.65</v>
      </c>
      <c r="G371" s="63">
        <f>SUM(Table15[[#This Row],[Miscellaneous]],Table15[[#This Row],[Personal care and effects]])/2</f>
        <v>103.65</v>
      </c>
      <c r="H371" s="64">
        <f t="shared" si="35"/>
        <v>-7.8590425531915056</v>
      </c>
      <c r="I371" s="64">
        <f t="shared" si="36"/>
        <v>-3.9675383228133501</v>
      </c>
      <c r="J371" s="64">
        <f t="shared" si="37"/>
        <v>-6.1151079136690623</v>
      </c>
      <c r="K371" s="64">
        <f t="shared" si="38"/>
        <v>-9.1069071711394702</v>
      </c>
      <c r="L371" s="64">
        <f t="shared" si="39"/>
        <v>-5.3153153153153205</v>
      </c>
      <c r="M371" s="64">
        <f t="shared" si="40"/>
        <v>-6.4371926687527834</v>
      </c>
      <c r="N371" s="64">
        <f t="shared" si="41"/>
        <v>-5.9863945578231244</v>
      </c>
    </row>
    <row r="372" spans="1:14" x14ac:dyDescent="0.3">
      <c r="A372" s="37">
        <f>SUM(Table15[[#This Row],[Cereals and products]:[Food and beverages]])/13</f>
        <v>106.93846153846154</v>
      </c>
      <c r="B372" s="37">
        <f>SUM(Table15[[#This Row],[Fuel and light]])</f>
        <v>106.5</v>
      </c>
      <c r="C372" s="37">
        <f>SUM(Table15[[#This Row],[Transport and communication]])</f>
        <v>104.7</v>
      </c>
      <c r="D372" s="37">
        <f>SUM(Table15[[#This Row],[Housing]],Table15[[#This Row],[Household goods and services]])/2</f>
        <v>103.4</v>
      </c>
      <c r="E372" s="37">
        <f>SUM(Table15[[#This Row],[Health]])</f>
        <v>105.3</v>
      </c>
      <c r="F372" s="37">
        <f>SUM(Table15[[#This Row],[Recreation and amusement]],Table15[[#This Row],[Education]])/2</f>
        <v>104.6</v>
      </c>
      <c r="G372" s="62">
        <f>SUM(Table15[[#This Row],[Miscellaneous]],Table15[[#This Row],[Personal care and effects]])/2</f>
        <v>103.85</v>
      </c>
      <c r="H372" s="64">
        <f t="shared" si="35"/>
        <v>0.3175061336412236</v>
      </c>
      <c r="I372" s="64">
        <f t="shared" si="36"/>
        <v>0</v>
      </c>
      <c r="J372" s="64">
        <f t="shared" si="37"/>
        <v>0.28735632183907772</v>
      </c>
      <c r="K372" s="64">
        <f t="shared" si="38"/>
        <v>9.6805421103590056E-2</v>
      </c>
      <c r="L372" s="64">
        <f t="shared" si="39"/>
        <v>0.19029495718363734</v>
      </c>
      <c r="M372" s="64">
        <f t="shared" si="40"/>
        <v>-4.7778308647884724E-2</v>
      </c>
      <c r="N372" s="64">
        <f t="shared" si="41"/>
        <v>0.19295706705256982</v>
      </c>
    </row>
    <row r="373" spans="1:14" x14ac:dyDescent="0.3">
      <c r="A373" s="38">
        <f>SUM(Table15[[#This Row],[Cereals and products]:[Food and beverages]])/13</f>
        <v>107.5153846153846</v>
      </c>
      <c r="B373" s="38">
        <f>SUM(Table15[[#This Row],[Fuel and light]])</f>
        <v>106.4</v>
      </c>
      <c r="C373" s="38">
        <f>SUM(Table15[[#This Row],[Transport and communication]])</f>
        <v>105</v>
      </c>
      <c r="D373" s="38">
        <f>SUM(Table15[[#This Row],[Housing]],Table15[[#This Row],[Household goods and services]])/2</f>
        <v>103.5</v>
      </c>
      <c r="E373" s="38">
        <f>SUM(Table15[[#This Row],[Health]])</f>
        <v>105.7</v>
      </c>
      <c r="F373" s="38">
        <f>SUM(Table15[[#This Row],[Recreation and amusement]],Table15[[#This Row],[Education]])/2</f>
        <v>104.6</v>
      </c>
      <c r="G373" s="63">
        <f>SUM(Table15[[#This Row],[Miscellaneous]],Table15[[#This Row],[Personal care and effects]])/2</f>
        <v>104.15</v>
      </c>
      <c r="H373" s="64">
        <f t="shared" si="35"/>
        <v>0.5394907207595927</v>
      </c>
      <c r="I373" s="64">
        <f t="shared" si="36"/>
        <v>-9.389671361501814E-2</v>
      </c>
      <c r="J373" s="64">
        <f t="shared" si="37"/>
        <v>0.28653295128939554</v>
      </c>
      <c r="K373" s="64">
        <f t="shared" si="38"/>
        <v>9.6711798839452912E-2</v>
      </c>
      <c r="L373" s="64">
        <f t="shared" si="39"/>
        <v>0.37986704653371861</v>
      </c>
      <c r="M373" s="64">
        <f t="shared" si="40"/>
        <v>0</v>
      </c>
      <c r="N373" s="64">
        <f t="shared" si="41"/>
        <v>0.28887818969668888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Dataset(Highest Inflation rate </vt:lpstr>
      <vt:lpstr>Highest Category Contributor in</vt:lpstr>
      <vt:lpstr>PROBLEM_STATEMENT_1</vt:lpstr>
      <vt:lpstr>Problem Statement 3)</vt:lpstr>
      <vt:lpstr>PROBLEM_STATEMENT3 SOLUTIONS</vt:lpstr>
      <vt:lpstr>PROBLEM STATEMENT-SOLUTIONS-4</vt:lpstr>
      <vt:lpstr>PROBLEM_STATEMENT4</vt:lpstr>
      <vt:lpstr>Problem_Statement5</vt:lpstr>
      <vt:lpstr>Problem_Satement_Solution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Imtiyaz Ahmad Bhat</dc:creator>
  <cp:lastModifiedBy>Imtiyaz Ahmad Bhat</cp:lastModifiedBy>
  <dcterms:created xsi:type="dcterms:W3CDTF">2026-07-15T18:53:41Z</dcterms:created>
  <dcterms:modified xsi:type="dcterms:W3CDTF">2026-08-15T13:55:36Z</dcterms:modified>
</cp:coreProperties>
</file>